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593"/>
  </bookViews>
  <sheets>
    <sheet name="Secteur DE0305" sheetId="1" r:id="rId1"/>
    <sheet name="04302794" sheetId="2" r:id="rId2"/>
    <sheet name="02080663" sheetId="3" r:id="rId3"/>
    <sheet name="02845211" sheetId="4" r:id="rId4"/>
    <sheet name="02633029" sheetId="13" r:id="rId5"/>
    <sheet name="00202232" sheetId="5" r:id="rId6"/>
    <sheet name="03535199" sheetId="6" r:id="rId7"/>
    <sheet name="04879822" sheetId="10" r:id="rId8"/>
    <sheet name="05403998" sheetId="11" r:id="rId9"/>
    <sheet name="05499670" sheetId="7" r:id="rId10"/>
    <sheet name="08069176" sheetId="8" r:id="rId11"/>
    <sheet name="07906060" sheetId="12" r:id="rId12"/>
    <sheet name="09221364" sheetId="9" r:id="rId13"/>
  </sheets>
  <definedNames>
    <definedName name="Lancer_la_requête_à_partir_de_MS_Access_Database" localSheetId="5" hidden="1">'00202232'!$B$9:$U$12</definedName>
    <definedName name="Lancer_la_requête_à_partir_de_MS_Access_Database" localSheetId="2" hidden="1">'02080663'!$B$9:$U$15</definedName>
    <definedName name="Lancer_la_requête_à_partir_de_MS_Access_Database" localSheetId="4" hidden="1">'02633029'!$B$9:$U$12</definedName>
    <definedName name="Lancer_la_requête_à_partir_de_MS_Access_Database" localSheetId="3" hidden="1">'02845211'!$B$9:$U$12</definedName>
    <definedName name="Lancer_la_requête_à_partir_de_MS_Access_Database" localSheetId="6" hidden="1">'03535199'!$B$9:$U$19</definedName>
    <definedName name="Lancer_la_requête_à_partir_de_MS_Access_Database" localSheetId="1" hidden="1">'04302794'!$B$9:$U$12</definedName>
    <definedName name="Lancer_la_requête_à_partir_de_MS_Access_Database" localSheetId="7" hidden="1">'04879822'!$B$9:$U$16</definedName>
    <definedName name="Lancer_la_requête_à_partir_de_MS_Access_Database" localSheetId="8" hidden="1">'05403998'!$B$9:$U$12</definedName>
    <definedName name="Lancer_la_requête_à_partir_de_MS_Access_Database" localSheetId="9" hidden="1">'05499670'!$B$9:$U$19</definedName>
    <definedName name="Lancer_la_requête_à_partir_de_MS_Access_Database" localSheetId="11" hidden="1">'07906060'!$B$9:$U$12</definedName>
    <definedName name="Lancer_la_requête_à_partir_de_MS_Access_Database" localSheetId="10" hidden="1">'08069176'!$B$9:$U$12</definedName>
    <definedName name="Lancer_la_requête_à_partir_de_MS_Access_Database" localSheetId="12" hidden="1">'09221364'!$B$9:$U$14</definedName>
    <definedName name="Lancer_la_requête_à_partir_de_MS_Access_Database_1" localSheetId="0" hidden="1">'Secteur DE0305'!$A$7:$K$19</definedName>
  </definedNames>
  <calcPr calcId="125725"/>
</workbook>
</file>

<file path=xl/calcChain.xml><?xml version="1.0" encoding="utf-8"?>
<calcChain xmlns="http://schemas.openxmlformats.org/spreadsheetml/2006/main">
  <c r="D20" i="1"/>
  <c r="E20"/>
  <c r="F20"/>
  <c r="G20"/>
  <c r="H20"/>
  <c r="I20"/>
  <c r="N4" i="13"/>
  <c r="M4"/>
  <c r="F4"/>
  <c r="N4" i="12"/>
  <c r="M4"/>
  <c r="F4"/>
  <c r="N4" i="11"/>
  <c r="M4"/>
  <c r="F4"/>
  <c r="N4" i="10" l="1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305')_x000d__x000a_ORDER BY Req_REPORT_SECTEURS_GLOBAL.Medecin"/>
  </connection>
  <connection id="2" name="Lancer la requête à partir de MS Access Database0002023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020232')"/>
  </connection>
  <connection id="3" name="Lancer la requête à partir de MS Access Database0208066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080663')"/>
  </connection>
  <connection id="4" name="Lancer la requête à partir de MS Access Database0263302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633029')"/>
  </connection>
  <connection id="5" name="Lancer la requête à partir de MS Access Database0284521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845211')"/>
  </connection>
  <connection id="6" name="Lancer la requête à partir de MS Access Database0353519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535199')"/>
  </connection>
  <connection id="7" name="Lancer la requête à partir de MS Access Database0430279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302794')"/>
  </connection>
  <connection id="8" name="Lancer la requête à partir de MS Access Database0487982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879822')"/>
  </connection>
  <connection id="9" name="Lancer la requête à partir de MS Access Database0540399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403998')"/>
  </connection>
  <connection id="10" name="Lancer la requête à partir de MS Access Database054996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499670')"/>
  </connection>
  <connection id="11" name="Lancer la requête à partir de MS Access Database0790606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906060')"/>
  </connection>
  <connection id="12" name="Lancer la requête à partir de MS Access Database0806917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069176')"/>
  </connection>
  <connection id="13" name="Lancer la requête à partir de MS Access Database0922136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221364')"/>
  </connection>
</connections>
</file>

<file path=xl/sharedStrings.xml><?xml version="1.0" encoding="utf-8"?>
<sst xmlns="http://schemas.openxmlformats.org/spreadsheetml/2006/main" count="800" uniqueCount="105">
  <si>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</si>
  <si>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</si>
  <si>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</si>
  <si>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</si>
  <si>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</si>
  <si>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</si>
  <si>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</si>
  <si>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</si>
  <si>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</si>
  <si>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</si>
  <si>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</si>
  <si>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</si>
  <si>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</si>
  <si>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</si>
  <si>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</si>
  <si>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</si>
  <si>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</si>
  <si>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</si>
  <si>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</si>
  <si>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</si>
  <si>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</si>
  <si>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</si>
  <si>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</si>
  <si>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</si>
  <si>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</si>
  <si>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</si>
  <si>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</si>
  <si>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</si>
  <si>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</si>
  <si>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</si>
  <si>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</si>
  <si>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</si>
  <si>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</si>
  <si>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</si>
  <si>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</si>
  <si>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</si>
  <si>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</si>
  <si>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</si>
  <si>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</si>
  <si>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</si>
  <si>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</si>
  <si>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</si>
  <si>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</si>
  <si>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</si>
  <si>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</si>
  <si>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</si>
  <si>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</si>
  <si>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</si>
  <si>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</si>
  <si>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</si>
  <si>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</si>
  <si>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</si>
  <si>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</si>
  <si>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</si>
  <si>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</si>
  <si>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</si>
  <si>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</si>
  <si>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</si>
  <si>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</si>
  <si>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DE0305</t>
  </si>
  <si>
    <t>MARTINEZ Françoise</t>
  </si>
  <si>
    <t>WFRM04302794</t>
  </si>
  <si>
    <t>BOUROZ Jessica</t>
  </si>
  <si>
    <t>WFRM02080663</t>
  </si>
  <si>
    <t>CNUDDE François</t>
  </si>
  <si>
    <t>WFRM02845211</t>
  </si>
  <si>
    <t>DEMOULIN Maria-Valérie</t>
  </si>
  <si>
    <t>WFRM00020232</t>
  </si>
  <si>
    <t>EGUIA Belen</t>
  </si>
  <si>
    <t>WFRM03535199</t>
  </si>
  <si>
    <t>GRECO Matthieu</t>
  </si>
  <si>
    <t>WFRM05499670</t>
  </si>
  <si>
    <t>LE RU Yves</t>
  </si>
  <si>
    <t>WFRM08069176</t>
  </si>
  <si>
    <t>NICOL Christelle</t>
  </si>
  <si>
    <t>WFRM09221364</t>
  </si>
  <si>
    <t>VIGY Pascal</t>
  </si>
  <si>
    <t>WFRM04879822</t>
  </si>
  <si>
    <t>JOUAN Nicole</t>
  </si>
  <si>
    <t>WFRM05403998</t>
  </si>
  <si>
    <t>LE LU ZAVADIL Maryvonne</t>
  </si>
  <si>
    <t>23juin: n'a pas inclus, a beaucoup prescrit. Signale les effets irritant observé chez des patienst ayant reçu ce traitement,mais n'a pas eu du tout le temps d'inclure un patient. N'a pas oublié l'étude, incluera certainement</t>
  </si>
  <si>
    <t>Courrier - Téléphone - Via médecin</t>
  </si>
  <si>
    <t>Courrier - Téléphone</t>
  </si>
  <si>
    <t>Téléphone - Via médecin</t>
  </si>
  <si>
    <t>SMS - Mail - Courrier</t>
  </si>
  <si>
    <t>Mail - Courrier - Téléphone</t>
  </si>
  <si>
    <t>Via médecin</t>
  </si>
  <si>
    <t>Mail</t>
  </si>
  <si>
    <t>SMS - Courrier</t>
  </si>
  <si>
    <t>Téléphone</t>
  </si>
  <si>
    <t>Courrier</t>
  </si>
  <si>
    <t>11août : A reçu le courrier du 05/08, a déjà envoyé la visite d'inclusion du patient 1577, va nous photocopier sa souche et nous envoyer les photocopies.</t>
  </si>
  <si>
    <t>04sept: Le Dr a eu pleins de cas avant les vacances mais beaucoup moins depuis qu'elle est rentrée. elle y pense et va essayer d'inclure d'autres patients</t>
  </si>
  <si>
    <t>04sept: Fait savoir par le biais de sa secretaire que le Dr n'a pas inclus et est actuellement débordée. Info donnée sur la date de fin des inclusions</t>
  </si>
  <si>
    <t>SMS - Mail</t>
  </si>
  <si>
    <t>SMS</t>
  </si>
  <si>
    <t>WFRM07906060</t>
  </si>
  <si>
    <t>RIVOALLAN Nadine</t>
  </si>
  <si>
    <t>WFRM02633029</t>
  </si>
  <si>
    <t>DUPRE GOETGHEBEUR Dominique</t>
  </si>
  <si>
    <t>18nov: envoi d'un nouveau cahier</t>
  </si>
  <si>
    <t>04nov: souhaite recevoir 2 cahiers supp=&gt; envoyé le 19nov</t>
  </si>
  <si>
    <t>06nov: Souhaite  5 cahiers supp=&gt; envoyé le 13nov</t>
  </si>
  <si>
    <t>SMS - Mail - Courrier - Téléphone</t>
  </si>
</sst>
</file>

<file path=xl/styles.xml><?xml version="1.0" encoding="utf-8"?>
<styleSheet xmlns="http://schemas.openxmlformats.org/spreadsheetml/2006/main">
  <numFmts count="1">
    <numFmt numFmtId="164" formatCode="dd/mm/yy;@"/>
  </numFmts>
  <fonts count="26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3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78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77"/>
      <tableStyleElement type="headerRow" dxfId="276"/>
      <tableStyleElement type="totalRow" dxfId="275"/>
      <tableStyleElement type="firstColumn" dxfId="274"/>
      <tableStyleElement type="lastColumn" dxfId="273"/>
      <tableStyleElement type="firstRowStripe" dxfId="272"/>
      <tableStyleElement type="secondRowStripe" dxfId="271"/>
      <tableStyleElement type="firstColumnStripe" dxfId="270"/>
      <tableStyleElement type="secondColumnStripe" dxfId="269"/>
    </tableStyle>
    <tableStyle name="TableStyleLight8 2" pivot="0" count="9">
      <tableStyleElement type="wholeTable" dxfId="268"/>
      <tableStyleElement type="headerRow" dxfId="267"/>
      <tableStyleElement type="totalRow" dxfId="266"/>
      <tableStyleElement type="firstColumn" dxfId="265"/>
      <tableStyleElement type="lastColumn" dxfId="264"/>
      <tableStyleElement type="firstRowStripe" dxfId="263"/>
      <tableStyleElement type="secondRowStripe" dxfId="262"/>
      <tableStyleElement type="firstColumnStripe" dxfId="261"/>
      <tableStyleElement type="secondColumnStripe" dxfId="260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20" tableType="queryTable" totalsRowCount="1" headerRowDxfId="259" dataDxfId="258">
  <tableColumns count="11">
    <tableColumn id="1" uniqueName="1" name="Code Secteur" queryTableFieldId="1" dataDxfId="246" totalsRowDxfId="247"/>
    <tableColumn id="2" uniqueName="2" name="VM" queryTableFieldId="2" dataDxfId="245" totalsRowDxfId="248"/>
    <tableColumn id="3" uniqueName="3" name="Code médecin" totalsRowLabel="TOTAL" queryTableFieldId="3" dataDxfId="244" totalsRowDxfId="249" dataCellStyle="Lien hypertexte"/>
    <tableColumn id="4" uniqueName="4" name="Medecin" totalsRowFunction="custom" queryTableFieldId="4" dataDxfId="243" totalsRowDxfId="250">
      <totalsRowFormula>SUBTOTAL(3,D8:D19)</totalsRowFormula>
    </tableColumn>
    <tableColumn id="5" uniqueName="5" name="Date de réception convention financière" totalsRowFunction="custom" queryTableFieldId="5" dataDxfId="242" totalsRowDxfId="251">
      <totalsRowFormula>SUBTOTAL(3,[Date de réception convention financière])</totalsRowFormula>
    </tableColumn>
    <tableColumn id="6" uniqueName="6" name="Date de réception AR kit" totalsRowFunction="custom" queryTableFieldId="6" dataDxfId="241" totalsRowDxfId="252">
      <totalsRowFormula>SUBTOTAL(3,[Date de réception AR kit])</totalsRowFormula>
    </tableColumn>
    <tableColumn id="7" uniqueName="7" name="Date de MEP" totalsRowFunction="custom" queryTableFieldId="7" dataDxfId="240" totalsRowDxfId="253">
      <totalsRowFormula>SUBTOTAL(3,[Date de MEP])</totalsRowFormula>
    </tableColumn>
    <tableColumn id="8" uniqueName="8" name="Desistement" totalsRowFunction="custom" queryTableFieldId="8" dataDxfId="239" totalsRowDxfId="254">
      <totalsRowFormula>SUBTOTAL(3,[Desistement])</totalsRowFormula>
    </tableColumn>
    <tableColumn id="9" uniqueName="9" name="Nb Total Patients inclus" totalsRowFunction="custom" queryTableFieldId="9" dataDxfId="238" totalsRowDxfId="255">
      <totalsRowFormula>SUBTOTAL(109,I8:I19)</totalsRowFormula>
    </tableColumn>
    <tableColumn id="10" uniqueName="10" name="Comptes-rendus contact médecin-GECEM" queryTableFieldId="10" dataDxfId="237" totalsRowDxfId="256"/>
    <tableColumn id="11" uniqueName="11" name="Date" queryTableFieldId="11" dataDxfId="236" totalsRowDxfId="257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235"/>
    <tableColumn id="4" uniqueName="4" name="INCLUSION_Visite" queryTableFieldId="4" dataDxfId="234"/>
    <tableColumn id="5" uniqueName="5" name="INCLUSION_Reception" queryTableFieldId="5" dataDxfId="233"/>
    <tableColumn id="6" uniqueName="6" name="AQINCLUSION_Reception" queryTableFieldId="6" dataDxfId="232"/>
    <tableColumn id="7" uniqueName="7" name="CONTACT_Reception" queryTableFieldId="7" dataDxfId="231"/>
    <tableColumn id="8" uniqueName="8" name="TypeRappel" queryTableFieldId="8"/>
    <tableColumn id="9" uniqueName="9" name="AQ7Theo" queryTableFieldId="9" dataDxfId="230"/>
    <tableColumn id="10" uniqueName="10" name="AQJ7_Reception" queryTableFieldId="10" dataDxfId="229"/>
    <tableColumn id="11" uniqueName="11" name="AQ_M2_Theo" queryTableFieldId="11" dataDxfId="228"/>
    <tableColumn id="12" uniqueName="12" name="AQM2_Reception" queryTableFieldId="12" dataDxfId="227"/>
    <tableColumn id="13" uniqueName="13" name="VP_Theo" queryTableFieldId="13" dataDxfId="226"/>
    <tableColumn id="14" uniqueName="14" name="PRECOCE_Visite" queryTableFieldId="14" dataDxfId="225"/>
    <tableColumn id="15" uniqueName="15" name="PRECOCE_Reception" queryTableFieldId="15" dataDxfId="224"/>
    <tableColumn id="16" uniqueName="16" name="VT_Theo" queryTableFieldId="16" dataDxfId="223"/>
    <tableColumn id="17" uniqueName="17" name="TARDIF_Visite" queryTableFieldId="17" dataDxfId="222"/>
    <tableColumn id="18" uniqueName="18" name="TARDIF_Reception" queryTableFieldId="18" dataDxfId="221"/>
    <tableColumn id="19" uniqueName="19" name="Onekey" queryTableFieldId="19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5" tableType="queryTable" totalsRowShown="0">
  <autoFilter ref="B9:U15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3" name="Tableau_Lancer_la_requête_à_partir_de_MS_Access_Database4514" displayName="Tableau_Lancer_la_requête_à_partir_de_MS_Access_Database4514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9" tableType="queryTable" totalsRowShown="0">
  <autoFilter ref="B9:U19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6" tableType="queryTable" totalsRowShown="0">
  <autoFilter ref="B9:U16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11" name="Tableau_Lancer_la_requête_à_partir_de_MS_Access_Database4567891012" displayName="Tableau_Lancer_la_requête_à_partir_de_MS_Access_Database4567891012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9" tableType="queryTable" totalsRowShown="0">
  <autoFilter ref="B9:U19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2" name="Tableau_Lancer_la_requête_à_partir_de_MS_Access_Database45678913" displayName="Tableau_Lancer_la_requête_à_partir_de_MS_Access_Database45678913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4" tableType="queryTable" totalsRowShown="0">
  <autoFilter ref="B9:U14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2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$A$19</f>
        <v>DE0305</v>
      </c>
      <c r="G2" s="96" t="str">
        <f>$B$19</f>
        <v>MARTINEZ Françoise</v>
      </c>
      <c r="H2" s="96"/>
      <c r="I2" s="96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$K$19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82" customFormat="1" ht="45">
      <c r="A8" s="82" t="s">
        <v>59</v>
      </c>
      <c r="B8" s="82" t="s">
        <v>60</v>
      </c>
      <c r="C8" s="83" t="s">
        <v>61</v>
      </c>
      <c r="D8" s="81" t="s">
        <v>62</v>
      </c>
      <c r="E8" s="16">
        <v>41698</v>
      </c>
      <c r="F8" s="16">
        <v>41745</v>
      </c>
      <c r="G8" s="16">
        <v>41743</v>
      </c>
      <c r="H8" s="16"/>
      <c r="I8" s="15"/>
      <c r="J8" s="81" t="s">
        <v>93</v>
      </c>
      <c r="K8" s="84">
        <v>42306</v>
      </c>
    </row>
    <row r="9" spans="1:17" s="82" customFormat="1">
      <c r="A9" s="82" t="s">
        <v>59</v>
      </c>
      <c r="B9" s="82" t="s">
        <v>60</v>
      </c>
      <c r="C9" s="83" t="s">
        <v>63</v>
      </c>
      <c r="D9" s="81" t="s">
        <v>64</v>
      </c>
      <c r="E9" s="16">
        <v>41697</v>
      </c>
      <c r="F9" s="16">
        <v>41757</v>
      </c>
      <c r="G9" s="16">
        <v>41751</v>
      </c>
      <c r="H9" s="16"/>
      <c r="I9" s="15">
        <v>6</v>
      </c>
      <c r="J9" s="81" t="s">
        <v>101</v>
      </c>
      <c r="K9" s="84">
        <v>42306</v>
      </c>
    </row>
    <row r="10" spans="1:17" s="82" customFormat="1" ht="60">
      <c r="A10" s="82" t="s">
        <v>59</v>
      </c>
      <c r="B10" s="82" t="s">
        <v>60</v>
      </c>
      <c r="C10" s="83" t="s">
        <v>65</v>
      </c>
      <c r="D10" s="81" t="s">
        <v>66</v>
      </c>
      <c r="E10" s="16">
        <v>41695</v>
      </c>
      <c r="F10" s="16">
        <v>41757</v>
      </c>
      <c r="G10" s="16">
        <v>41752</v>
      </c>
      <c r="H10" s="16"/>
      <c r="I10" s="15"/>
      <c r="J10" s="81" t="s">
        <v>81</v>
      </c>
      <c r="K10" s="84">
        <v>42306</v>
      </c>
    </row>
    <row r="11" spans="1:17" s="82" customFormat="1">
      <c r="A11" s="82" t="s">
        <v>59</v>
      </c>
      <c r="B11" s="82" t="s">
        <v>60</v>
      </c>
      <c r="C11" s="83" t="s">
        <v>99</v>
      </c>
      <c r="D11" s="81" t="s">
        <v>100</v>
      </c>
      <c r="E11" s="16">
        <v>41927</v>
      </c>
      <c r="F11" s="16">
        <v>41967</v>
      </c>
      <c r="G11" s="16">
        <v>41950</v>
      </c>
      <c r="H11" s="16"/>
      <c r="I11" s="15">
        <v>3</v>
      </c>
      <c r="J11" s="81"/>
      <c r="K11" s="84">
        <v>42306</v>
      </c>
    </row>
    <row r="12" spans="1:17" s="82" customFormat="1">
      <c r="A12" s="82" t="s">
        <v>59</v>
      </c>
      <c r="B12" s="82" t="s">
        <v>60</v>
      </c>
      <c r="C12" s="83" t="s">
        <v>67</v>
      </c>
      <c r="D12" s="81" t="s">
        <v>68</v>
      </c>
      <c r="E12" s="16">
        <v>41708</v>
      </c>
      <c r="F12" s="16">
        <v>41757</v>
      </c>
      <c r="G12" s="16">
        <v>41746</v>
      </c>
      <c r="H12" s="16"/>
      <c r="I12" s="15">
        <v>3</v>
      </c>
      <c r="J12" s="81"/>
      <c r="K12" s="84">
        <v>42306</v>
      </c>
    </row>
    <row r="13" spans="1:17" s="82" customFormat="1" ht="45">
      <c r="A13" s="82" t="s">
        <v>59</v>
      </c>
      <c r="B13" s="82" t="s">
        <v>60</v>
      </c>
      <c r="C13" s="83" t="s">
        <v>69</v>
      </c>
      <c r="D13" s="81" t="s">
        <v>70</v>
      </c>
      <c r="E13" s="16">
        <v>41697</v>
      </c>
      <c r="F13" s="16">
        <v>41745</v>
      </c>
      <c r="G13" s="16">
        <v>41744</v>
      </c>
      <c r="H13" s="16"/>
      <c r="I13" s="15">
        <v>10</v>
      </c>
      <c r="J13" s="81" t="s">
        <v>92</v>
      </c>
      <c r="K13" s="84">
        <v>42306</v>
      </c>
    </row>
    <row r="14" spans="1:17" s="82" customFormat="1">
      <c r="A14" s="82" t="s">
        <v>59</v>
      </c>
      <c r="B14" s="82" t="s">
        <v>60</v>
      </c>
      <c r="C14" s="83" t="s">
        <v>77</v>
      </c>
      <c r="D14" s="81" t="s">
        <v>78</v>
      </c>
      <c r="E14" s="16">
        <v>41751</v>
      </c>
      <c r="F14" s="16">
        <v>41794</v>
      </c>
      <c r="G14" s="16">
        <v>41780</v>
      </c>
      <c r="H14" s="16"/>
      <c r="I14" s="15">
        <v>6</v>
      </c>
      <c r="J14" s="81" t="s">
        <v>102</v>
      </c>
      <c r="K14" s="84">
        <v>42306</v>
      </c>
    </row>
    <row r="15" spans="1:17" s="82" customFormat="1">
      <c r="A15" s="82" t="s">
        <v>59</v>
      </c>
      <c r="B15" s="82" t="s">
        <v>60</v>
      </c>
      <c r="C15" s="83" t="s">
        <v>79</v>
      </c>
      <c r="D15" s="81" t="s">
        <v>80</v>
      </c>
      <c r="E15" s="16">
        <v>41794</v>
      </c>
      <c r="F15" s="16">
        <v>41794</v>
      </c>
      <c r="G15" s="16">
        <v>41785</v>
      </c>
      <c r="H15" s="16"/>
      <c r="I15" s="15"/>
      <c r="J15" s="81"/>
      <c r="K15" s="84">
        <v>42306</v>
      </c>
    </row>
    <row r="16" spans="1:17" s="82" customFormat="1">
      <c r="A16" s="82" t="s">
        <v>59</v>
      </c>
      <c r="B16" s="82" t="s">
        <v>60</v>
      </c>
      <c r="C16" s="83" t="s">
        <v>71</v>
      </c>
      <c r="D16" s="81" t="s">
        <v>72</v>
      </c>
      <c r="E16" s="16">
        <v>41717</v>
      </c>
      <c r="F16" s="16">
        <v>41745</v>
      </c>
      <c r="G16" s="16">
        <v>41739</v>
      </c>
      <c r="H16" s="16"/>
      <c r="I16" s="15">
        <v>10</v>
      </c>
      <c r="J16" s="81" t="s">
        <v>103</v>
      </c>
      <c r="K16" s="84">
        <v>42306</v>
      </c>
    </row>
    <row r="17" spans="1:11" s="82" customFormat="1" ht="45">
      <c r="A17" s="82" t="s">
        <v>59</v>
      </c>
      <c r="B17" s="82" t="s">
        <v>60</v>
      </c>
      <c r="C17" s="83" t="s">
        <v>73</v>
      </c>
      <c r="D17" s="81" t="s">
        <v>74</v>
      </c>
      <c r="E17" s="16">
        <v>41698</v>
      </c>
      <c r="F17" s="16">
        <v>41757</v>
      </c>
      <c r="G17" s="16">
        <v>41753</v>
      </c>
      <c r="H17" s="16"/>
      <c r="I17" s="15">
        <v>3</v>
      </c>
      <c r="J17" s="81" t="s">
        <v>94</v>
      </c>
      <c r="K17" s="84">
        <v>42306</v>
      </c>
    </row>
    <row r="18" spans="1:11">
      <c r="A18" s="82" t="s">
        <v>59</v>
      </c>
      <c r="B18" s="82" t="s">
        <v>60</v>
      </c>
      <c r="C18" s="83" t="s">
        <v>97</v>
      </c>
      <c r="D18" s="81" t="s">
        <v>98</v>
      </c>
      <c r="E18" s="16">
        <v>41919</v>
      </c>
      <c r="F18" s="16">
        <v>41936</v>
      </c>
      <c r="G18" s="16">
        <v>41933</v>
      </c>
      <c r="H18" s="16"/>
      <c r="I18" s="15">
        <v>3</v>
      </c>
      <c r="J18" s="81"/>
      <c r="K18" s="84">
        <v>42306</v>
      </c>
    </row>
    <row r="19" spans="1:11">
      <c r="A19" s="82" t="s">
        <v>59</v>
      </c>
      <c r="B19" s="82" t="s">
        <v>60</v>
      </c>
      <c r="C19" s="83" t="s">
        <v>75</v>
      </c>
      <c r="D19" s="81" t="s">
        <v>76</v>
      </c>
      <c r="E19" s="16">
        <v>41701</v>
      </c>
      <c r="F19" s="16">
        <v>41757</v>
      </c>
      <c r="G19" s="16">
        <v>41753</v>
      </c>
      <c r="H19" s="16"/>
      <c r="I19" s="15">
        <v>4</v>
      </c>
      <c r="J19" s="81"/>
      <c r="K19" s="84">
        <v>42306</v>
      </c>
    </row>
    <row r="20" spans="1:11">
      <c r="A20" s="28"/>
      <c r="B20" s="28"/>
      <c r="C20" s="27" t="s">
        <v>15</v>
      </c>
      <c r="D20" s="33">
        <f>SUBTOTAL(3,D8:D19)</f>
        <v>12</v>
      </c>
      <c r="E20" s="33">
        <f>SUBTOTAL(3,[Date de réception convention financière])</f>
        <v>12</v>
      </c>
      <c r="F20" s="33">
        <f>SUBTOTAL(3,[Date de réception AR kit])</f>
        <v>12</v>
      </c>
      <c r="G20" s="33">
        <f>SUBTOTAL(3,[Date de MEP])</f>
        <v>12</v>
      </c>
      <c r="H20" s="85">
        <f>SUBTOTAL(3,[Desistement])</f>
        <v>0</v>
      </c>
      <c r="I20" s="27">
        <f>SUBTOTAL(109,I8:I19)</f>
        <v>48</v>
      </c>
      <c r="J20" s="31"/>
      <c r="K20" s="32"/>
    </row>
    <row r="21" spans="1:11">
      <c r="D21" s="10"/>
      <c r="J21" s="10"/>
    </row>
    <row r="22" spans="1:11">
      <c r="C22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180</v>
      </c>
      <c r="N4" s="100" t="str">
        <f>$C$10</f>
        <v>BOUROZ Jessica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180</v>
      </c>
      <c r="C10" s="42" t="s">
        <v>62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180</v>
      </c>
      <c r="C11" t="s">
        <v>62</v>
      </c>
      <c r="D11" s="19">
        <v>2</v>
      </c>
      <c r="I11" t="s">
        <v>57</v>
      </c>
      <c r="T11" t="s">
        <v>61</v>
      </c>
      <c r="U11" s="12">
        <v>42306</v>
      </c>
    </row>
    <row r="12" spans="2:48">
      <c r="B12">
        <v>180</v>
      </c>
      <c r="C12" t="s">
        <v>62</v>
      </c>
      <c r="D12" s="19">
        <v>3</v>
      </c>
      <c r="I12" t="s">
        <v>57</v>
      </c>
      <c r="T12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5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$U$15</f>
        <v>42306</v>
      </c>
      <c r="G4" s="50"/>
      <c r="H4" s="50"/>
      <c r="I4" s="34"/>
      <c r="J4" s="50"/>
      <c r="K4" s="50"/>
      <c r="L4" s="65" t="s">
        <v>17</v>
      </c>
      <c r="M4" s="63">
        <f>$B$15</f>
        <v>178</v>
      </c>
      <c r="N4" s="100" t="str">
        <f>$C$15</f>
        <v>CNUDDE François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178</v>
      </c>
      <c r="C10" s="42" t="s">
        <v>64</v>
      </c>
      <c r="D10" s="19">
        <v>1</v>
      </c>
      <c r="E10" s="25">
        <v>41766</v>
      </c>
      <c r="F10" s="25">
        <v>41774</v>
      </c>
      <c r="G10" s="25"/>
      <c r="H10" s="25"/>
      <c r="I10" s="44" t="s">
        <v>57</v>
      </c>
      <c r="J10" s="25">
        <v>41778</v>
      </c>
      <c r="K10" s="25"/>
      <c r="L10" s="25">
        <v>41837</v>
      </c>
      <c r="M10" s="25"/>
      <c r="N10" s="25">
        <v>41886</v>
      </c>
      <c r="O10" s="25"/>
      <c r="P10" s="25"/>
      <c r="Q10" s="25">
        <v>42131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178</v>
      </c>
      <c r="C11" s="73" t="s">
        <v>64</v>
      </c>
      <c r="D11" s="19">
        <v>2</v>
      </c>
      <c r="E11" s="25">
        <v>41766</v>
      </c>
      <c r="F11" s="25">
        <v>41774</v>
      </c>
      <c r="G11" s="25">
        <v>41810</v>
      </c>
      <c r="H11" s="25">
        <v>41774</v>
      </c>
      <c r="I11" s="44" t="s">
        <v>82</v>
      </c>
      <c r="J11" s="25">
        <v>41778</v>
      </c>
      <c r="K11" s="25">
        <v>41778</v>
      </c>
      <c r="L11" s="25">
        <v>41837</v>
      </c>
      <c r="M11" s="25">
        <v>41824</v>
      </c>
      <c r="N11" s="25">
        <v>41886</v>
      </c>
      <c r="O11" s="25">
        <v>41822</v>
      </c>
      <c r="P11" s="25">
        <v>41824</v>
      </c>
      <c r="Q11" s="25">
        <v>42131</v>
      </c>
      <c r="R11" s="25">
        <v>42164</v>
      </c>
      <c r="S11" s="25">
        <v>42166</v>
      </c>
      <c r="T11" s="73" t="s">
        <v>63</v>
      </c>
      <c r="U11" s="12">
        <v>42306</v>
      </c>
    </row>
    <row r="12" spans="2:48" ht="25.5">
      <c r="B12" s="72">
        <v>178</v>
      </c>
      <c r="C12" s="73" t="s">
        <v>64</v>
      </c>
      <c r="D12" s="19">
        <v>3</v>
      </c>
      <c r="E12" s="25">
        <v>41771</v>
      </c>
      <c r="F12" s="25">
        <v>41774</v>
      </c>
      <c r="H12" s="25">
        <v>41801</v>
      </c>
      <c r="I12" s="44" t="s">
        <v>83</v>
      </c>
      <c r="J12" s="25">
        <v>41783</v>
      </c>
      <c r="K12" s="25">
        <v>41808</v>
      </c>
      <c r="L12" s="25">
        <v>41842</v>
      </c>
      <c r="M12" s="25">
        <v>41864</v>
      </c>
      <c r="N12" s="25">
        <v>41891</v>
      </c>
      <c r="O12" s="25">
        <v>41901</v>
      </c>
      <c r="P12" s="25">
        <v>41904</v>
      </c>
      <c r="Q12" s="25">
        <v>42136</v>
      </c>
      <c r="R12" s="25">
        <v>42109</v>
      </c>
      <c r="S12" s="25">
        <v>42111</v>
      </c>
      <c r="T12" s="73" t="s">
        <v>63</v>
      </c>
      <c r="U12" s="12">
        <v>42306</v>
      </c>
    </row>
    <row r="13" spans="2:48" ht="25.5">
      <c r="B13" s="74">
        <v>178</v>
      </c>
      <c r="C13" s="75" t="s">
        <v>64</v>
      </c>
      <c r="D13" s="19">
        <v>4</v>
      </c>
      <c r="E13" s="25">
        <v>41779</v>
      </c>
      <c r="F13" s="25">
        <v>41918</v>
      </c>
      <c r="I13" s="44" t="s">
        <v>57</v>
      </c>
      <c r="J13" s="25">
        <v>41791</v>
      </c>
      <c r="K13" s="25">
        <v>41911</v>
      </c>
      <c r="L13" s="25">
        <v>41850</v>
      </c>
      <c r="M13" s="25">
        <v>41911</v>
      </c>
      <c r="N13" s="25">
        <v>41899</v>
      </c>
      <c r="O13" s="25">
        <v>41915</v>
      </c>
      <c r="P13" s="25">
        <v>41918</v>
      </c>
      <c r="Q13" s="25">
        <v>42144</v>
      </c>
      <c r="T13" s="75" t="s">
        <v>63</v>
      </c>
      <c r="U13" s="12">
        <v>42306</v>
      </c>
    </row>
    <row r="14" spans="2:48" ht="25.5">
      <c r="B14" s="74">
        <v>178</v>
      </c>
      <c r="C14" s="75" t="s">
        <v>64</v>
      </c>
      <c r="D14" s="19">
        <v>5</v>
      </c>
      <c r="E14" s="25">
        <v>41779</v>
      </c>
      <c r="F14" s="25">
        <v>41893</v>
      </c>
      <c r="G14" s="25">
        <v>41810</v>
      </c>
      <c r="I14" s="44" t="s">
        <v>57</v>
      </c>
      <c r="J14" s="25">
        <v>41791</v>
      </c>
      <c r="K14" s="25">
        <v>41801</v>
      </c>
      <c r="L14" s="25">
        <v>41850</v>
      </c>
      <c r="M14" s="25">
        <v>41856</v>
      </c>
      <c r="N14" s="25">
        <v>41899</v>
      </c>
      <c r="O14" s="25">
        <v>41905</v>
      </c>
      <c r="P14" s="25">
        <v>41907</v>
      </c>
      <c r="Q14" s="25">
        <v>42144</v>
      </c>
      <c r="T14" s="75" t="s">
        <v>63</v>
      </c>
      <c r="U14" s="12">
        <v>42306</v>
      </c>
    </row>
    <row r="15" spans="2:48" ht="25.5">
      <c r="B15" s="94">
        <v>178</v>
      </c>
      <c r="C15" s="95" t="s">
        <v>64</v>
      </c>
      <c r="D15" s="19">
        <v>6</v>
      </c>
      <c r="E15" s="25">
        <v>42020</v>
      </c>
      <c r="F15" s="25">
        <v>42032</v>
      </c>
      <c r="G15" s="25">
        <v>42090</v>
      </c>
      <c r="H15" s="25">
        <v>42024</v>
      </c>
      <c r="I15" s="44" t="s">
        <v>88</v>
      </c>
      <c r="J15" s="25">
        <v>42032</v>
      </c>
      <c r="K15" s="25">
        <v>42045</v>
      </c>
      <c r="L15" s="25">
        <v>42091</v>
      </c>
      <c r="M15" s="25">
        <v>42090</v>
      </c>
      <c r="N15" s="25">
        <v>42140</v>
      </c>
      <c r="O15" s="25">
        <v>42086</v>
      </c>
      <c r="P15" s="25">
        <v>42090</v>
      </c>
      <c r="Q15" s="25">
        <v>42385</v>
      </c>
      <c r="T15" s="95" t="s">
        <v>63</v>
      </c>
      <c r="U15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177</v>
      </c>
      <c r="N4" s="100" t="str">
        <f>$C$12</f>
        <v>DEMOULIN Maria-Valérie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177</v>
      </c>
      <c r="C10" s="42" t="s">
        <v>66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177</v>
      </c>
      <c r="C11" s="73" t="s">
        <v>66</v>
      </c>
      <c r="D11" s="19">
        <v>2</v>
      </c>
      <c r="I11" s="44" t="s">
        <v>57</v>
      </c>
      <c r="T11" s="73" t="s">
        <v>65</v>
      </c>
      <c r="U11" s="12">
        <v>42306</v>
      </c>
    </row>
    <row r="12" spans="2:48" ht="25.5">
      <c r="B12" s="72">
        <v>177</v>
      </c>
      <c r="C12" s="73" t="s">
        <v>66</v>
      </c>
      <c r="D12" s="19">
        <v>3</v>
      </c>
      <c r="I12" s="44" t="s">
        <v>57</v>
      </c>
      <c r="T12" s="73" t="s">
        <v>65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>
      <selection activeCell="H21" sqref="H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9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$U$12</f>
        <v>42306</v>
      </c>
      <c r="G4" s="50"/>
      <c r="H4" s="50"/>
      <c r="I4" s="34"/>
      <c r="J4" s="50"/>
      <c r="K4" s="50"/>
      <c r="L4" s="91" t="s">
        <v>17</v>
      </c>
      <c r="M4" s="63">
        <f>$B$12</f>
        <v>418</v>
      </c>
      <c r="N4" s="100" t="str">
        <f>$C$12</f>
        <v>DUPRE GOETGHEBEUR Dominique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418</v>
      </c>
      <c r="C10" s="42" t="s">
        <v>100</v>
      </c>
      <c r="D10" s="19">
        <v>1</v>
      </c>
      <c r="E10" s="25">
        <v>41949</v>
      </c>
      <c r="F10" s="25">
        <v>41963</v>
      </c>
      <c r="G10" s="25">
        <v>42024</v>
      </c>
      <c r="H10" s="25"/>
      <c r="I10" s="44" t="s">
        <v>57</v>
      </c>
      <c r="J10" s="25">
        <v>41961</v>
      </c>
      <c r="K10" s="25">
        <v>42024</v>
      </c>
      <c r="L10" s="25">
        <v>42020</v>
      </c>
      <c r="M10" s="25">
        <v>42024</v>
      </c>
      <c r="N10" s="25">
        <v>42069</v>
      </c>
      <c r="O10" s="25">
        <v>41956</v>
      </c>
      <c r="P10" s="25">
        <v>41962</v>
      </c>
      <c r="Q10" s="25">
        <v>42314</v>
      </c>
      <c r="R10" s="25">
        <v>42019</v>
      </c>
      <c r="S10" s="25">
        <v>42024</v>
      </c>
      <c r="T10" s="42" t="s">
        <v>99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94">
        <v>418</v>
      </c>
      <c r="C11" s="95" t="s">
        <v>100</v>
      </c>
      <c r="D11" s="19">
        <v>2</v>
      </c>
      <c r="E11" s="25">
        <v>41981</v>
      </c>
      <c r="F11" s="25">
        <v>41989</v>
      </c>
      <c r="G11" s="25">
        <v>41989</v>
      </c>
      <c r="H11" s="25">
        <v>41985</v>
      </c>
      <c r="I11" s="44" t="s">
        <v>91</v>
      </c>
      <c r="J11" s="25">
        <v>41993</v>
      </c>
      <c r="K11" s="25">
        <v>42002</v>
      </c>
      <c r="L11" s="25">
        <v>42052</v>
      </c>
      <c r="M11" s="25">
        <v>42053</v>
      </c>
      <c r="N11" s="25">
        <v>42101</v>
      </c>
      <c r="O11" s="25">
        <v>42037</v>
      </c>
      <c r="P11" s="25">
        <v>42041</v>
      </c>
      <c r="Q11" s="25">
        <v>42346</v>
      </c>
      <c r="T11" s="95" t="s">
        <v>99</v>
      </c>
      <c r="U11" s="12">
        <v>42306</v>
      </c>
    </row>
    <row r="12" spans="2:48" ht="38.25">
      <c r="B12" s="94">
        <v>418</v>
      </c>
      <c r="C12" s="95" t="s">
        <v>100</v>
      </c>
      <c r="D12" s="19">
        <v>3</v>
      </c>
      <c r="E12" s="25">
        <v>42019</v>
      </c>
      <c r="F12" s="25">
        <v>42024</v>
      </c>
      <c r="G12" s="25">
        <v>42024</v>
      </c>
      <c r="I12" s="44" t="s">
        <v>57</v>
      </c>
      <c r="J12" s="25">
        <v>42031</v>
      </c>
      <c r="L12" s="25">
        <v>42090</v>
      </c>
      <c r="N12" s="25">
        <v>42139</v>
      </c>
      <c r="Q12" s="25">
        <v>42384</v>
      </c>
      <c r="T12" s="95" t="s">
        <v>99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G30" sqref="G3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181</v>
      </c>
      <c r="N4" s="100" t="str">
        <f>$C$12</f>
        <v>EGUIA Belen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181</v>
      </c>
      <c r="C10" s="42" t="s">
        <v>68</v>
      </c>
      <c r="D10" s="19">
        <v>1</v>
      </c>
      <c r="E10" s="25">
        <v>41768</v>
      </c>
      <c r="F10" s="25">
        <v>41772</v>
      </c>
      <c r="G10" s="25">
        <v>41772</v>
      </c>
      <c r="H10" s="25"/>
      <c r="I10" s="44" t="s">
        <v>57</v>
      </c>
      <c r="J10" s="25">
        <v>41780</v>
      </c>
      <c r="K10" s="25"/>
      <c r="L10" s="25">
        <v>41839</v>
      </c>
      <c r="M10" s="25"/>
      <c r="N10" s="25">
        <v>41888</v>
      </c>
      <c r="O10" s="25"/>
      <c r="P10" s="25"/>
      <c r="Q10" s="25">
        <v>42133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181</v>
      </c>
      <c r="C11" s="73" t="s">
        <v>68</v>
      </c>
      <c r="D11" s="19">
        <v>2</v>
      </c>
      <c r="E11" s="25">
        <v>41771</v>
      </c>
      <c r="F11" s="25">
        <v>41775</v>
      </c>
      <c r="G11" s="25">
        <v>41775</v>
      </c>
      <c r="H11" s="25">
        <v>41775</v>
      </c>
      <c r="I11" s="44" t="s">
        <v>84</v>
      </c>
      <c r="J11" s="25">
        <v>41783</v>
      </c>
      <c r="K11" s="25">
        <v>41787</v>
      </c>
      <c r="L11" s="25">
        <v>41842</v>
      </c>
      <c r="M11" s="25">
        <v>41842</v>
      </c>
      <c r="N11" s="25">
        <v>41891</v>
      </c>
      <c r="Q11" s="25">
        <v>42136</v>
      </c>
      <c r="R11" s="25">
        <v>41925</v>
      </c>
      <c r="S11" s="25">
        <v>41927</v>
      </c>
      <c r="T11" s="73" t="s">
        <v>67</v>
      </c>
      <c r="U11" s="12">
        <v>42306</v>
      </c>
    </row>
    <row r="12" spans="2:48" ht="25.5">
      <c r="B12" s="72">
        <v>181</v>
      </c>
      <c r="C12" s="73" t="s">
        <v>68</v>
      </c>
      <c r="D12" s="19">
        <v>3</v>
      </c>
      <c r="E12" s="25">
        <v>41779</v>
      </c>
      <c r="F12" s="25">
        <v>41781</v>
      </c>
      <c r="I12" s="44" t="s">
        <v>57</v>
      </c>
      <c r="J12" s="25">
        <v>41791</v>
      </c>
      <c r="L12" s="25">
        <v>41850</v>
      </c>
      <c r="N12" s="25">
        <v>41899</v>
      </c>
      <c r="Q12" s="25">
        <v>42144</v>
      </c>
      <c r="T12" s="73" t="s">
        <v>67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9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$U$19</f>
        <v>42306</v>
      </c>
      <c r="G4" s="50"/>
      <c r="H4" s="50"/>
      <c r="I4" s="34"/>
      <c r="J4" s="50"/>
      <c r="K4" s="50"/>
      <c r="L4" s="65" t="s">
        <v>17</v>
      </c>
      <c r="M4" s="63">
        <f>$B$19</f>
        <v>179</v>
      </c>
      <c r="N4" s="100" t="str">
        <f>$C$19</f>
        <v>GRECO Matthieu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179</v>
      </c>
      <c r="C10" s="42" t="s">
        <v>70</v>
      </c>
      <c r="D10" s="19">
        <v>1</v>
      </c>
      <c r="E10" s="25">
        <v>41792</v>
      </c>
      <c r="F10" s="25">
        <v>41793</v>
      </c>
      <c r="G10" s="25">
        <v>41793</v>
      </c>
      <c r="H10" s="25">
        <v>41794</v>
      </c>
      <c r="I10" s="44" t="s">
        <v>85</v>
      </c>
      <c r="J10" s="25">
        <v>41804</v>
      </c>
      <c r="K10" s="25">
        <v>41807</v>
      </c>
      <c r="L10" s="25">
        <v>41863</v>
      </c>
      <c r="M10" s="25">
        <v>41872</v>
      </c>
      <c r="N10" s="25">
        <v>41912</v>
      </c>
      <c r="O10" s="25">
        <v>41822</v>
      </c>
      <c r="P10" s="25">
        <v>41824</v>
      </c>
      <c r="Q10" s="25">
        <v>42157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2">
        <v>179</v>
      </c>
      <c r="C11" s="73" t="s">
        <v>70</v>
      </c>
      <c r="D11" s="19">
        <v>2</v>
      </c>
      <c r="E11" s="25">
        <v>41796</v>
      </c>
      <c r="F11" s="25">
        <v>41800</v>
      </c>
      <c r="G11" s="25">
        <v>41800</v>
      </c>
      <c r="H11" s="25">
        <v>41800</v>
      </c>
      <c r="I11" s="44" t="s">
        <v>86</v>
      </c>
      <c r="J11" s="25">
        <v>41808</v>
      </c>
      <c r="K11" s="25">
        <v>41828</v>
      </c>
      <c r="L11" s="25">
        <v>41867</v>
      </c>
      <c r="M11" s="25">
        <v>41886</v>
      </c>
      <c r="N11" s="25">
        <v>41916</v>
      </c>
      <c r="O11" s="25">
        <v>41887</v>
      </c>
      <c r="P11" s="25">
        <v>41892</v>
      </c>
      <c r="Q11" s="25">
        <v>42161</v>
      </c>
      <c r="R11" s="25">
        <v>41936</v>
      </c>
      <c r="S11" s="25">
        <v>41939</v>
      </c>
      <c r="T11" s="73" t="s">
        <v>69</v>
      </c>
      <c r="U11" s="12">
        <v>42306</v>
      </c>
    </row>
    <row r="12" spans="2:48" ht="17.25" customHeight="1">
      <c r="B12" s="72">
        <v>179</v>
      </c>
      <c r="C12" s="73" t="s">
        <v>70</v>
      </c>
      <c r="D12" s="19">
        <v>3</v>
      </c>
      <c r="E12" s="25">
        <v>41800</v>
      </c>
      <c r="F12" s="25">
        <v>41801</v>
      </c>
      <c r="G12" s="25">
        <v>41801</v>
      </c>
      <c r="I12" s="44" t="s">
        <v>57</v>
      </c>
      <c r="J12" s="25">
        <v>41812</v>
      </c>
      <c r="K12" s="25">
        <v>41823</v>
      </c>
      <c r="L12" s="25">
        <v>41871</v>
      </c>
      <c r="M12" s="25">
        <v>41876</v>
      </c>
      <c r="N12" s="25">
        <v>41920</v>
      </c>
      <c r="O12" s="25">
        <v>41863</v>
      </c>
      <c r="P12" s="25">
        <v>41865</v>
      </c>
      <c r="Q12" s="25">
        <v>42165</v>
      </c>
      <c r="R12" s="25">
        <v>41941</v>
      </c>
      <c r="S12" s="25">
        <v>41943</v>
      </c>
      <c r="T12" s="73" t="s">
        <v>69</v>
      </c>
      <c r="U12" s="12">
        <v>42306</v>
      </c>
    </row>
    <row r="13" spans="2:48" ht="25.5">
      <c r="B13" s="43">
        <v>179</v>
      </c>
      <c r="C13" s="80" t="s">
        <v>70</v>
      </c>
      <c r="D13" s="19">
        <v>4</v>
      </c>
      <c r="E13" s="25">
        <v>41806</v>
      </c>
      <c r="F13" s="25">
        <v>41864</v>
      </c>
      <c r="H13" s="25">
        <v>41807</v>
      </c>
      <c r="I13" s="44" t="s">
        <v>95</v>
      </c>
      <c r="J13" s="25">
        <v>41818</v>
      </c>
      <c r="K13" s="25">
        <v>41814</v>
      </c>
      <c r="L13" s="25">
        <v>41877</v>
      </c>
      <c r="N13" s="25">
        <v>41926</v>
      </c>
      <c r="O13" s="25">
        <v>41877</v>
      </c>
      <c r="P13" s="25">
        <v>41879</v>
      </c>
      <c r="Q13" s="25">
        <v>42171</v>
      </c>
      <c r="T13" s="80" t="s">
        <v>69</v>
      </c>
      <c r="U13" s="12">
        <v>42306</v>
      </c>
    </row>
    <row r="14" spans="2:48" ht="25.5">
      <c r="B14" s="43">
        <v>179</v>
      </c>
      <c r="C14" s="80" t="s">
        <v>70</v>
      </c>
      <c r="D14" s="19">
        <v>5</v>
      </c>
      <c r="E14" s="25">
        <v>41830</v>
      </c>
      <c r="F14" s="25">
        <v>41835</v>
      </c>
      <c r="G14" s="25">
        <v>41835</v>
      </c>
      <c r="H14" s="25">
        <v>41835</v>
      </c>
      <c r="I14" s="44" t="s">
        <v>96</v>
      </c>
      <c r="J14" s="25">
        <v>41842</v>
      </c>
      <c r="L14" s="25">
        <v>41901</v>
      </c>
      <c r="N14" s="25">
        <v>41950</v>
      </c>
      <c r="Q14" s="25">
        <v>42195</v>
      </c>
      <c r="T14" s="80" t="s">
        <v>69</v>
      </c>
      <c r="U14" s="12">
        <v>42306</v>
      </c>
    </row>
    <row r="15" spans="2:48" ht="25.5">
      <c r="B15" s="94">
        <v>179</v>
      </c>
      <c r="C15" s="95" t="s">
        <v>70</v>
      </c>
      <c r="D15" s="19">
        <v>6</v>
      </c>
      <c r="E15" s="25">
        <v>41969</v>
      </c>
      <c r="F15" s="25">
        <v>41974</v>
      </c>
      <c r="G15" s="25">
        <v>41974</v>
      </c>
      <c r="H15" s="25">
        <v>41974</v>
      </c>
      <c r="I15" s="44" t="s">
        <v>84</v>
      </c>
      <c r="J15" s="25">
        <v>41981</v>
      </c>
      <c r="K15" s="25">
        <v>42002</v>
      </c>
      <c r="L15" s="25">
        <v>42040</v>
      </c>
      <c r="M15" s="25">
        <v>42002</v>
      </c>
      <c r="N15" s="25">
        <v>42089</v>
      </c>
      <c r="O15" s="25">
        <v>42009</v>
      </c>
      <c r="P15" s="25">
        <v>42016</v>
      </c>
      <c r="Q15" s="25">
        <v>42334</v>
      </c>
      <c r="T15" s="95" t="s">
        <v>69</v>
      </c>
      <c r="U15" s="12">
        <v>42306</v>
      </c>
    </row>
    <row r="16" spans="2:48" ht="25.5">
      <c r="B16" s="94">
        <v>179</v>
      </c>
      <c r="C16" s="95" t="s">
        <v>70</v>
      </c>
      <c r="D16" s="19">
        <v>7</v>
      </c>
      <c r="E16" s="25">
        <v>41975</v>
      </c>
      <c r="F16" s="25">
        <v>41977</v>
      </c>
      <c r="G16" s="25">
        <v>41977</v>
      </c>
      <c r="H16" s="25">
        <v>41977</v>
      </c>
      <c r="I16" s="44" t="s">
        <v>82</v>
      </c>
      <c r="J16" s="25">
        <v>41987</v>
      </c>
      <c r="K16" s="25">
        <v>41996</v>
      </c>
      <c r="L16" s="25">
        <v>42046</v>
      </c>
      <c r="M16" s="25">
        <v>42041</v>
      </c>
      <c r="N16" s="25">
        <v>42095</v>
      </c>
      <c r="O16" s="25">
        <v>42032</v>
      </c>
      <c r="P16" s="25">
        <v>42037</v>
      </c>
      <c r="Q16" s="25">
        <v>42340</v>
      </c>
      <c r="T16" s="95" t="s">
        <v>69</v>
      </c>
      <c r="U16" s="12">
        <v>42306</v>
      </c>
    </row>
    <row r="17" spans="2:21" ht="25.5">
      <c r="B17" s="94">
        <v>179</v>
      </c>
      <c r="C17" s="95" t="s">
        <v>70</v>
      </c>
      <c r="D17" s="19">
        <v>8</v>
      </c>
      <c r="E17" s="25">
        <v>41977</v>
      </c>
      <c r="F17" s="25">
        <v>41981</v>
      </c>
      <c r="G17" s="25">
        <v>41981</v>
      </c>
      <c r="H17" s="25">
        <v>41981</v>
      </c>
      <c r="I17" s="44" t="s">
        <v>104</v>
      </c>
      <c r="J17" s="25">
        <v>41989</v>
      </c>
      <c r="K17" s="25">
        <v>42002</v>
      </c>
      <c r="L17" s="25">
        <v>42048</v>
      </c>
      <c r="M17" s="25">
        <v>42040</v>
      </c>
      <c r="N17" s="25">
        <v>42097</v>
      </c>
      <c r="O17" s="25">
        <v>42102</v>
      </c>
      <c r="P17" s="25">
        <v>42107</v>
      </c>
      <c r="Q17" s="25">
        <v>42342</v>
      </c>
      <c r="T17" s="95" t="s">
        <v>69</v>
      </c>
      <c r="U17" s="12">
        <v>42306</v>
      </c>
    </row>
    <row r="18" spans="2:21" ht="25.5">
      <c r="B18" s="94">
        <v>179</v>
      </c>
      <c r="C18" s="95" t="s">
        <v>70</v>
      </c>
      <c r="D18" s="19">
        <v>9</v>
      </c>
      <c r="E18" s="25">
        <v>41978</v>
      </c>
      <c r="F18" s="25">
        <v>41981</v>
      </c>
      <c r="G18" s="25">
        <v>41981</v>
      </c>
      <c r="H18" s="25">
        <v>41981</v>
      </c>
      <c r="I18" s="44" t="s">
        <v>96</v>
      </c>
      <c r="J18" s="25">
        <v>41990</v>
      </c>
      <c r="K18" s="25">
        <v>42044</v>
      </c>
      <c r="L18" s="25">
        <v>42049</v>
      </c>
      <c r="M18" s="25">
        <v>42096</v>
      </c>
      <c r="N18" s="25">
        <v>42098</v>
      </c>
      <c r="O18" s="25">
        <v>42062</v>
      </c>
      <c r="P18" s="25">
        <v>42072</v>
      </c>
      <c r="Q18" s="25">
        <v>42343</v>
      </c>
      <c r="R18" s="25">
        <v>42258</v>
      </c>
      <c r="S18" s="25">
        <v>42261</v>
      </c>
      <c r="T18" s="95" t="s">
        <v>69</v>
      </c>
      <c r="U18" s="12">
        <v>42306</v>
      </c>
    </row>
    <row r="19" spans="2:21" ht="25.5">
      <c r="B19" s="94">
        <v>179</v>
      </c>
      <c r="C19" s="95" t="s">
        <v>70</v>
      </c>
      <c r="D19" s="19">
        <v>10</v>
      </c>
      <c r="E19" s="25">
        <v>41991</v>
      </c>
      <c r="F19" s="25">
        <v>41995</v>
      </c>
      <c r="G19" s="25">
        <v>41995</v>
      </c>
      <c r="H19" s="25">
        <v>41995</v>
      </c>
      <c r="I19" s="44" t="s">
        <v>91</v>
      </c>
      <c r="J19" s="25">
        <v>42003</v>
      </c>
      <c r="K19" s="25">
        <v>42016</v>
      </c>
      <c r="L19" s="25">
        <v>42062</v>
      </c>
      <c r="M19" s="25">
        <v>42066</v>
      </c>
      <c r="N19" s="25">
        <v>42111</v>
      </c>
      <c r="O19" s="25">
        <v>42083</v>
      </c>
      <c r="P19" s="25">
        <v>42089</v>
      </c>
      <c r="Q19" s="25">
        <v>42356</v>
      </c>
      <c r="T19" s="95" t="s">
        <v>69</v>
      </c>
      <c r="U19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6"/>
  <sheetViews>
    <sheetView workbookViewId="0">
      <selection activeCell="K25" sqref="K2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$U$16</f>
        <v>42306</v>
      </c>
      <c r="G4" s="50"/>
      <c r="H4" s="50"/>
      <c r="I4" s="34"/>
      <c r="J4" s="50"/>
      <c r="K4" s="50"/>
      <c r="L4" s="69" t="s">
        <v>17</v>
      </c>
      <c r="M4" s="63">
        <f>$B$16</f>
        <v>175</v>
      </c>
      <c r="N4" s="100" t="str">
        <f>$C$16</f>
        <v>JOUAN Nicole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175</v>
      </c>
      <c r="C10" s="42" t="s">
        <v>78</v>
      </c>
      <c r="D10" s="19">
        <v>1</v>
      </c>
      <c r="E10" s="25">
        <v>41785</v>
      </c>
      <c r="F10" s="25">
        <v>41835</v>
      </c>
      <c r="G10" s="25">
        <v>41823</v>
      </c>
      <c r="H10" s="25">
        <v>41823</v>
      </c>
      <c r="I10" s="44" t="s">
        <v>87</v>
      </c>
      <c r="J10" s="25">
        <v>41797</v>
      </c>
      <c r="K10" s="25"/>
      <c r="L10" s="25">
        <v>41856</v>
      </c>
      <c r="M10" s="25"/>
      <c r="N10" s="25">
        <v>41905</v>
      </c>
      <c r="O10" s="25">
        <v>41830</v>
      </c>
      <c r="P10" s="25">
        <v>41835</v>
      </c>
      <c r="Q10" s="25">
        <v>42150</v>
      </c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4">
        <v>175</v>
      </c>
      <c r="C11" s="75" t="s">
        <v>78</v>
      </c>
      <c r="D11" s="19">
        <v>2</v>
      </c>
      <c r="E11" s="25">
        <v>41746</v>
      </c>
      <c r="F11" s="25">
        <v>41838</v>
      </c>
      <c r="G11" s="25">
        <v>41838</v>
      </c>
      <c r="H11" s="25">
        <v>41838</v>
      </c>
      <c r="I11" s="44" t="s">
        <v>87</v>
      </c>
      <c r="J11" s="25">
        <v>41758</v>
      </c>
      <c r="K11" s="25">
        <v>41872</v>
      </c>
      <c r="L11" s="25">
        <v>41817</v>
      </c>
      <c r="M11" s="25">
        <v>41926</v>
      </c>
      <c r="N11" s="25">
        <v>41866</v>
      </c>
      <c r="O11" s="25">
        <v>41894</v>
      </c>
      <c r="P11" s="25">
        <v>41901</v>
      </c>
      <c r="Q11" s="25">
        <v>42111</v>
      </c>
      <c r="R11" s="25">
        <v>41935</v>
      </c>
      <c r="S11" s="25">
        <v>41941</v>
      </c>
      <c r="T11" s="75" t="s">
        <v>77</v>
      </c>
      <c r="U11" s="12">
        <v>42306</v>
      </c>
    </row>
    <row r="12" spans="2:48" ht="17.25" customHeight="1">
      <c r="B12" s="74">
        <v>175</v>
      </c>
      <c r="C12" s="75" t="s">
        <v>78</v>
      </c>
      <c r="D12" s="19">
        <v>3</v>
      </c>
      <c r="E12" s="25">
        <v>41793</v>
      </c>
      <c r="F12" s="25">
        <v>41865</v>
      </c>
      <c r="G12" s="25">
        <v>41823</v>
      </c>
      <c r="H12" s="25">
        <v>41823</v>
      </c>
      <c r="I12" s="44" t="s">
        <v>87</v>
      </c>
      <c r="J12" s="25">
        <v>41805</v>
      </c>
      <c r="L12" s="25">
        <v>41864</v>
      </c>
      <c r="N12" s="25">
        <v>41913</v>
      </c>
      <c r="Q12" s="25">
        <v>42158</v>
      </c>
      <c r="R12" s="25">
        <v>42080</v>
      </c>
      <c r="S12" s="25">
        <v>42081</v>
      </c>
      <c r="T12" s="75" t="s">
        <v>77</v>
      </c>
      <c r="U12" s="12">
        <v>42306</v>
      </c>
    </row>
    <row r="13" spans="2:48" ht="25.5">
      <c r="B13" s="43">
        <v>175</v>
      </c>
      <c r="C13" s="80" t="s">
        <v>78</v>
      </c>
      <c r="D13" s="19">
        <v>4</v>
      </c>
      <c r="E13" s="25">
        <v>41864</v>
      </c>
      <c r="F13" s="25">
        <v>41869</v>
      </c>
      <c r="G13" s="25">
        <v>41869</v>
      </c>
      <c r="H13" s="25">
        <v>41869</v>
      </c>
      <c r="I13" s="44" t="s">
        <v>90</v>
      </c>
      <c r="J13" s="25">
        <v>41876</v>
      </c>
      <c r="K13" s="25">
        <v>41947</v>
      </c>
      <c r="L13" s="25">
        <v>41935</v>
      </c>
      <c r="M13" s="25">
        <v>41947</v>
      </c>
      <c r="N13" s="25">
        <v>41984</v>
      </c>
      <c r="O13" s="25">
        <v>41940</v>
      </c>
      <c r="P13" s="25">
        <v>41941</v>
      </c>
      <c r="Q13" s="25">
        <v>42229</v>
      </c>
      <c r="R13" s="25">
        <v>42073</v>
      </c>
      <c r="S13" s="25">
        <v>42073</v>
      </c>
      <c r="T13" s="80" t="s">
        <v>77</v>
      </c>
      <c r="U13" s="12">
        <v>42306</v>
      </c>
    </row>
    <row r="14" spans="2:48" ht="25.5">
      <c r="B14" s="43">
        <v>175</v>
      </c>
      <c r="C14" s="80" t="s">
        <v>78</v>
      </c>
      <c r="D14" s="19">
        <v>5</v>
      </c>
      <c r="E14" s="25">
        <v>41891</v>
      </c>
      <c r="F14" s="25">
        <v>41893</v>
      </c>
      <c r="G14" s="25">
        <v>41893</v>
      </c>
      <c r="I14" s="44" t="s">
        <v>57</v>
      </c>
      <c r="J14" s="25">
        <v>41903</v>
      </c>
      <c r="L14" s="25">
        <v>41962</v>
      </c>
      <c r="N14" s="25">
        <v>42011</v>
      </c>
      <c r="Q14" s="25">
        <v>42256</v>
      </c>
      <c r="T14" s="80" t="s">
        <v>77</v>
      </c>
      <c r="U14" s="12">
        <v>42306</v>
      </c>
    </row>
    <row r="15" spans="2:48" ht="25.5">
      <c r="B15" s="94">
        <v>175</v>
      </c>
      <c r="C15" s="95" t="s">
        <v>78</v>
      </c>
      <c r="D15" s="19">
        <v>6</v>
      </c>
      <c r="I15" s="44" t="s">
        <v>57</v>
      </c>
      <c r="T15" s="95" t="s">
        <v>77</v>
      </c>
      <c r="U15" s="12">
        <v>42306</v>
      </c>
    </row>
    <row r="16" spans="2:48" ht="25.5">
      <c r="B16" s="94">
        <v>175</v>
      </c>
      <c r="C16" s="95" t="s">
        <v>78</v>
      </c>
      <c r="D16" s="19">
        <v>7</v>
      </c>
      <c r="E16" s="25">
        <v>41968</v>
      </c>
      <c r="F16" s="25">
        <v>41970</v>
      </c>
      <c r="G16" s="25">
        <v>41970</v>
      </c>
      <c r="H16" s="25">
        <v>41978</v>
      </c>
      <c r="I16" s="44" t="s">
        <v>90</v>
      </c>
      <c r="J16" s="25">
        <v>41980</v>
      </c>
      <c r="K16" s="25">
        <v>41985</v>
      </c>
      <c r="L16" s="25">
        <v>42039</v>
      </c>
      <c r="M16" s="25">
        <v>42039</v>
      </c>
      <c r="N16" s="25">
        <v>42088</v>
      </c>
      <c r="O16" s="25">
        <v>42019</v>
      </c>
      <c r="P16" s="25">
        <v>42020</v>
      </c>
      <c r="Q16" s="25">
        <v>42333</v>
      </c>
      <c r="T16" s="95" t="s">
        <v>77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>
      <selection activeCell="J22" sqref="J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7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$U$12</f>
        <v>42306</v>
      </c>
      <c r="G4" s="50"/>
      <c r="H4" s="50"/>
      <c r="I4" s="34"/>
      <c r="J4" s="50"/>
      <c r="K4" s="50"/>
      <c r="L4" s="77" t="s">
        <v>17</v>
      </c>
      <c r="M4" s="63">
        <f>$B$12</f>
        <v>313</v>
      </c>
      <c r="N4" s="100" t="str">
        <f>$C$12</f>
        <v>LE LU ZAVADIL Maryvonne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9" t="s">
        <v>32</v>
      </c>
      <c r="M8" s="79" t="s">
        <v>31</v>
      </c>
      <c r="N8" s="78" t="s">
        <v>33</v>
      </c>
      <c r="O8" s="78" t="s">
        <v>34</v>
      </c>
      <c r="P8" s="7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313</v>
      </c>
      <c r="C10" s="42" t="s">
        <v>80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2">
        <v>313</v>
      </c>
      <c r="C11" s="73" t="s">
        <v>80</v>
      </c>
      <c r="D11" s="19">
        <v>2</v>
      </c>
      <c r="I11" s="44" t="s">
        <v>57</v>
      </c>
      <c r="T11" s="73" t="s">
        <v>79</v>
      </c>
      <c r="U11" s="12">
        <v>42306</v>
      </c>
    </row>
    <row r="12" spans="2:48" ht="17.25" customHeight="1">
      <c r="B12" s="72">
        <v>313</v>
      </c>
      <c r="C12" s="73" t="s">
        <v>80</v>
      </c>
      <c r="D12" s="19">
        <v>3</v>
      </c>
      <c r="I12" s="44" t="s">
        <v>57</v>
      </c>
      <c r="T12" s="73" t="s">
        <v>79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0"/>
  <dimension ref="B1:AV19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$U$19</f>
        <v>42306</v>
      </c>
      <c r="G4" s="50"/>
      <c r="H4" s="50"/>
      <c r="I4" s="34"/>
      <c r="J4" s="50"/>
      <c r="K4" s="50"/>
      <c r="L4" s="65" t="s">
        <v>17</v>
      </c>
      <c r="M4" s="63">
        <f>$B$19</f>
        <v>174</v>
      </c>
      <c r="N4" s="100" t="str">
        <f>$C$19</f>
        <v>LE RU Yves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174</v>
      </c>
      <c r="C10" s="42" t="s">
        <v>72</v>
      </c>
      <c r="D10" s="19">
        <v>1</v>
      </c>
      <c r="E10" s="25">
        <v>41778</v>
      </c>
      <c r="F10" s="25">
        <v>41782</v>
      </c>
      <c r="G10" s="25">
        <v>41782</v>
      </c>
      <c r="H10" s="25">
        <v>41779</v>
      </c>
      <c r="I10" s="44" t="s">
        <v>88</v>
      </c>
      <c r="J10" s="25">
        <v>41790</v>
      </c>
      <c r="K10" s="25">
        <v>41792</v>
      </c>
      <c r="L10" s="25">
        <v>41849</v>
      </c>
      <c r="M10" s="25">
        <v>41862</v>
      </c>
      <c r="N10" s="25">
        <v>41898</v>
      </c>
      <c r="O10" s="25">
        <v>41824</v>
      </c>
      <c r="P10" s="25">
        <v>41827</v>
      </c>
      <c r="Q10" s="25">
        <v>42143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2">
        <v>174</v>
      </c>
      <c r="C11" s="73" t="s">
        <v>72</v>
      </c>
      <c r="D11" s="19">
        <v>2</v>
      </c>
      <c r="E11" s="25">
        <v>41778</v>
      </c>
      <c r="F11" s="25">
        <v>41870</v>
      </c>
      <c r="G11" s="25">
        <v>41782</v>
      </c>
      <c r="H11" s="25">
        <v>41870</v>
      </c>
      <c r="I11" s="44" t="s">
        <v>91</v>
      </c>
      <c r="J11" s="25">
        <v>41790</v>
      </c>
      <c r="K11" s="25">
        <v>41795</v>
      </c>
      <c r="L11" s="25">
        <v>41849</v>
      </c>
      <c r="N11" s="25">
        <v>41898</v>
      </c>
      <c r="O11" s="25">
        <v>41820</v>
      </c>
      <c r="P11" s="25">
        <v>41823</v>
      </c>
      <c r="Q11" s="25">
        <v>42143</v>
      </c>
      <c r="T11" s="73" t="s">
        <v>71</v>
      </c>
      <c r="U11" s="12">
        <v>42306</v>
      </c>
    </row>
    <row r="12" spans="2:48" ht="17.25" customHeight="1">
      <c r="B12" s="72">
        <v>174</v>
      </c>
      <c r="C12" s="73" t="s">
        <v>72</v>
      </c>
      <c r="D12" s="19">
        <v>3</v>
      </c>
      <c r="E12" s="25">
        <v>41781</v>
      </c>
      <c r="F12" s="25">
        <v>41785</v>
      </c>
      <c r="G12" s="25">
        <v>41800</v>
      </c>
      <c r="H12" s="25">
        <v>41800</v>
      </c>
      <c r="I12" s="44" t="s">
        <v>89</v>
      </c>
      <c r="J12" s="25">
        <v>41793</v>
      </c>
      <c r="K12" s="25">
        <v>41802</v>
      </c>
      <c r="L12" s="25">
        <v>41852</v>
      </c>
      <c r="N12" s="25">
        <v>41901</v>
      </c>
      <c r="O12" s="25">
        <v>41844</v>
      </c>
      <c r="P12" s="25">
        <v>41848</v>
      </c>
      <c r="Q12" s="25">
        <v>42146</v>
      </c>
      <c r="T12" s="73" t="s">
        <v>71</v>
      </c>
      <c r="U12" s="12">
        <v>42306</v>
      </c>
    </row>
    <row r="13" spans="2:48" ht="25.5">
      <c r="B13" s="74">
        <v>174</v>
      </c>
      <c r="C13" s="75" t="s">
        <v>72</v>
      </c>
      <c r="D13" s="19">
        <v>4</v>
      </c>
      <c r="E13" s="25">
        <v>41788</v>
      </c>
      <c r="F13" s="25">
        <v>41800</v>
      </c>
      <c r="G13" s="25">
        <v>41796</v>
      </c>
      <c r="H13" s="25">
        <v>41795</v>
      </c>
      <c r="I13" s="44" t="s">
        <v>85</v>
      </c>
      <c r="J13" s="25">
        <v>41800</v>
      </c>
      <c r="K13" s="25">
        <v>41813</v>
      </c>
      <c r="L13" s="25">
        <v>41859</v>
      </c>
      <c r="M13" s="25">
        <v>41898</v>
      </c>
      <c r="N13" s="25">
        <v>41908</v>
      </c>
      <c r="O13" s="25">
        <v>41841</v>
      </c>
      <c r="P13" s="25">
        <v>41843</v>
      </c>
      <c r="Q13" s="25">
        <v>42153</v>
      </c>
      <c r="T13" s="75" t="s">
        <v>71</v>
      </c>
      <c r="U13" s="12">
        <v>42306</v>
      </c>
    </row>
    <row r="14" spans="2:48" ht="25.5">
      <c r="B14" s="74">
        <v>174</v>
      </c>
      <c r="C14" s="75" t="s">
        <v>72</v>
      </c>
      <c r="D14" s="19">
        <v>5</v>
      </c>
      <c r="E14" s="25">
        <v>41816</v>
      </c>
      <c r="F14" s="25">
        <v>41820</v>
      </c>
      <c r="G14" s="25">
        <v>41821</v>
      </c>
      <c r="H14" s="25">
        <v>41820</v>
      </c>
      <c r="I14" s="44" t="s">
        <v>83</v>
      </c>
      <c r="J14" s="25">
        <v>41828</v>
      </c>
      <c r="K14" s="25">
        <v>41828</v>
      </c>
      <c r="L14" s="25">
        <v>41887</v>
      </c>
      <c r="M14" s="25">
        <v>41884</v>
      </c>
      <c r="N14" s="25">
        <v>41936</v>
      </c>
      <c r="O14" s="25">
        <v>41894</v>
      </c>
      <c r="P14" s="25">
        <v>41897</v>
      </c>
      <c r="Q14" s="25">
        <v>42181</v>
      </c>
      <c r="T14" s="75" t="s">
        <v>71</v>
      </c>
      <c r="U14" s="12">
        <v>42306</v>
      </c>
    </row>
    <row r="15" spans="2:48" ht="25.5">
      <c r="B15" s="94">
        <v>174</v>
      </c>
      <c r="C15" s="95" t="s">
        <v>72</v>
      </c>
      <c r="D15" s="19">
        <v>6</v>
      </c>
      <c r="E15" s="25">
        <v>41974</v>
      </c>
      <c r="F15" s="25">
        <v>41975</v>
      </c>
      <c r="G15" s="25">
        <v>41975</v>
      </c>
      <c r="H15" s="25">
        <v>41975</v>
      </c>
      <c r="I15" s="44" t="s">
        <v>88</v>
      </c>
      <c r="J15" s="25">
        <v>41986</v>
      </c>
      <c r="K15" s="25">
        <v>41992</v>
      </c>
      <c r="L15" s="25">
        <v>42045</v>
      </c>
      <c r="M15" s="25">
        <v>42110</v>
      </c>
      <c r="N15" s="25">
        <v>42094</v>
      </c>
      <c r="O15" s="25">
        <v>42018</v>
      </c>
      <c r="P15" s="25">
        <v>42023</v>
      </c>
      <c r="Q15" s="25">
        <v>42339</v>
      </c>
      <c r="T15" s="95" t="s">
        <v>71</v>
      </c>
      <c r="U15" s="12">
        <v>42306</v>
      </c>
    </row>
    <row r="16" spans="2:48" ht="25.5">
      <c r="B16" s="94">
        <v>174</v>
      </c>
      <c r="C16" s="95" t="s">
        <v>72</v>
      </c>
      <c r="D16" s="19">
        <v>7</v>
      </c>
      <c r="E16" s="25">
        <v>41976</v>
      </c>
      <c r="F16" s="25">
        <v>41978</v>
      </c>
      <c r="G16" s="25">
        <v>41978</v>
      </c>
      <c r="H16" s="25">
        <v>41978</v>
      </c>
      <c r="I16" s="44" t="s">
        <v>96</v>
      </c>
      <c r="J16" s="25">
        <v>41988</v>
      </c>
      <c r="K16" s="25">
        <v>41990</v>
      </c>
      <c r="L16" s="25">
        <v>42047</v>
      </c>
      <c r="M16" s="25">
        <v>42046</v>
      </c>
      <c r="N16" s="25">
        <v>42096</v>
      </c>
      <c r="O16" s="25">
        <v>42019</v>
      </c>
      <c r="P16" s="25">
        <v>42023</v>
      </c>
      <c r="Q16" s="25">
        <v>42341</v>
      </c>
      <c r="T16" s="95" t="s">
        <v>71</v>
      </c>
      <c r="U16" s="12">
        <v>42306</v>
      </c>
    </row>
    <row r="17" spans="2:21" ht="25.5">
      <c r="B17" s="94">
        <v>174</v>
      </c>
      <c r="C17" s="95" t="s">
        <v>72</v>
      </c>
      <c r="D17" s="19">
        <v>8</v>
      </c>
      <c r="E17" s="25">
        <v>41976</v>
      </c>
      <c r="F17" s="25">
        <v>41978</v>
      </c>
      <c r="G17" s="25">
        <v>41978</v>
      </c>
      <c r="H17" s="25">
        <v>41978</v>
      </c>
      <c r="I17" s="44" t="s">
        <v>88</v>
      </c>
      <c r="J17" s="25">
        <v>41988</v>
      </c>
      <c r="K17" s="25">
        <v>41991</v>
      </c>
      <c r="L17" s="25">
        <v>42047</v>
      </c>
      <c r="M17" s="25">
        <v>42108</v>
      </c>
      <c r="N17" s="25">
        <v>42096</v>
      </c>
      <c r="O17" s="25">
        <v>42041</v>
      </c>
      <c r="P17" s="25">
        <v>42045</v>
      </c>
      <c r="Q17" s="25">
        <v>42341</v>
      </c>
      <c r="T17" s="95" t="s">
        <v>71</v>
      </c>
      <c r="U17" s="12">
        <v>42306</v>
      </c>
    </row>
    <row r="18" spans="2:21" ht="25.5">
      <c r="B18" s="94">
        <v>174</v>
      </c>
      <c r="C18" s="95" t="s">
        <v>72</v>
      </c>
      <c r="D18" s="19">
        <v>9</v>
      </c>
      <c r="E18" s="25">
        <v>41981</v>
      </c>
      <c r="F18" s="25">
        <v>41984</v>
      </c>
      <c r="G18" s="25">
        <v>41984</v>
      </c>
      <c r="H18" s="25">
        <v>41984</v>
      </c>
      <c r="I18" s="44" t="s">
        <v>87</v>
      </c>
      <c r="J18" s="25">
        <v>41993</v>
      </c>
      <c r="K18" s="25">
        <v>41995</v>
      </c>
      <c r="L18" s="25">
        <v>42052</v>
      </c>
      <c r="M18" s="25">
        <v>42046</v>
      </c>
      <c r="N18" s="25">
        <v>42101</v>
      </c>
      <c r="O18" s="25">
        <v>42020</v>
      </c>
      <c r="P18" s="25">
        <v>42025</v>
      </c>
      <c r="Q18" s="25">
        <v>42346</v>
      </c>
      <c r="T18" s="95" t="s">
        <v>71</v>
      </c>
      <c r="U18" s="12">
        <v>42306</v>
      </c>
    </row>
    <row r="19" spans="2:21" ht="25.5">
      <c r="B19" s="94">
        <v>174</v>
      </c>
      <c r="C19" s="95" t="s">
        <v>72</v>
      </c>
      <c r="D19" s="19">
        <v>10</v>
      </c>
      <c r="E19" s="25">
        <v>41985</v>
      </c>
      <c r="F19" s="25">
        <v>41990</v>
      </c>
      <c r="G19" s="25">
        <v>41990</v>
      </c>
      <c r="H19" s="25">
        <v>41990</v>
      </c>
      <c r="I19" s="44" t="s">
        <v>90</v>
      </c>
      <c r="J19" s="25">
        <v>41997</v>
      </c>
      <c r="L19" s="25">
        <v>42056</v>
      </c>
      <c r="N19" s="25">
        <v>42105</v>
      </c>
      <c r="O19" s="25">
        <v>42076</v>
      </c>
      <c r="P19" s="25">
        <v>42080</v>
      </c>
      <c r="Q19" s="25">
        <v>42350</v>
      </c>
      <c r="T19" s="95" t="s">
        <v>71</v>
      </c>
      <c r="U19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1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182</v>
      </c>
      <c r="N4" s="100" t="str">
        <f>$C$12</f>
        <v>NICOL Christelle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182</v>
      </c>
      <c r="C10" s="42" t="s">
        <v>74</v>
      </c>
      <c r="D10" s="19">
        <v>1</v>
      </c>
      <c r="E10" s="25">
        <v>41961</v>
      </c>
      <c r="F10" s="25">
        <v>41963</v>
      </c>
      <c r="G10" s="25"/>
      <c r="H10" s="25"/>
      <c r="I10" s="44" t="s">
        <v>57</v>
      </c>
      <c r="J10" s="25">
        <v>41973</v>
      </c>
      <c r="K10" s="25">
        <v>41984</v>
      </c>
      <c r="L10" s="25">
        <v>42032</v>
      </c>
      <c r="M10" s="25">
        <v>42037</v>
      </c>
      <c r="N10" s="25">
        <v>42081</v>
      </c>
      <c r="O10" s="25"/>
      <c r="P10" s="25"/>
      <c r="Q10" s="25">
        <v>42326</v>
      </c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4">
        <v>182</v>
      </c>
      <c r="C11" s="75" t="s">
        <v>74</v>
      </c>
      <c r="D11" s="19">
        <v>2</v>
      </c>
      <c r="E11" s="25">
        <v>41963</v>
      </c>
      <c r="F11" s="25">
        <v>41967</v>
      </c>
      <c r="H11" s="25">
        <v>41964</v>
      </c>
      <c r="I11" s="44" t="s">
        <v>88</v>
      </c>
      <c r="J11" s="25">
        <v>41975</v>
      </c>
      <c r="K11" s="25">
        <v>41975</v>
      </c>
      <c r="L11" s="25">
        <v>42034</v>
      </c>
      <c r="M11" s="25">
        <v>42025</v>
      </c>
      <c r="N11" s="25">
        <v>42083</v>
      </c>
      <c r="Q11" s="25">
        <v>42328</v>
      </c>
      <c r="T11" s="75" t="s">
        <v>73</v>
      </c>
      <c r="U11" s="12">
        <v>42306</v>
      </c>
    </row>
    <row r="12" spans="2:48" ht="17.25" customHeight="1">
      <c r="B12" s="74">
        <v>182</v>
      </c>
      <c r="C12" s="75" t="s">
        <v>74</v>
      </c>
      <c r="D12" s="19">
        <v>3</v>
      </c>
      <c r="E12" s="25">
        <v>41733</v>
      </c>
      <c r="F12" s="25">
        <v>41967</v>
      </c>
      <c r="H12" s="25">
        <v>41970</v>
      </c>
      <c r="I12" s="44" t="s">
        <v>90</v>
      </c>
      <c r="J12" s="25">
        <v>41745</v>
      </c>
      <c r="K12" s="25">
        <v>41970</v>
      </c>
      <c r="L12" s="25">
        <v>41804</v>
      </c>
      <c r="M12" s="25">
        <v>41970</v>
      </c>
      <c r="N12" s="25">
        <v>41853</v>
      </c>
      <c r="O12" s="25">
        <v>41963</v>
      </c>
      <c r="P12" s="25">
        <v>41967</v>
      </c>
      <c r="Q12" s="25">
        <v>42098</v>
      </c>
      <c r="T12" s="75" t="s">
        <v>73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8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$U$12</f>
        <v>42306</v>
      </c>
      <c r="G4" s="50"/>
      <c r="H4" s="50"/>
      <c r="I4" s="34"/>
      <c r="J4" s="50"/>
      <c r="K4" s="50"/>
      <c r="L4" s="87" t="s">
        <v>17</v>
      </c>
      <c r="M4" s="63">
        <f>$B$12</f>
        <v>393</v>
      </c>
      <c r="N4" s="100" t="str">
        <f>$C$12</f>
        <v>RIVOALLAN Nadine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9" t="s">
        <v>32</v>
      </c>
      <c r="M8" s="89" t="s">
        <v>31</v>
      </c>
      <c r="N8" s="88" t="s">
        <v>33</v>
      </c>
      <c r="O8" s="88" t="s">
        <v>34</v>
      </c>
      <c r="P8" s="8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393</v>
      </c>
      <c r="C10" s="42" t="s">
        <v>98</v>
      </c>
      <c r="D10" s="19">
        <v>1</v>
      </c>
      <c r="E10" s="25">
        <v>41940</v>
      </c>
      <c r="F10" s="25">
        <v>41943</v>
      </c>
      <c r="G10" s="25">
        <v>41942</v>
      </c>
      <c r="H10" s="25">
        <v>41942</v>
      </c>
      <c r="I10" s="44" t="s">
        <v>91</v>
      </c>
      <c r="J10" s="25">
        <v>41952</v>
      </c>
      <c r="K10" s="25">
        <v>41956</v>
      </c>
      <c r="L10" s="25">
        <v>42011</v>
      </c>
      <c r="M10" s="25">
        <v>42012</v>
      </c>
      <c r="N10" s="25">
        <v>42060</v>
      </c>
      <c r="O10" s="25"/>
      <c r="P10" s="25"/>
      <c r="Q10" s="25">
        <v>42305</v>
      </c>
      <c r="R10" s="25">
        <v>42230</v>
      </c>
      <c r="S10" s="25">
        <v>42250</v>
      </c>
      <c r="T10" s="42" t="s">
        <v>97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94">
        <v>393</v>
      </c>
      <c r="C11" s="95" t="s">
        <v>98</v>
      </c>
      <c r="D11" s="19">
        <v>2</v>
      </c>
      <c r="E11" s="25">
        <v>42019</v>
      </c>
      <c r="F11" s="25">
        <v>42027</v>
      </c>
      <c r="G11" s="25">
        <v>42045</v>
      </c>
      <c r="H11" s="25">
        <v>42027</v>
      </c>
      <c r="I11" s="44" t="s">
        <v>91</v>
      </c>
      <c r="J11" s="25">
        <v>42031</v>
      </c>
      <c r="L11" s="25">
        <v>42090</v>
      </c>
      <c r="M11" s="25">
        <v>42235</v>
      </c>
      <c r="N11" s="25">
        <v>42139</v>
      </c>
      <c r="O11" s="25">
        <v>42254</v>
      </c>
      <c r="P11" s="25">
        <v>42257</v>
      </c>
      <c r="Q11" s="25">
        <v>42384</v>
      </c>
      <c r="T11" s="95" t="s">
        <v>97</v>
      </c>
      <c r="U11" s="12">
        <v>42306</v>
      </c>
    </row>
    <row r="12" spans="2:48" ht="17.25" customHeight="1">
      <c r="B12" s="94">
        <v>393</v>
      </c>
      <c r="C12" s="95" t="s">
        <v>98</v>
      </c>
      <c r="D12" s="19">
        <v>3</v>
      </c>
      <c r="E12" s="25">
        <v>42023</v>
      </c>
      <c r="F12" s="25">
        <v>42025</v>
      </c>
      <c r="G12" s="25">
        <v>42025</v>
      </c>
      <c r="H12" s="25">
        <v>42025</v>
      </c>
      <c r="I12" s="44" t="s">
        <v>89</v>
      </c>
      <c r="J12" s="25">
        <v>42035</v>
      </c>
      <c r="K12" s="25">
        <v>42040</v>
      </c>
      <c r="L12" s="25">
        <v>42094</v>
      </c>
      <c r="M12" s="25">
        <v>42090</v>
      </c>
      <c r="N12" s="25">
        <v>42143</v>
      </c>
      <c r="O12" s="25">
        <v>42115</v>
      </c>
      <c r="P12" s="25">
        <v>42117</v>
      </c>
      <c r="Q12" s="25">
        <v>42388</v>
      </c>
      <c r="R12" s="25">
        <v>42282</v>
      </c>
      <c r="S12" s="25">
        <v>42284</v>
      </c>
      <c r="T12" s="95" t="s">
        <v>97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3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7" t="s">
        <v>16</v>
      </c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9"/>
      <c r="M3" s="99"/>
      <c r="N3" s="9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2" t="s">
        <v>58</v>
      </c>
      <c r="E4" s="112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176</v>
      </c>
      <c r="N4" s="100" t="str">
        <f>$C$14</f>
        <v>VIGY Pascal</v>
      </c>
      <c r="O4" s="100"/>
      <c r="P4" s="100"/>
      <c r="Q4" s="100"/>
      <c r="R4" s="10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1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176</v>
      </c>
      <c r="C10" s="42" t="s">
        <v>76</v>
      </c>
      <c r="D10" s="19">
        <v>1</v>
      </c>
      <c r="E10" s="25">
        <v>41754</v>
      </c>
      <c r="F10" s="25">
        <v>41758</v>
      </c>
      <c r="G10" s="25">
        <v>41758</v>
      </c>
      <c r="H10" s="25"/>
      <c r="I10" s="44" t="s">
        <v>57</v>
      </c>
      <c r="J10" s="25">
        <v>41766</v>
      </c>
      <c r="K10" s="25">
        <v>41779</v>
      </c>
      <c r="L10" s="25">
        <v>41825</v>
      </c>
      <c r="M10" s="25"/>
      <c r="N10" s="25">
        <v>41874</v>
      </c>
      <c r="O10" s="25">
        <v>41848</v>
      </c>
      <c r="P10" s="25">
        <v>41856</v>
      </c>
      <c r="Q10" s="25">
        <v>42119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2">
        <v>176</v>
      </c>
      <c r="C11" s="73" t="s">
        <v>76</v>
      </c>
      <c r="D11" s="19">
        <v>2</v>
      </c>
      <c r="E11" s="25">
        <v>41757</v>
      </c>
      <c r="F11" s="25">
        <v>41764</v>
      </c>
      <c r="G11" s="25">
        <v>41764</v>
      </c>
      <c r="I11" s="44" t="s">
        <v>57</v>
      </c>
      <c r="J11" s="25">
        <v>41769</v>
      </c>
      <c r="L11" s="25">
        <v>41828</v>
      </c>
      <c r="N11" s="25">
        <v>41877</v>
      </c>
      <c r="Q11" s="25">
        <v>42122</v>
      </c>
      <c r="T11" s="73" t="s">
        <v>75</v>
      </c>
      <c r="U11" s="12">
        <v>42306</v>
      </c>
    </row>
    <row r="12" spans="2:48" ht="17.25" customHeight="1">
      <c r="B12" s="72">
        <v>176</v>
      </c>
      <c r="C12" s="73" t="s">
        <v>76</v>
      </c>
      <c r="D12" s="19">
        <v>3</v>
      </c>
      <c r="E12" s="25">
        <v>41785</v>
      </c>
      <c r="F12" s="25">
        <v>41793</v>
      </c>
      <c r="G12" s="25">
        <v>41793</v>
      </c>
      <c r="H12" s="25">
        <v>41793</v>
      </c>
      <c r="I12" s="44" t="s">
        <v>90</v>
      </c>
      <c r="J12" s="25">
        <v>41797</v>
      </c>
      <c r="K12" s="25">
        <v>41793</v>
      </c>
      <c r="L12" s="25">
        <v>41856</v>
      </c>
      <c r="M12" s="25">
        <v>41849</v>
      </c>
      <c r="N12" s="25">
        <v>41905</v>
      </c>
      <c r="O12" s="25">
        <v>41849</v>
      </c>
      <c r="P12" s="25">
        <v>41856</v>
      </c>
      <c r="Q12" s="25">
        <v>42150</v>
      </c>
      <c r="R12" s="25">
        <v>41968</v>
      </c>
      <c r="S12" s="25">
        <v>41970</v>
      </c>
      <c r="T12" s="73" t="s">
        <v>75</v>
      </c>
      <c r="U12" s="12">
        <v>42306</v>
      </c>
    </row>
    <row r="13" spans="2:48" ht="25.5">
      <c r="B13" s="43">
        <v>176</v>
      </c>
      <c r="C13" s="80" t="s">
        <v>76</v>
      </c>
      <c r="D13" s="19">
        <v>4</v>
      </c>
      <c r="E13" s="25">
        <v>41814</v>
      </c>
      <c r="F13" s="25">
        <v>41827</v>
      </c>
      <c r="H13" s="25">
        <v>41827</v>
      </c>
      <c r="I13" s="44" t="s">
        <v>91</v>
      </c>
      <c r="J13" s="25">
        <v>41826</v>
      </c>
      <c r="L13" s="25">
        <v>41885</v>
      </c>
      <c r="N13" s="25">
        <v>41934</v>
      </c>
      <c r="Q13" s="25">
        <v>42179</v>
      </c>
      <c r="T13" s="80" t="s">
        <v>75</v>
      </c>
      <c r="U13" s="12">
        <v>42306</v>
      </c>
    </row>
    <row r="14" spans="2:48" ht="25.5">
      <c r="B14" s="43">
        <v>176</v>
      </c>
      <c r="C14" s="80" t="s">
        <v>76</v>
      </c>
      <c r="D14" s="19">
        <v>5</v>
      </c>
      <c r="I14" s="44" t="s">
        <v>57</v>
      </c>
      <c r="T14" s="80" t="s">
        <v>75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Secteur DE0305</vt:lpstr>
      <vt:lpstr>04302794</vt:lpstr>
      <vt:lpstr>02080663</vt:lpstr>
      <vt:lpstr>02845211</vt:lpstr>
      <vt:lpstr>02633029</vt:lpstr>
      <vt:lpstr>00202232</vt:lpstr>
      <vt:lpstr>03535199</vt:lpstr>
      <vt:lpstr>04879822</vt:lpstr>
      <vt:lpstr>05403998</vt:lpstr>
      <vt:lpstr>05499670</vt:lpstr>
      <vt:lpstr>08069176</vt:lpstr>
      <vt:lpstr>07906060</vt:lpstr>
      <vt:lpstr>09221364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2015-10-29T22:02:35Z</dcterms:modified>
</cp:coreProperties>
</file>