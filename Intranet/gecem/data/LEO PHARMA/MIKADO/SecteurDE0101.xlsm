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/>
  </bookViews>
  <sheets>
    <sheet name="Secteur DE0101" sheetId="1" r:id="rId1"/>
    <sheet name="0989430" sheetId="2" r:id="rId2"/>
    <sheet name="1411244" sheetId="7" r:id="rId3"/>
    <sheet name="1336773" sheetId="8" r:id="rId4"/>
    <sheet name="01506306" sheetId="16" r:id="rId5"/>
    <sheet name="3887805" sheetId="9" r:id="rId6"/>
    <sheet name="4561203" sheetId="10" r:id="rId7"/>
    <sheet name="03153850" sheetId="15" r:id="rId8"/>
    <sheet name="4427290" sheetId="11" r:id="rId9"/>
    <sheet name="5627214" sheetId="12" r:id="rId10"/>
    <sheet name="8437070" sheetId="13" r:id="rId11"/>
    <sheet name="9135667" sheetId="14" r:id="rId12"/>
  </sheets>
  <definedNames>
    <definedName name="Lancer_la_requête_à_partir_de_MS_Access_Database" localSheetId="4" hidden="1">'01506306'!$B$9:$U$12</definedName>
    <definedName name="Lancer_la_requête_à_partir_de_MS_Access_Database" localSheetId="7" hidden="1">'03153850'!$B$9:$U$12</definedName>
    <definedName name="Lancer_la_requête_à_partir_de_MS_Access_Database" localSheetId="1" hidden="1">'0989430'!$B$9:$U$14</definedName>
    <definedName name="Lancer_la_requête_à_partir_de_MS_Access_Database" localSheetId="3" hidden="1">'1336773'!$B$9:$U$12</definedName>
    <definedName name="Lancer_la_requête_à_partir_de_MS_Access_Database" localSheetId="2" hidden="1">'1411244'!$B$9:$U$12</definedName>
    <definedName name="Lancer_la_requête_à_partir_de_MS_Access_Database" localSheetId="5" hidden="1">'3887805'!$B$9:$U$14</definedName>
    <definedName name="Lancer_la_requête_à_partir_de_MS_Access_Database" localSheetId="8" hidden="1">'4427290'!$B$9:$U$12</definedName>
    <definedName name="Lancer_la_requête_à_partir_de_MS_Access_Database" localSheetId="6" hidden="1">'4561203'!$B$9:$U$12</definedName>
    <definedName name="Lancer_la_requête_à_partir_de_MS_Access_Database" localSheetId="9" hidden="1">'5627214'!$B$9:$U$14</definedName>
    <definedName name="Lancer_la_requête_à_partir_de_MS_Access_Database" localSheetId="10" hidden="1">'8437070'!$B$9:$U$12</definedName>
    <definedName name="Lancer_la_requête_à_partir_de_MS_Access_Database" localSheetId="11" hidden="1">'9135667'!$B$9:$U$15</definedName>
    <definedName name="Lancer_la_requête_à_partir_de_MS_Access_Database_1" localSheetId="0" hidden="1">'Secteur DE0101'!$A$7:$K$18</definedName>
  </definedNames>
  <calcPr calcId="125725"/>
</workbook>
</file>

<file path=xl/calcChain.xml><?xml version="1.0" encoding="utf-8"?>
<calcChain xmlns="http://schemas.openxmlformats.org/spreadsheetml/2006/main">
  <c r="D19" i="1"/>
  <c r="E19"/>
  <c r="F19"/>
  <c r="G19"/>
  <c r="H19"/>
  <c r="I19"/>
  <c r="N4" i="16"/>
  <c r="M4"/>
  <c r="F4"/>
  <c r="N4" i="15" l="1"/>
  <c r="M4"/>
  <c r="F4"/>
  <c r="N4" i="14"/>
  <c r="M4"/>
  <c r="F4"/>
  <c r="N4" i="13"/>
  <c r="M4"/>
  <c r="F4"/>
  <c r="N4" i="12"/>
  <c r="M4"/>
  <c r="F4"/>
  <c r="N4" i="11"/>
  <c r="M4"/>
  <c r="F4"/>
  <c r="N4" i="10"/>
  <c r="M4"/>
  <c r="F4"/>
  <c r="N4" i="9"/>
  <c r="M4"/>
  <c r="F4"/>
  <c r="N4" i="8"/>
  <c r="M4"/>
  <c r="F4"/>
  <c r="N4" i="7"/>
  <c r="M4"/>
  <c r="F4"/>
  <c r="N4" i="2"/>
  <c r="M4"/>
  <c r="F4"/>
  <c r="G2" i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101')_x000d__x000a_ORDER BY Req_REPORT_SECTEURS_GLOBAL.Medecin"/>
  </connection>
  <connection id="2" name="Lancer la requête à partir de MS Access Database0098943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989430')"/>
  </connection>
  <connection id="3" name="Lancer la requête à partir de MS Access Database0133677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336773')"/>
  </connection>
  <connection id="4" name="Lancer la requête à partir de MS Access Database01411244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411244')"/>
  </connection>
  <connection id="5" name="Lancer la requête à partir de MS Access Database0150630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1506306')"/>
  </connection>
  <connection id="6" name="Lancer la requête à partir de MS Access Database0315385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153850')"/>
  </connection>
  <connection id="7" name="Lancer la requête à partir de MS Access Database0388780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887805')"/>
  </connection>
  <connection id="8" name="Lancer la requête à partir de MS Access Database0442729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427290')"/>
  </connection>
  <connection id="9" name="Lancer la requête à partir de MS Access Database0456120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561203')"/>
  </connection>
  <connection id="10" name="Lancer la requête à partir de MS Access Database05627214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627214')"/>
  </connection>
  <connection id="11" name="Lancer la requête à partir de MS Access Database0843707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437070')"/>
  </connection>
  <connection id="12" name="Lancer la requête à partir de MS Access Database0913566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9135667')"/>
  </connection>
</connections>
</file>

<file path=xl/sharedStrings.xml><?xml version="1.0" encoding="utf-8"?>
<sst xmlns="http://schemas.openxmlformats.org/spreadsheetml/2006/main" count="699" uniqueCount="104">
  <si>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</si>
  <si>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</si>
  <si>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</si>
  <si>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</si>
  <si>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</si>
  <si>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</si>
  <si>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</si>
  <si>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</si>
  <si>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</si>
  <si>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</si>
  <si>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</si>
  <si>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</si>
  <si>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</si>
  <si>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</si>
  <si>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</si>
  <si>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</si>
  <si>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</si>
  <si>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</si>
  <si>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</si>
  <si>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</si>
  <si>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</si>
  <si>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</si>
  <si>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</si>
  <si>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</si>
  <si>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</si>
  <si>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</si>
  <si>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</si>
  <si>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</si>
  <si>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</si>
  <si>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</si>
  <si>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</si>
  <si>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</si>
  <si>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</si>
  <si>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</si>
  <si>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</si>
  <si>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</si>
  <si>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</si>
  <si>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</si>
  <si>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</si>
  <si>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</si>
  <si>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</si>
  <si>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</si>
  <si>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</si>
  <si>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</si>
  <si>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</si>
  <si>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</si>
  <si>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</si>
  <si>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</si>
  <si>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</si>
  <si>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</si>
  <si>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</si>
  <si>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</si>
  <si>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</si>
  <si>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</si>
  <si>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</si>
  <si>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</si>
  <si>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</si>
  <si>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</si>
  <si>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</si>
  <si>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DE0101</t>
  </si>
  <si>
    <t>REMOISSENET Sandrine</t>
  </si>
  <si>
    <t>WFRM00989430</t>
  </si>
  <si>
    <t>BLOMME Valérie</t>
  </si>
  <si>
    <t>WFRM01411244</t>
  </si>
  <si>
    <t>BORNE Estelle</t>
  </si>
  <si>
    <t>WFRM01336773</t>
  </si>
  <si>
    <t>BRANQUART Hubert</t>
  </si>
  <si>
    <t>WFRM03887805</t>
  </si>
  <si>
    <t>CHASSINE Anne-Fleur</t>
  </si>
  <si>
    <t>WFRM04561203</t>
  </si>
  <si>
    <t>COURIVAUD-CANONNE Domitille</t>
  </si>
  <si>
    <t>WFRM04427290</t>
  </si>
  <si>
    <t>HACHE Didier</t>
  </si>
  <si>
    <t>WFRM05627214</t>
  </si>
  <si>
    <t>LENGRAND Freddy</t>
  </si>
  <si>
    <t>WFRM08437070</t>
  </si>
  <si>
    <t>SERGENT Alain</t>
  </si>
  <si>
    <t>WFRM09135667</t>
  </si>
  <si>
    <t>THUILLIER Delphine</t>
  </si>
  <si>
    <t>DUPONT Caroline</t>
  </si>
  <si>
    <t>WFRM03153850</t>
  </si>
  <si>
    <t>WFRM01506306</t>
  </si>
  <si>
    <t>BRIDOUX Catherine</t>
  </si>
  <si>
    <t>17juin: secretaire indique que ce médecin ne travaille plus dans ce cabinet, ne peut donner nouvelle adresse</t>
  </si>
  <si>
    <t>Via médecin</t>
  </si>
  <si>
    <t>Courrier - Téléphone - Via médecin</t>
  </si>
  <si>
    <t>Téléphone - Via médecin</t>
  </si>
  <si>
    <t>Mail - Courrier - Téléphone</t>
  </si>
  <si>
    <t>SMS - Mail</t>
  </si>
  <si>
    <t>Mail - Courrier - Téléphone - Via médecin</t>
  </si>
  <si>
    <t>Téléphone</t>
  </si>
  <si>
    <t>Mail - Téléphone</t>
  </si>
  <si>
    <t>SMS - Courrier</t>
  </si>
  <si>
    <t>Courrier 22août : envoi courrier pour relance à faire patients 1, 2, 3 n'ont pas renvoyé leur auto-questionnaire 2 mois.</t>
  </si>
  <si>
    <t>Mail</t>
  </si>
  <si>
    <t>18 septembre : Le Dr BRANQUART s'excuse mais il doit renoncer à participer à l'étude Mikado faute de temps (collègue malade, il est du coup surchargé)</t>
  </si>
  <si>
    <t>19sept:Dr d'accord pour reappro. 2 cahiers envoyés</t>
  </si>
  <si>
    <t>29oct: va nous transmettre la visite inclusion patient 1, attention il a utilisé l'AQ 2 mois du patient 3 pour le patient 1. Lui renvoyer un AQ 2 mois pour le remplacer.</t>
  </si>
  <si>
    <t>Courrier</t>
  </si>
  <si>
    <t>Courrier - Téléphone</t>
  </si>
  <si>
    <t>18nov: ne pense pas pouvoir inclure de nv patients</t>
  </si>
  <si>
    <t>SMS - Mail - Courrier - Téléphone</t>
  </si>
  <si>
    <t>Mail - Courrier</t>
  </si>
  <si>
    <t>23sept:Dr demande à etre reappro. 2 cahiers envoyés.</t>
  </si>
</sst>
</file>

<file path=xl/styles.xml><?xml version="1.0" encoding="utf-8"?>
<styleSheet xmlns="http://schemas.openxmlformats.org/spreadsheetml/2006/main">
  <numFmts count="1">
    <numFmt numFmtId="164" formatCode="dd/mm/yy;@"/>
  </numFmts>
  <fonts count="26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09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1" fillId="0" borderId="0" xfId="2" applyAlignment="1" applyProtection="1">
      <alignment horizontal="center" vertical="center"/>
    </xf>
    <xf numFmtId="22" fontId="0" fillId="0" borderId="0" xfId="0" applyNumberFormat="1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 applyAlignment="1">
      <alignment vertical="center" wrapText="1"/>
    </xf>
    <xf numFmtId="164" fontId="0" fillId="0" borderId="0" xfId="0" applyNumberFormat="1" applyAlignment="1">
      <alignment vertical="center"/>
    </xf>
    <xf numFmtId="22" fontId="0" fillId="0" borderId="0" xfId="0" applyNumberFormat="1" applyAlignment="1">
      <alignment vertical="center"/>
    </xf>
    <xf numFmtId="0" fontId="0" fillId="0" borderId="0" xfId="0" applyNumberFormat="1" applyBorder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262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0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164" formatCode="dd/mm/yy;@"/>
      <alignment horizontal="center" vertical="center" textRotation="0" wrapText="0" indent="0" relativeIndent="0" justifyLastLine="0" shrinkToFit="0" mergeCell="0" readingOrder="0"/>
    </dxf>
    <dxf>
      <numFmt numFmtId="27" formatCode="m/d/yyyy\ h:mm"/>
      <alignment horizontal="general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  <protection locked="1" hidden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261"/>
      <tableStyleElement type="headerRow" dxfId="260"/>
      <tableStyleElement type="totalRow" dxfId="259"/>
      <tableStyleElement type="firstColumn" dxfId="258"/>
      <tableStyleElement type="lastColumn" dxfId="257"/>
      <tableStyleElement type="firstRowStripe" dxfId="256"/>
      <tableStyleElement type="secondRowStripe" dxfId="255"/>
      <tableStyleElement type="firstColumnStripe" dxfId="254"/>
      <tableStyleElement type="secondColumnStripe" dxfId="253"/>
    </tableStyle>
    <tableStyle name="TableStyleLight8 2" pivot="0" count="9">
      <tableStyleElement type="wholeTable" dxfId="252"/>
      <tableStyleElement type="headerRow" dxfId="251"/>
      <tableStyleElement type="totalRow" dxfId="250"/>
      <tableStyleElement type="firstColumn" dxfId="249"/>
      <tableStyleElement type="lastColumn" dxfId="248"/>
      <tableStyleElement type="firstRowStripe" dxfId="247"/>
      <tableStyleElement type="secondRowStripe" dxfId="246"/>
      <tableStyleElement type="firstColumnStripe" dxfId="245"/>
      <tableStyleElement type="secondColumnStripe" dxfId="244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2">
    <queryTableFields count="11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1.xml><?xml version="1.0" encoding="utf-8"?>
<queryTable xmlns="http://schemas.openxmlformats.org/spreadsheetml/2006/main" name="Lancer la requête à partir de MS Access Database" adjustColumnWidth="0" connectionId="1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2.xml><?xml version="1.0" encoding="utf-8"?>
<queryTable xmlns="http://schemas.openxmlformats.org/spreadsheetml/2006/main" name="Lancer la requête à partir de MS Access Database" adjustColumnWidth="0" connectionId="1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K19" tableType="queryTable" totalsRowCount="1" headerRowDxfId="243" dataDxfId="242">
  <tableColumns count="11">
    <tableColumn id="1" uniqueName="1" name="Code Secteur" queryTableFieldId="1" dataDxfId="230" totalsRowDxfId="231"/>
    <tableColumn id="2" uniqueName="2" name="VM" queryTableFieldId="2" dataDxfId="229" totalsRowDxfId="232"/>
    <tableColumn id="3" uniqueName="3" name="Code médecin" totalsRowLabel="TOTAL" queryTableFieldId="3" dataDxfId="228" totalsRowDxfId="233" dataCellStyle="Lien hypertexte"/>
    <tableColumn id="4" uniqueName="4" name="Medecin" totalsRowFunction="custom" queryTableFieldId="4" dataDxfId="227" totalsRowDxfId="234">
      <totalsRowFormula>SUBTOTAL(3,D8:D18)</totalsRowFormula>
    </tableColumn>
    <tableColumn id="5" uniqueName="5" name="Date de réception convention financière" totalsRowFunction="custom" queryTableFieldId="5" dataDxfId="226" totalsRowDxfId="235">
      <totalsRowFormula>SUBTOTAL(3,[Date de réception convention financière])</totalsRowFormula>
    </tableColumn>
    <tableColumn id="6" uniqueName="6" name="Date de réception AR kit" totalsRowFunction="custom" queryTableFieldId="6" dataDxfId="225" totalsRowDxfId="236">
      <totalsRowFormula>SUBTOTAL(3,[Date de réception AR kit])</totalsRowFormula>
    </tableColumn>
    <tableColumn id="7" uniqueName="7" name="Date de MEP" totalsRowFunction="custom" queryTableFieldId="7" dataDxfId="224" totalsRowDxfId="237">
      <totalsRowFormula>SUBTOTAL(3,[Date de MEP])</totalsRowFormula>
    </tableColumn>
    <tableColumn id="8" uniqueName="8" name="Desistement" totalsRowFunction="custom" queryTableFieldId="8" dataDxfId="223" totalsRowDxfId="238">
      <totalsRowFormula>SUBTOTAL(3,[Desistement])</totalsRowFormula>
    </tableColumn>
    <tableColumn id="9" uniqueName="9" name="Nb Total Patients inclus" totalsRowFunction="custom" queryTableFieldId="9" dataDxfId="222" totalsRowDxfId="239">
      <totalsRowFormula>SUBTOTAL(109,I8:I18)</totalsRowFormula>
    </tableColumn>
    <tableColumn id="10" uniqueName="10" name="Comptes-rendus contact médecin-GECEM" queryTableFieldId="10" dataDxfId="221" totalsRowDxfId="240"/>
    <tableColumn id="11" uniqueName="11" name="Date" queryTableFieldId="11" dataDxfId="220" totalsRowDxfId="241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" name="Tableau_Lancer_la_requête_à_partir_de_MS_Access_Database" displayName="Tableau_Lancer_la_requête_à_partir_de_MS_Access_Database" ref="B9:U14" tableType="queryTable" totalsRowShown="0">
  <autoFilter ref="B9:U14"/>
  <tableColumns count="20">
    <tableColumn id="1" uniqueName="1" name="Num_Centre" queryTableFieldId="1" dataDxfId="219"/>
    <tableColumn id="2" uniqueName="2" name="Investigateur" queryTableFieldId="2" dataDxfId="218"/>
    <tableColumn id="3" uniqueName="3" name="Num_Patient" queryTableFieldId="3" dataDxfId="217"/>
    <tableColumn id="4" uniqueName="4" name="INCLUSION_Visite" queryTableFieldId="4" dataDxfId="216"/>
    <tableColumn id="5" uniqueName="5" name="INCLUSION_Reception" queryTableFieldId="5" dataDxfId="215"/>
    <tableColumn id="6" uniqueName="6" name="AQINCLUSION_Reception" queryTableFieldId="6" dataDxfId="214"/>
    <tableColumn id="7" uniqueName="7" name="CONTACT_Reception" queryTableFieldId="7" dataDxfId="213"/>
    <tableColumn id="8" uniqueName="8" name="TypeRappel" queryTableFieldId="8" dataDxfId="212"/>
    <tableColumn id="9" uniqueName="9" name="AQ7Theo" queryTableFieldId="9" dataDxfId="211"/>
    <tableColumn id="10" uniqueName="10" name="AQJ7_Reception" queryTableFieldId="10" dataDxfId="210"/>
    <tableColumn id="11" uniqueName="11" name="AQ_M2_Theo" queryTableFieldId="11" dataDxfId="209"/>
    <tableColumn id="12" uniqueName="12" name="AQM2_Reception" queryTableFieldId="12" dataDxfId="208"/>
    <tableColumn id="13" uniqueName="13" name="VP_Theo" queryTableFieldId="13" dataDxfId="207"/>
    <tableColumn id="14" uniqueName="14" name="PRECOCE_Visite" queryTableFieldId="14" dataDxfId="206"/>
    <tableColumn id="15" uniqueName="15" name="PRECOCE_Reception" queryTableFieldId="15" dataDxfId="205"/>
    <tableColumn id="16" uniqueName="16" name="VT_Theo" queryTableFieldId="16" dataDxfId="204"/>
    <tableColumn id="17" uniqueName="17" name="TARDIF_Visite" queryTableFieldId="17" dataDxfId="203"/>
    <tableColumn id="18" uniqueName="18" name="TARDIF_Reception" queryTableFieldId="18" dataDxfId="202"/>
    <tableColumn id="19" uniqueName="19" name="Onekey" queryTableFieldId="19" dataDxfId="201"/>
    <tableColumn id="20" uniqueName="20" name="Date" queryTableFieldId="20" dataDxfId="20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3" name="Tableau_Lancer_la_requête_à_partir_de_MS_Access_Database4" displayName="Tableau_Lancer_la_requête_à_partir_de_MS_Access_Database4" ref="B9:U12" tableType="queryTable" totalsRowShown="0">
  <autoFilter ref="B9:U12"/>
  <tableColumns count="20">
    <tableColumn id="1" uniqueName="1" name="Num_Centre" queryTableFieldId="1" dataDxfId="199"/>
    <tableColumn id="2" uniqueName="2" name="Investigateur" queryTableFieldId="2" dataDxfId="198"/>
    <tableColumn id="3" uniqueName="3" name="Num_Patient" queryTableFieldId="3" dataDxfId="197"/>
    <tableColumn id="4" uniqueName="4" name="INCLUSION_Visite" queryTableFieldId="4" dataDxfId="196"/>
    <tableColumn id="5" uniqueName="5" name="INCLUSION_Reception" queryTableFieldId="5" dataDxfId="195"/>
    <tableColumn id="6" uniqueName="6" name="AQINCLUSION_Reception" queryTableFieldId="6" dataDxfId="194"/>
    <tableColumn id="7" uniqueName="7" name="CONTACT_Reception" queryTableFieldId="7" dataDxfId="193"/>
    <tableColumn id="8" uniqueName="8" name="TypeRappel" queryTableFieldId="8" dataDxfId="192"/>
    <tableColumn id="9" uniqueName="9" name="AQ7Theo" queryTableFieldId="9" dataDxfId="191"/>
    <tableColumn id="10" uniqueName="10" name="AQJ7_Reception" queryTableFieldId="10" dataDxfId="190"/>
    <tableColumn id="11" uniqueName="11" name="AQ_M2_Theo" queryTableFieldId="11" dataDxfId="189"/>
    <tableColumn id="12" uniqueName="12" name="AQM2_Reception" queryTableFieldId="12" dataDxfId="188"/>
    <tableColumn id="13" uniqueName="13" name="VP_Theo" queryTableFieldId="13" dataDxfId="187"/>
    <tableColumn id="14" uniqueName="14" name="PRECOCE_Visite" queryTableFieldId="14" dataDxfId="186"/>
    <tableColumn id="15" uniqueName="15" name="PRECOCE_Reception" queryTableFieldId="15" dataDxfId="185"/>
    <tableColumn id="16" uniqueName="16" name="VT_Theo" queryTableFieldId="16" dataDxfId="184"/>
    <tableColumn id="17" uniqueName="17" name="TARDIF_Visite" queryTableFieldId="17" dataDxfId="183"/>
    <tableColumn id="18" uniqueName="18" name="TARDIF_Reception" queryTableFieldId="18" dataDxfId="182"/>
    <tableColumn id="19" uniqueName="19" name="Onekey" queryTableFieldId="19" dataDxfId="181"/>
    <tableColumn id="20" uniqueName="20" name="Date" queryTableFieldId="20" dataDxfId="18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4" name="Tableau_Lancer_la_requête_à_partir_de_MS_Access_Database45" displayName="Tableau_Lancer_la_requête_à_partir_de_MS_Access_Database45" ref="B9:U12" tableType="queryTable" totalsRowShown="0">
  <autoFilter ref="B9:U12"/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12" name="Tableau_Lancer_la_requête_à_partir_de_MS_Access_Database456789101113" displayName="Tableau_Lancer_la_requête_à_partir_de_MS_Access_Database456789101113" ref="B9:U12" tableType="queryTable" totalsRowShown="0">
  <autoFilter ref="B9:U12"/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5" name="Tableau_Lancer_la_requête_à_partir_de_MS_Access_Database456" displayName="Tableau_Lancer_la_requête_à_partir_de_MS_Access_Database456" ref="B9:U14" tableType="queryTable" totalsRowShown="0">
  <autoFilter ref="B9:U14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2" tableType="queryTable" totalsRowShown="0">
  <autoFilter ref="B9:U12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11" name="Tableau_Lancer_la_requête_à_partir_de_MS_Access_Database456789101112" displayName="Tableau_Lancer_la_requête_à_partir_de_MS_Access_Database456789101112" ref="B9:U12" tableType="queryTable" totalsRowShown="0">
  <autoFilter ref="B9:U12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7" name="Tableau_Lancer_la_requête_à_partir_de_MS_Access_Database45678" displayName="Tableau_Lancer_la_requête_à_partir_de_MS_Access_Database45678" ref="B9:U12" tableType="queryTable" totalsRowShown="0">
  <autoFilter ref="B9:U12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8" name="Tableau_Lancer_la_requête_à_partir_de_MS_Access_Database456789" displayName="Tableau_Lancer_la_requête_à_partir_de_MS_Access_Database456789" ref="B9:U14" tableType="queryTable" totalsRowShown="0">
  <autoFilter ref="B9:U14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11.xml><?xml version="1.0" encoding="utf-8"?>
<table xmlns="http://schemas.openxmlformats.org/spreadsheetml/2006/main" id="9" name="Tableau_Lancer_la_requête_à_partir_de_MS_Access_Database45678910" displayName="Tableau_Lancer_la_requête_à_partir_de_MS_Access_Database45678910" ref="B9:U12" tableType="queryTable" totalsRowShown="0">
  <autoFilter ref="B9:U12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2.xml><?xml version="1.0" encoding="utf-8"?>
<table xmlns="http://schemas.openxmlformats.org/spreadsheetml/2006/main" id="10" name="Tableau_Lancer_la_requête_à_partir_de_MS_Access_Database4567891011" displayName="Tableau_Lancer_la_requête_à_partir_de_MS_Access_Database4567891011" ref="B9:U15" tableType="queryTable" totalsRowShown="0">
  <autoFilter ref="B9:U15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21"/>
  <sheetViews>
    <sheetView tabSelected="1" topLeftCell="C1" workbookViewId="0">
      <selection activeCell="C18" sqref="C18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$A$18</f>
        <v>DE0101</v>
      </c>
      <c r="G2" s="92" t="str">
        <f>$B$18</f>
        <v>REMOISSENET Sandrine</v>
      </c>
      <c r="H2" s="92"/>
      <c r="I2" s="92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$K$18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45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</row>
    <row r="8" spans="1:17" s="79" customFormat="1">
      <c r="A8" s="79" t="s">
        <v>59</v>
      </c>
      <c r="B8" s="79" t="s">
        <v>60</v>
      </c>
      <c r="C8" s="80" t="s">
        <v>61</v>
      </c>
      <c r="D8" s="81" t="s">
        <v>62</v>
      </c>
      <c r="E8" s="82">
        <v>41703</v>
      </c>
      <c r="F8" s="82">
        <v>41746</v>
      </c>
      <c r="G8" s="82">
        <v>41744</v>
      </c>
      <c r="H8" s="82"/>
      <c r="I8" s="83">
        <v>5</v>
      </c>
      <c r="J8" s="84" t="s">
        <v>100</v>
      </c>
      <c r="K8" s="85">
        <v>42306</v>
      </c>
    </row>
    <row r="9" spans="1:17" s="79" customFormat="1" ht="30">
      <c r="A9" s="79" t="s">
        <v>59</v>
      </c>
      <c r="B9" s="79" t="s">
        <v>60</v>
      </c>
      <c r="C9" s="80" t="s">
        <v>63</v>
      </c>
      <c r="D9" s="81" t="s">
        <v>64</v>
      </c>
      <c r="E9" s="82">
        <v>41715</v>
      </c>
      <c r="F9" s="82">
        <v>41751</v>
      </c>
      <c r="G9" s="82">
        <v>41747</v>
      </c>
      <c r="H9" s="82"/>
      <c r="I9" s="83">
        <v>3</v>
      </c>
      <c r="J9" s="84" t="s">
        <v>83</v>
      </c>
      <c r="K9" s="85">
        <v>42306</v>
      </c>
    </row>
    <row r="10" spans="1:17" s="79" customFormat="1" ht="45">
      <c r="A10" s="79" t="s">
        <v>59</v>
      </c>
      <c r="B10" s="79" t="s">
        <v>60</v>
      </c>
      <c r="C10" s="80" t="s">
        <v>65</v>
      </c>
      <c r="D10" s="81" t="s">
        <v>66</v>
      </c>
      <c r="E10" s="82">
        <v>41723</v>
      </c>
      <c r="F10" s="82">
        <v>41746</v>
      </c>
      <c r="G10" s="82">
        <v>41743</v>
      </c>
      <c r="H10" s="82">
        <v>41900</v>
      </c>
      <c r="I10" s="83"/>
      <c r="J10" s="84" t="s">
        <v>95</v>
      </c>
      <c r="K10" s="85">
        <v>42306</v>
      </c>
    </row>
    <row r="11" spans="1:17" s="79" customFormat="1">
      <c r="A11" s="79" t="s">
        <v>59</v>
      </c>
      <c r="B11" s="79" t="s">
        <v>60</v>
      </c>
      <c r="C11" s="80" t="s">
        <v>81</v>
      </c>
      <c r="D11" s="81" t="s">
        <v>82</v>
      </c>
      <c r="E11" s="82">
        <v>41792</v>
      </c>
      <c r="F11" s="82">
        <v>41809</v>
      </c>
      <c r="G11" s="82">
        <v>41807</v>
      </c>
      <c r="H11" s="82"/>
      <c r="I11" s="83">
        <v>3</v>
      </c>
      <c r="J11" s="84"/>
      <c r="K11" s="85">
        <v>42306</v>
      </c>
    </row>
    <row r="12" spans="1:17" s="79" customFormat="1">
      <c r="A12" s="79" t="s">
        <v>59</v>
      </c>
      <c r="B12" s="79" t="s">
        <v>60</v>
      </c>
      <c r="C12" s="80" t="s">
        <v>67</v>
      </c>
      <c r="D12" s="81" t="s">
        <v>68</v>
      </c>
      <c r="E12" s="82">
        <v>41725</v>
      </c>
      <c r="F12" s="82">
        <v>41747</v>
      </c>
      <c r="G12" s="82">
        <v>41746</v>
      </c>
      <c r="H12" s="82"/>
      <c r="I12" s="83">
        <v>4</v>
      </c>
      <c r="J12" s="84" t="s">
        <v>103</v>
      </c>
      <c r="K12" s="85">
        <v>42306</v>
      </c>
    </row>
    <row r="13" spans="1:17" s="79" customFormat="1">
      <c r="A13" s="79" t="s">
        <v>59</v>
      </c>
      <c r="B13" s="79" t="s">
        <v>60</v>
      </c>
      <c r="C13" s="80" t="s">
        <v>69</v>
      </c>
      <c r="D13" s="81" t="s">
        <v>70</v>
      </c>
      <c r="E13" s="82">
        <v>41712</v>
      </c>
      <c r="F13" s="82">
        <v>41743</v>
      </c>
      <c r="G13" s="82">
        <v>41739</v>
      </c>
      <c r="H13" s="82"/>
      <c r="I13" s="83">
        <v>3</v>
      </c>
      <c r="J13" s="84"/>
      <c r="K13" s="85">
        <v>42306</v>
      </c>
    </row>
    <row r="14" spans="1:17" s="79" customFormat="1" ht="30">
      <c r="A14" s="79" t="s">
        <v>59</v>
      </c>
      <c r="B14" s="79" t="s">
        <v>60</v>
      </c>
      <c r="C14" s="80" t="s">
        <v>80</v>
      </c>
      <c r="D14" s="81" t="s">
        <v>79</v>
      </c>
      <c r="E14" s="82">
        <v>41746</v>
      </c>
      <c r="F14" s="82">
        <v>41774</v>
      </c>
      <c r="G14" s="82">
        <v>41772</v>
      </c>
      <c r="H14" s="82"/>
      <c r="I14" s="83">
        <v>3</v>
      </c>
      <c r="J14" s="84" t="s">
        <v>93</v>
      </c>
      <c r="K14" s="85">
        <v>42306</v>
      </c>
    </row>
    <row r="15" spans="1:17" s="79" customFormat="1" ht="45">
      <c r="A15" s="79" t="s">
        <v>59</v>
      </c>
      <c r="B15" s="79" t="s">
        <v>60</v>
      </c>
      <c r="C15" s="80" t="s">
        <v>71</v>
      </c>
      <c r="D15" s="81" t="s">
        <v>72</v>
      </c>
      <c r="E15" s="82">
        <v>41698</v>
      </c>
      <c r="F15" s="82">
        <v>41744</v>
      </c>
      <c r="G15" s="82">
        <v>41743</v>
      </c>
      <c r="H15" s="82"/>
      <c r="I15" s="83">
        <v>3</v>
      </c>
      <c r="J15" s="84" t="s">
        <v>97</v>
      </c>
      <c r="K15" s="85">
        <v>42306</v>
      </c>
    </row>
    <row r="16" spans="1:17" s="79" customFormat="1">
      <c r="A16" s="79" t="s">
        <v>59</v>
      </c>
      <c r="B16" s="79" t="s">
        <v>60</v>
      </c>
      <c r="C16" s="80" t="s">
        <v>73</v>
      </c>
      <c r="D16" s="81" t="s">
        <v>74</v>
      </c>
      <c r="E16" s="82">
        <v>41698</v>
      </c>
      <c r="F16" s="82">
        <v>41746</v>
      </c>
      <c r="G16" s="82">
        <v>41744</v>
      </c>
      <c r="H16" s="82"/>
      <c r="I16" s="83">
        <v>5</v>
      </c>
      <c r="J16" s="84" t="s">
        <v>96</v>
      </c>
      <c r="K16" s="85">
        <v>42306</v>
      </c>
    </row>
    <row r="17" spans="1:11" s="79" customFormat="1">
      <c r="A17" s="79" t="s">
        <v>59</v>
      </c>
      <c r="B17" s="79" t="s">
        <v>60</v>
      </c>
      <c r="C17" s="80" t="s">
        <v>75</v>
      </c>
      <c r="D17" s="86" t="s">
        <v>76</v>
      </c>
      <c r="E17" s="82">
        <v>41701</v>
      </c>
      <c r="F17" s="82">
        <v>41753</v>
      </c>
      <c r="G17" s="82">
        <v>41751</v>
      </c>
      <c r="H17" s="82"/>
      <c r="I17" s="83">
        <v>3</v>
      </c>
      <c r="J17" s="84"/>
      <c r="K17" s="85">
        <v>42306</v>
      </c>
    </row>
    <row r="18" spans="1:11" s="79" customFormat="1">
      <c r="A18" s="79" t="s">
        <v>59</v>
      </c>
      <c r="B18" s="79" t="s">
        <v>60</v>
      </c>
      <c r="C18" s="80" t="s">
        <v>77</v>
      </c>
      <c r="D18" s="81" t="s">
        <v>78</v>
      </c>
      <c r="E18" s="82">
        <v>41696</v>
      </c>
      <c r="F18" s="82">
        <v>41743</v>
      </c>
      <c r="G18" s="82">
        <v>41740</v>
      </c>
      <c r="H18" s="82"/>
      <c r="I18" s="83">
        <v>6</v>
      </c>
      <c r="J18" s="84"/>
      <c r="K18" s="85">
        <v>42306</v>
      </c>
    </row>
    <row r="19" spans="1:11">
      <c r="A19" s="28"/>
      <c r="B19" s="28"/>
      <c r="C19" s="27" t="s">
        <v>15</v>
      </c>
      <c r="D19" s="33">
        <f>SUBTOTAL(3,D8:D18)</f>
        <v>11</v>
      </c>
      <c r="E19" s="33">
        <f>SUBTOTAL(3,[Date de réception convention financière])</f>
        <v>11</v>
      </c>
      <c r="F19" s="33">
        <f>SUBTOTAL(3,[Date de réception AR kit])</f>
        <v>11</v>
      </c>
      <c r="G19" s="33">
        <f>SUBTOTAL(3,[Date de MEP])</f>
        <v>11</v>
      </c>
      <c r="H19" s="87">
        <f>SUBTOTAL(3,[Desistement])</f>
        <v>1</v>
      </c>
      <c r="I19" s="27">
        <f>SUBTOTAL(109,I8:I18)</f>
        <v>38</v>
      </c>
      <c r="J19" s="31"/>
      <c r="K19" s="32"/>
    </row>
    <row r="20" spans="1:11">
      <c r="D20" s="10"/>
      <c r="J20" s="10"/>
    </row>
    <row r="21" spans="1:11">
      <c r="C21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3" t="s">
        <v>16</v>
      </c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5"/>
      <c r="M3" s="95"/>
      <c r="N3" s="95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8" t="s">
        <v>58</v>
      </c>
      <c r="E4" s="108"/>
      <c r="F4" s="53">
        <f>$U$14</f>
        <v>42306</v>
      </c>
      <c r="G4" s="50"/>
      <c r="H4" s="50"/>
      <c r="I4" s="34"/>
      <c r="J4" s="50"/>
      <c r="K4" s="50"/>
      <c r="L4" s="57" t="s">
        <v>17</v>
      </c>
      <c r="M4" s="63">
        <f>$B$14</f>
        <v>40</v>
      </c>
      <c r="N4" s="96" t="str">
        <f>$C$14</f>
        <v>BLOMME Valérie</v>
      </c>
      <c r="O4" s="96"/>
      <c r="P4" s="96"/>
      <c r="Q4" s="96"/>
      <c r="R4" s="9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97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9" t="s">
        <v>19</v>
      </c>
      <c r="F7" s="100"/>
      <c r="G7" s="100"/>
      <c r="H7" s="100"/>
      <c r="I7" s="100"/>
      <c r="J7" s="101" t="s">
        <v>20</v>
      </c>
      <c r="K7" s="102"/>
      <c r="L7" s="103" t="s">
        <v>21</v>
      </c>
      <c r="M7" s="103"/>
      <c r="N7" s="104" t="s">
        <v>22</v>
      </c>
      <c r="O7" s="105"/>
      <c r="P7" s="106"/>
      <c r="Q7" s="107" t="s">
        <v>23</v>
      </c>
      <c r="R7" s="105"/>
      <c r="S7" s="10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40</v>
      </c>
      <c r="C10" s="42" t="s">
        <v>62</v>
      </c>
      <c r="D10" s="19">
        <v>1</v>
      </c>
      <c r="E10" s="25">
        <v>41745</v>
      </c>
      <c r="F10" s="25">
        <v>41753</v>
      </c>
      <c r="G10" s="25">
        <v>41753</v>
      </c>
      <c r="H10" s="25">
        <v>41753</v>
      </c>
      <c r="I10" s="44" t="s">
        <v>84</v>
      </c>
      <c r="J10" s="25">
        <v>41757</v>
      </c>
      <c r="K10" s="25">
        <v>41757</v>
      </c>
      <c r="L10" s="25">
        <v>41816</v>
      </c>
      <c r="M10" s="25"/>
      <c r="N10" s="25">
        <v>41865</v>
      </c>
      <c r="O10" s="25">
        <v>41809</v>
      </c>
      <c r="P10" s="25">
        <v>41862</v>
      </c>
      <c r="Q10" s="25">
        <v>42110</v>
      </c>
      <c r="R10" s="25">
        <v>42045</v>
      </c>
      <c r="S10" s="25">
        <v>42048</v>
      </c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40</v>
      </c>
      <c r="C11" s="69" t="s">
        <v>62</v>
      </c>
      <c r="D11" s="19">
        <v>2</v>
      </c>
      <c r="E11" s="25">
        <v>41771</v>
      </c>
      <c r="F11" s="25">
        <v>41792</v>
      </c>
      <c r="G11" s="25">
        <v>41792</v>
      </c>
      <c r="H11" s="25">
        <v>41775</v>
      </c>
      <c r="I11" s="74" t="s">
        <v>84</v>
      </c>
      <c r="J11" s="25">
        <v>41783</v>
      </c>
      <c r="K11" s="25">
        <v>41796</v>
      </c>
      <c r="L11" s="25">
        <v>41842</v>
      </c>
      <c r="M11" s="25">
        <v>41842</v>
      </c>
      <c r="N11" s="25">
        <v>41891</v>
      </c>
      <c r="O11" s="25">
        <v>41793</v>
      </c>
      <c r="P11" s="25">
        <v>41796</v>
      </c>
      <c r="Q11" s="25">
        <v>42136</v>
      </c>
      <c r="R11" s="25">
        <v>41886</v>
      </c>
      <c r="S11" s="25">
        <v>41890</v>
      </c>
      <c r="T11" s="69" t="s">
        <v>61</v>
      </c>
      <c r="U11" s="12">
        <v>42306</v>
      </c>
    </row>
    <row r="12" spans="2:48" ht="25.5">
      <c r="B12" s="68">
        <v>40</v>
      </c>
      <c r="C12" s="69" t="s">
        <v>62</v>
      </c>
      <c r="D12" s="19">
        <v>3</v>
      </c>
      <c r="E12" s="25">
        <v>41773</v>
      </c>
      <c r="F12" s="25">
        <v>41775</v>
      </c>
      <c r="G12" s="25">
        <v>41830</v>
      </c>
      <c r="H12" s="25">
        <v>41778</v>
      </c>
      <c r="I12" s="74" t="s">
        <v>84</v>
      </c>
      <c r="J12" s="25">
        <v>41785</v>
      </c>
      <c r="K12" s="25">
        <v>41786</v>
      </c>
      <c r="L12" s="25">
        <v>41844</v>
      </c>
      <c r="M12" s="25">
        <v>41836</v>
      </c>
      <c r="N12" s="25">
        <v>41893</v>
      </c>
      <c r="O12" s="25">
        <v>41781</v>
      </c>
      <c r="P12" s="25">
        <v>41830</v>
      </c>
      <c r="Q12" s="25">
        <v>42138</v>
      </c>
      <c r="R12" s="25">
        <v>41913</v>
      </c>
      <c r="S12" s="25">
        <v>41918</v>
      </c>
      <c r="T12" s="69" t="s">
        <v>61</v>
      </c>
      <c r="U12" s="12">
        <v>42306</v>
      </c>
    </row>
    <row r="13" spans="2:48" ht="25.5">
      <c r="B13" s="68">
        <v>40</v>
      </c>
      <c r="C13" s="69" t="s">
        <v>62</v>
      </c>
      <c r="D13" s="19">
        <v>4</v>
      </c>
      <c r="E13" s="25">
        <v>41779</v>
      </c>
      <c r="F13" s="25">
        <v>41823</v>
      </c>
      <c r="G13" s="25">
        <v>41823</v>
      </c>
      <c r="H13" s="25">
        <v>41823</v>
      </c>
      <c r="I13" s="74" t="s">
        <v>84</v>
      </c>
      <c r="J13" s="25">
        <v>41791</v>
      </c>
      <c r="K13" s="25">
        <v>41823</v>
      </c>
      <c r="L13" s="25">
        <v>41850</v>
      </c>
      <c r="M13" s="25">
        <v>42012</v>
      </c>
      <c r="N13" s="25">
        <v>41899</v>
      </c>
      <c r="O13" s="25">
        <v>41821</v>
      </c>
      <c r="P13" s="25">
        <v>41823</v>
      </c>
      <c r="Q13" s="25">
        <v>42144</v>
      </c>
      <c r="R13" s="25">
        <v>42010</v>
      </c>
      <c r="S13" s="25">
        <v>42012</v>
      </c>
      <c r="T13" s="69" t="s">
        <v>61</v>
      </c>
      <c r="U13" s="12">
        <v>42306</v>
      </c>
    </row>
    <row r="14" spans="2:48" ht="25.5">
      <c r="B14" s="68">
        <v>40</v>
      </c>
      <c r="C14" s="69" t="s">
        <v>62</v>
      </c>
      <c r="D14" s="19">
        <v>5</v>
      </c>
      <c r="E14" s="25">
        <v>41827</v>
      </c>
      <c r="F14" s="25">
        <v>41830</v>
      </c>
      <c r="G14" s="25">
        <v>41830</v>
      </c>
      <c r="H14" s="25">
        <v>41830</v>
      </c>
      <c r="I14" s="74" t="s">
        <v>84</v>
      </c>
      <c r="J14" s="25">
        <v>41839</v>
      </c>
      <c r="K14" s="25">
        <v>41850</v>
      </c>
      <c r="L14" s="25">
        <v>41898</v>
      </c>
      <c r="M14" s="25">
        <v>41907</v>
      </c>
      <c r="N14" s="25">
        <v>41947</v>
      </c>
      <c r="O14" s="25">
        <v>41890</v>
      </c>
      <c r="P14" s="25">
        <v>41892</v>
      </c>
      <c r="Q14" s="25">
        <v>42192</v>
      </c>
      <c r="T14" s="69" t="s">
        <v>61</v>
      </c>
      <c r="U14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3" t="s">
        <v>16</v>
      </c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5"/>
      <c r="M3" s="95"/>
      <c r="N3" s="9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8" t="s">
        <v>58</v>
      </c>
      <c r="E4" s="108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43</v>
      </c>
      <c r="N4" s="96" t="str">
        <f>$C$12</f>
        <v>BORNE Estelle</v>
      </c>
      <c r="O4" s="96"/>
      <c r="P4" s="96"/>
      <c r="Q4" s="96"/>
      <c r="R4" s="9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97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9" t="s">
        <v>19</v>
      </c>
      <c r="F7" s="100"/>
      <c r="G7" s="100"/>
      <c r="H7" s="100"/>
      <c r="I7" s="100"/>
      <c r="J7" s="101" t="s">
        <v>20</v>
      </c>
      <c r="K7" s="102"/>
      <c r="L7" s="103" t="s">
        <v>21</v>
      </c>
      <c r="M7" s="103"/>
      <c r="N7" s="104" t="s">
        <v>22</v>
      </c>
      <c r="O7" s="105"/>
      <c r="P7" s="106"/>
      <c r="Q7" s="107" t="s">
        <v>23</v>
      </c>
      <c r="R7" s="105"/>
      <c r="S7" s="10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43</v>
      </c>
      <c r="C10" s="42" t="s">
        <v>64</v>
      </c>
      <c r="D10" s="19">
        <v>1</v>
      </c>
      <c r="E10" s="25">
        <v>41829</v>
      </c>
      <c r="F10" s="25">
        <v>41925</v>
      </c>
      <c r="G10" s="25">
        <v>41925</v>
      </c>
      <c r="H10" s="25">
        <v>41850</v>
      </c>
      <c r="I10" s="44" t="s">
        <v>84</v>
      </c>
      <c r="J10" s="25">
        <v>41841</v>
      </c>
      <c r="K10" s="25">
        <v>41850</v>
      </c>
      <c r="L10" s="25">
        <v>41900</v>
      </c>
      <c r="M10" s="25"/>
      <c r="N10" s="25">
        <v>41949</v>
      </c>
      <c r="O10" s="25">
        <v>41913</v>
      </c>
      <c r="P10" s="25">
        <v>41918</v>
      </c>
      <c r="Q10" s="25">
        <v>42194</v>
      </c>
      <c r="R10" s="25"/>
      <c r="S10" s="25"/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43</v>
      </c>
      <c r="C11" s="69" t="s">
        <v>64</v>
      </c>
      <c r="D11" s="19">
        <v>2</v>
      </c>
      <c r="E11" s="25">
        <v>41848</v>
      </c>
      <c r="F11" s="25">
        <v>41925</v>
      </c>
      <c r="G11" s="25">
        <v>41925</v>
      </c>
      <c r="H11" s="25">
        <v>41850</v>
      </c>
      <c r="I11" s="44" t="s">
        <v>91</v>
      </c>
      <c r="J11" s="25">
        <v>41860</v>
      </c>
      <c r="K11" s="25">
        <v>41859</v>
      </c>
      <c r="L11" s="25">
        <v>41919</v>
      </c>
      <c r="M11" s="25">
        <v>41905</v>
      </c>
      <c r="N11" s="25">
        <v>41968</v>
      </c>
      <c r="O11" s="25">
        <v>41900</v>
      </c>
      <c r="P11" s="25">
        <v>41918</v>
      </c>
      <c r="Q11" s="25">
        <v>42213</v>
      </c>
      <c r="T11" s="69" t="s">
        <v>63</v>
      </c>
      <c r="U11" s="12">
        <v>42306</v>
      </c>
    </row>
    <row r="12" spans="2:48" ht="25.5">
      <c r="B12" s="68">
        <v>43</v>
      </c>
      <c r="C12" s="69" t="s">
        <v>64</v>
      </c>
      <c r="D12" s="19">
        <v>3</v>
      </c>
      <c r="E12" s="25">
        <v>41848</v>
      </c>
      <c r="F12" s="25">
        <v>41925</v>
      </c>
      <c r="G12" s="25">
        <v>41925</v>
      </c>
      <c r="H12" s="25">
        <v>41850</v>
      </c>
      <c r="I12" s="44" t="s">
        <v>92</v>
      </c>
      <c r="J12" s="25">
        <v>41860</v>
      </c>
      <c r="K12" s="25">
        <v>41858</v>
      </c>
      <c r="L12" s="25">
        <v>41919</v>
      </c>
      <c r="M12" s="25">
        <v>41912</v>
      </c>
      <c r="N12" s="25">
        <v>41968</v>
      </c>
      <c r="O12" s="25">
        <v>41901</v>
      </c>
      <c r="P12" s="25">
        <v>41905</v>
      </c>
      <c r="Q12" s="25">
        <v>42213</v>
      </c>
      <c r="T12" s="69" t="s">
        <v>63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3" t="s">
        <v>16</v>
      </c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5"/>
      <c r="M3" s="95"/>
      <c r="N3" s="9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8" t="s">
        <v>58</v>
      </c>
      <c r="E4" s="108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46</v>
      </c>
      <c r="N4" s="96" t="str">
        <f>$C$12</f>
        <v>BRANQUART Hubert</v>
      </c>
      <c r="O4" s="96"/>
      <c r="P4" s="96"/>
      <c r="Q4" s="96"/>
      <c r="R4" s="9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97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9" t="s">
        <v>19</v>
      </c>
      <c r="F7" s="100"/>
      <c r="G7" s="100"/>
      <c r="H7" s="100"/>
      <c r="I7" s="100"/>
      <c r="J7" s="101" t="s">
        <v>20</v>
      </c>
      <c r="K7" s="102"/>
      <c r="L7" s="103" t="s">
        <v>21</v>
      </c>
      <c r="M7" s="103"/>
      <c r="N7" s="104" t="s">
        <v>22</v>
      </c>
      <c r="O7" s="105"/>
      <c r="P7" s="106"/>
      <c r="Q7" s="107" t="s">
        <v>23</v>
      </c>
      <c r="R7" s="105"/>
      <c r="S7" s="10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46</v>
      </c>
      <c r="C10" s="42" t="s">
        <v>66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46</v>
      </c>
      <c r="C11" s="69" t="s">
        <v>66</v>
      </c>
      <c r="D11" s="19">
        <v>2</v>
      </c>
      <c r="I11" s="74" t="s">
        <v>57</v>
      </c>
      <c r="T11" s="69" t="s">
        <v>65</v>
      </c>
      <c r="U11" s="12">
        <v>42306</v>
      </c>
    </row>
    <row r="12" spans="2:48" ht="25.5">
      <c r="B12" s="68">
        <v>46</v>
      </c>
      <c r="C12" s="69" t="s">
        <v>66</v>
      </c>
      <c r="D12" s="19">
        <v>3</v>
      </c>
      <c r="I12" s="74" t="s">
        <v>57</v>
      </c>
      <c r="T12" s="69" t="s">
        <v>65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G31" sqref="G31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3" t="s">
        <v>16</v>
      </c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5"/>
      <c r="M3" s="95"/>
      <c r="N3" s="95"/>
      <c r="O3" s="75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8" t="s">
        <v>58</v>
      </c>
      <c r="E4" s="108"/>
      <c r="F4" s="53">
        <f>$U$12</f>
        <v>42306</v>
      </c>
      <c r="G4" s="50"/>
      <c r="H4" s="50"/>
      <c r="I4" s="34"/>
      <c r="J4" s="50"/>
      <c r="K4" s="50"/>
      <c r="L4" s="76" t="s">
        <v>17</v>
      </c>
      <c r="M4" s="63">
        <f>$B$12</f>
        <v>330</v>
      </c>
      <c r="N4" s="96" t="str">
        <f>$C$12</f>
        <v>BRIDOUX Catherine</v>
      </c>
      <c r="O4" s="96"/>
      <c r="P4" s="96"/>
      <c r="Q4" s="96"/>
      <c r="R4" s="9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97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9" t="s">
        <v>19</v>
      </c>
      <c r="F7" s="100"/>
      <c r="G7" s="100"/>
      <c r="H7" s="100"/>
      <c r="I7" s="100"/>
      <c r="J7" s="101" t="s">
        <v>20</v>
      </c>
      <c r="K7" s="102"/>
      <c r="L7" s="103" t="s">
        <v>21</v>
      </c>
      <c r="M7" s="103"/>
      <c r="N7" s="104" t="s">
        <v>22</v>
      </c>
      <c r="O7" s="105"/>
      <c r="P7" s="106"/>
      <c r="Q7" s="107" t="s">
        <v>23</v>
      </c>
      <c r="R7" s="105"/>
      <c r="S7" s="10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8" t="s">
        <v>32</v>
      </c>
      <c r="M8" s="78" t="s">
        <v>31</v>
      </c>
      <c r="N8" s="77" t="s">
        <v>33</v>
      </c>
      <c r="O8" s="77" t="s">
        <v>34</v>
      </c>
      <c r="P8" s="77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330</v>
      </c>
      <c r="C10" s="42" t="s">
        <v>82</v>
      </c>
      <c r="D10" s="19">
        <v>1</v>
      </c>
      <c r="E10" s="25">
        <v>41815</v>
      </c>
      <c r="F10" s="25">
        <v>41816</v>
      </c>
      <c r="G10" s="25">
        <v>41816</v>
      </c>
      <c r="H10" s="25">
        <v>41837</v>
      </c>
      <c r="I10" s="74" t="s">
        <v>90</v>
      </c>
      <c r="J10" s="25">
        <v>41827</v>
      </c>
      <c r="K10" s="25">
        <v>41837</v>
      </c>
      <c r="L10" s="25">
        <v>41886</v>
      </c>
      <c r="M10" s="25">
        <v>41878</v>
      </c>
      <c r="N10" s="25">
        <v>41935</v>
      </c>
      <c r="O10" s="25">
        <v>41873</v>
      </c>
      <c r="P10" s="25">
        <v>41878</v>
      </c>
      <c r="Q10" s="25">
        <v>42180</v>
      </c>
      <c r="R10" s="25"/>
      <c r="S10" s="25"/>
      <c r="T10" s="42" t="s">
        <v>81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88">
        <v>330</v>
      </c>
      <c r="C11" s="89" t="s">
        <v>82</v>
      </c>
      <c r="D11" s="19">
        <v>2</v>
      </c>
      <c r="E11" s="25">
        <v>41817</v>
      </c>
      <c r="F11" s="25">
        <v>41823</v>
      </c>
      <c r="G11" s="25">
        <v>41823</v>
      </c>
      <c r="I11" s="74" t="s">
        <v>57</v>
      </c>
      <c r="J11" s="25">
        <v>41829</v>
      </c>
      <c r="K11" s="25">
        <v>41829</v>
      </c>
      <c r="L11" s="25">
        <v>41888</v>
      </c>
      <c r="M11" s="25">
        <v>41880</v>
      </c>
      <c r="N11" s="25">
        <v>41937</v>
      </c>
      <c r="O11" s="25">
        <v>41873</v>
      </c>
      <c r="P11" s="25">
        <v>41879</v>
      </c>
      <c r="Q11" s="25">
        <v>42182</v>
      </c>
      <c r="T11" s="89" t="s">
        <v>81</v>
      </c>
      <c r="U11" s="12">
        <v>42306</v>
      </c>
    </row>
    <row r="12" spans="2:48" ht="18" customHeight="1">
      <c r="B12" s="88">
        <v>330</v>
      </c>
      <c r="C12" s="89" t="s">
        <v>82</v>
      </c>
      <c r="D12" s="19">
        <v>3</v>
      </c>
      <c r="E12" s="25">
        <v>41821</v>
      </c>
      <c r="F12" s="25">
        <v>41823</v>
      </c>
      <c r="G12" s="25">
        <v>41823</v>
      </c>
      <c r="I12" s="74" t="s">
        <v>57</v>
      </c>
      <c r="J12" s="25">
        <v>41833</v>
      </c>
      <c r="L12" s="25">
        <v>41892</v>
      </c>
      <c r="N12" s="25">
        <v>41941</v>
      </c>
      <c r="O12" s="25">
        <v>41878</v>
      </c>
      <c r="P12" s="25">
        <v>41879</v>
      </c>
      <c r="Q12" s="25">
        <v>42186</v>
      </c>
      <c r="T12" s="89" t="s">
        <v>81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dimension ref="B1:AV14"/>
  <sheetViews>
    <sheetView workbookViewId="0">
      <selection activeCell="H31" sqref="H31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3" t="s">
        <v>16</v>
      </c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5"/>
      <c r="M3" s="95"/>
      <c r="N3" s="9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8" t="s">
        <v>58</v>
      </c>
      <c r="E4" s="108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42</v>
      </c>
      <c r="N4" s="96" t="str">
        <f>$C$14</f>
        <v>CHASSINE Anne-Fleur</v>
      </c>
      <c r="O4" s="96"/>
      <c r="P4" s="96"/>
      <c r="Q4" s="96"/>
      <c r="R4" s="9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97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9" t="s">
        <v>19</v>
      </c>
      <c r="F7" s="100"/>
      <c r="G7" s="100"/>
      <c r="H7" s="100"/>
      <c r="I7" s="100"/>
      <c r="J7" s="101" t="s">
        <v>20</v>
      </c>
      <c r="K7" s="102"/>
      <c r="L7" s="103" t="s">
        <v>21</v>
      </c>
      <c r="M7" s="103"/>
      <c r="N7" s="104" t="s">
        <v>22</v>
      </c>
      <c r="O7" s="105"/>
      <c r="P7" s="106"/>
      <c r="Q7" s="107" t="s">
        <v>23</v>
      </c>
      <c r="R7" s="105"/>
      <c r="S7" s="10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42</v>
      </c>
      <c r="C10" s="42" t="s">
        <v>68</v>
      </c>
      <c r="D10" s="19">
        <v>1</v>
      </c>
      <c r="E10" s="25">
        <v>41781</v>
      </c>
      <c r="F10" s="25">
        <v>41782</v>
      </c>
      <c r="G10" s="25">
        <v>41782</v>
      </c>
      <c r="H10" s="25">
        <v>41782</v>
      </c>
      <c r="I10" s="44" t="s">
        <v>85</v>
      </c>
      <c r="J10" s="25">
        <v>41793</v>
      </c>
      <c r="K10" s="25"/>
      <c r="L10" s="25">
        <v>41852</v>
      </c>
      <c r="M10" s="25"/>
      <c r="N10" s="25">
        <v>41901</v>
      </c>
      <c r="O10" s="25">
        <v>41878</v>
      </c>
      <c r="P10" s="25">
        <v>41899</v>
      </c>
      <c r="Q10" s="25">
        <v>42146</v>
      </c>
      <c r="R10" s="25"/>
      <c r="S10" s="25"/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8">
        <v>42</v>
      </c>
      <c r="C11" s="69" t="s">
        <v>68</v>
      </c>
      <c r="D11" s="19">
        <v>2</v>
      </c>
      <c r="E11" s="25">
        <v>41816</v>
      </c>
      <c r="F11" s="25">
        <v>41820</v>
      </c>
      <c r="G11" s="25">
        <v>41820</v>
      </c>
      <c r="H11" s="25">
        <v>41820</v>
      </c>
      <c r="I11" s="44" t="s">
        <v>94</v>
      </c>
      <c r="J11" s="25">
        <v>41828</v>
      </c>
      <c r="K11" s="25">
        <v>41960</v>
      </c>
      <c r="L11" s="25">
        <v>41887</v>
      </c>
      <c r="M11" s="25">
        <v>42018</v>
      </c>
      <c r="N11" s="25">
        <v>41936</v>
      </c>
      <c r="Q11" s="25">
        <v>42181</v>
      </c>
      <c r="T11" s="69" t="s">
        <v>67</v>
      </c>
      <c r="U11" s="12">
        <v>42306</v>
      </c>
    </row>
    <row r="12" spans="2:48" ht="25.5">
      <c r="B12" s="68">
        <v>42</v>
      </c>
      <c r="C12" s="69" t="s">
        <v>68</v>
      </c>
      <c r="D12" s="19">
        <v>3</v>
      </c>
      <c r="E12" s="25">
        <v>41843</v>
      </c>
      <c r="F12" s="25">
        <v>41845</v>
      </c>
      <c r="G12" s="25">
        <v>41845</v>
      </c>
      <c r="H12" s="25">
        <v>41845</v>
      </c>
      <c r="I12" s="74" t="s">
        <v>84</v>
      </c>
      <c r="J12" s="25">
        <v>41855</v>
      </c>
      <c r="K12" s="25">
        <v>41857</v>
      </c>
      <c r="L12" s="25">
        <v>41914</v>
      </c>
      <c r="M12" s="25">
        <v>41908</v>
      </c>
      <c r="N12" s="25">
        <v>41963</v>
      </c>
      <c r="O12" s="25">
        <v>41946</v>
      </c>
      <c r="P12" s="25">
        <v>41948</v>
      </c>
      <c r="Q12" s="25">
        <v>42208</v>
      </c>
      <c r="T12" s="69" t="s">
        <v>67</v>
      </c>
      <c r="U12" s="12">
        <v>42306</v>
      </c>
    </row>
    <row r="13" spans="2:48" ht="25.5">
      <c r="B13" s="90">
        <v>42</v>
      </c>
      <c r="C13" s="91" t="s">
        <v>68</v>
      </c>
      <c r="D13" s="19">
        <v>4</v>
      </c>
      <c r="I13" s="74" t="s">
        <v>57</v>
      </c>
      <c r="T13" s="91" t="s">
        <v>67</v>
      </c>
      <c r="U13" s="12">
        <v>42306</v>
      </c>
    </row>
    <row r="14" spans="2:48" ht="25.5">
      <c r="B14" s="90">
        <v>42</v>
      </c>
      <c r="C14" s="91" t="s">
        <v>68</v>
      </c>
      <c r="D14" s="19">
        <v>5</v>
      </c>
      <c r="E14" s="25">
        <v>41956</v>
      </c>
      <c r="F14" s="25">
        <v>41960</v>
      </c>
      <c r="G14" s="25">
        <v>41960</v>
      </c>
      <c r="H14" s="25">
        <v>41960</v>
      </c>
      <c r="I14" s="74" t="s">
        <v>98</v>
      </c>
      <c r="J14" s="25">
        <v>41968</v>
      </c>
      <c r="K14" s="25">
        <v>42002</v>
      </c>
      <c r="L14" s="25">
        <v>42027</v>
      </c>
      <c r="M14" s="25">
        <v>42053</v>
      </c>
      <c r="N14" s="25">
        <v>42076</v>
      </c>
      <c r="Q14" s="25">
        <v>42321</v>
      </c>
      <c r="T14" s="91" t="s">
        <v>67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3" t="s">
        <v>16</v>
      </c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5"/>
      <c r="M3" s="95"/>
      <c r="N3" s="9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8" t="s">
        <v>58</v>
      </c>
      <c r="E4" s="108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49</v>
      </c>
      <c r="N4" s="96" t="str">
        <f>$C$12</f>
        <v>COURIVAUD-CANONNE Domitille</v>
      </c>
      <c r="O4" s="96"/>
      <c r="P4" s="96"/>
      <c r="Q4" s="96"/>
      <c r="R4" s="9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97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9" t="s">
        <v>19</v>
      </c>
      <c r="F7" s="100"/>
      <c r="G7" s="100"/>
      <c r="H7" s="100"/>
      <c r="I7" s="100"/>
      <c r="J7" s="101" t="s">
        <v>20</v>
      </c>
      <c r="K7" s="102"/>
      <c r="L7" s="103" t="s">
        <v>21</v>
      </c>
      <c r="M7" s="103"/>
      <c r="N7" s="104" t="s">
        <v>22</v>
      </c>
      <c r="O7" s="105"/>
      <c r="P7" s="106"/>
      <c r="Q7" s="107" t="s">
        <v>23</v>
      </c>
      <c r="R7" s="105"/>
      <c r="S7" s="10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49</v>
      </c>
      <c r="C10" s="42" t="s">
        <v>70</v>
      </c>
      <c r="D10" s="19">
        <v>1</v>
      </c>
      <c r="E10" s="25">
        <v>41781</v>
      </c>
      <c r="F10" s="25">
        <v>41785</v>
      </c>
      <c r="G10" s="25">
        <v>41858</v>
      </c>
      <c r="H10" s="25">
        <v>41858</v>
      </c>
      <c r="I10" s="44" t="s">
        <v>84</v>
      </c>
      <c r="J10" s="25">
        <v>41793</v>
      </c>
      <c r="K10" s="25">
        <v>41858</v>
      </c>
      <c r="L10" s="25">
        <v>41852</v>
      </c>
      <c r="M10" s="25">
        <v>41858</v>
      </c>
      <c r="N10" s="25">
        <v>41901</v>
      </c>
      <c r="O10" s="25"/>
      <c r="P10" s="25"/>
      <c r="Q10" s="25">
        <v>42146</v>
      </c>
      <c r="R10" s="25"/>
      <c r="S10" s="25"/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68">
        <v>49</v>
      </c>
      <c r="C11" s="69" t="s">
        <v>70</v>
      </c>
      <c r="D11" s="19">
        <v>2</v>
      </c>
      <c r="E11" s="25">
        <v>41781</v>
      </c>
      <c r="F11" s="25">
        <v>41786</v>
      </c>
      <c r="I11" s="44" t="s">
        <v>57</v>
      </c>
      <c r="J11" s="25">
        <v>41793</v>
      </c>
      <c r="L11" s="25">
        <v>41852</v>
      </c>
      <c r="N11" s="25">
        <v>41901</v>
      </c>
      <c r="Q11" s="25">
        <v>42146</v>
      </c>
      <c r="T11" s="69" t="s">
        <v>69</v>
      </c>
      <c r="U11" s="12">
        <v>42306</v>
      </c>
    </row>
    <row r="12" spans="2:48" ht="18" customHeight="1">
      <c r="B12" s="68">
        <v>49</v>
      </c>
      <c r="C12" s="69" t="s">
        <v>70</v>
      </c>
      <c r="D12" s="19">
        <v>3</v>
      </c>
      <c r="E12" s="25">
        <v>41970</v>
      </c>
      <c r="F12" s="25">
        <v>41974</v>
      </c>
      <c r="I12" s="44" t="s">
        <v>57</v>
      </c>
      <c r="J12" s="25">
        <v>41982</v>
      </c>
      <c r="L12" s="25">
        <v>42041</v>
      </c>
      <c r="N12" s="25">
        <v>42090</v>
      </c>
      <c r="Q12" s="25">
        <v>42335</v>
      </c>
      <c r="T12" s="69" t="s">
        <v>69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3" t="s">
        <v>16</v>
      </c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5"/>
      <c r="M3" s="95"/>
      <c r="N3" s="95"/>
      <c r="O3" s="70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8" t="s">
        <v>58</v>
      </c>
      <c r="E4" s="108"/>
      <c r="F4" s="53">
        <f>$U$12</f>
        <v>42306</v>
      </c>
      <c r="G4" s="50"/>
      <c r="H4" s="50"/>
      <c r="I4" s="34"/>
      <c r="J4" s="50"/>
      <c r="K4" s="50"/>
      <c r="L4" s="71" t="s">
        <v>17</v>
      </c>
      <c r="M4" s="63">
        <f>$B$12</f>
        <v>44</v>
      </c>
      <c r="N4" s="96" t="str">
        <f>$C$12</f>
        <v>DUPONT Caroline</v>
      </c>
      <c r="O4" s="96"/>
      <c r="P4" s="96"/>
      <c r="Q4" s="96"/>
      <c r="R4" s="9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97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9" t="s">
        <v>19</v>
      </c>
      <c r="F7" s="100"/>
      <c r="G7" s="100"/>
      <c r="H7" s="100"/>
      <c r="I7" s="100"/>
      <c r="J7" s="101" t="s">
        <v>20</v>
      </c>
      <c r="K7" s="102"/>
      <c r="L7" s="103" t="s">
        <v>21</v>
      </c>
      <c r="M7" s="103"/>
      <c r="N7" s="104" t="s">
        <v>22</v>
      </c>
      <c r="O7" s="105"/>
      <c r="P7" s="106"/>
      <c r="Q7" s="107" t="s">
        <v>23</v>
      </c>
      <c r="R7" s="105"/>
      <c r="S7" s="10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3" t="s">
        <v>32</v>
      </c>
      <c r="M8" s="73" t="s">
        <v>31</v>
      </c>
      <c r="N8" s="72" t="s">
        <v>33</v>
      </c>
      <c r="O8" s="72" t="s">
        <v>34</v>
      </c>
      <c r="P8" s="72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44</v>
      </c>
      <c r="C10" s="42" t="s">
        <v>79</v>
      </c>
      <c r="D10" s="19">
        <v>1</v>
      </c>
      <c r="E10" s="25">
        <v>41803</v>
      </c>
      <c r="F10" s="25">
        <v>41820</v>
      </c>
      <c r="G10" s="25">
        <v>41820</v>
      </c>
      <c r="H10" s="25">
        <v>41820</v>
      </c>
      <c r="I10" s="44" t="s">
        <v>84</v>
      </c>
      <c r="J10" s="25">
        <v>41815</v>
      </c>
      <c r="K10" s="25">
        <v>41820</v>
      </c>
      <c r="L10" s="25">
        <v>41874</v>
      </c>
      <c r="M10" s="25"/>
      <c r="N10" s="25">
        <v>41923</v>
      </c>
      <c r="O10" s="25"/>
      <c r="P10" s="25"/>
      <c r="Q10" s="25">
        <v>42168</v>
      </c>
      <c r="R10" s="25"/>
      <c r="S10" s="25"/>
      <c r="T10" s="42" t="s">
        <v>80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68">
        <v>44</v>
      </c>
      <c r="C11" s="69" t="s">
        <v>79</v>
      </c>
      <c r="D11" s="19">
        <v>2</v>
      </c>
      <c r="E11" s="25">
        <v>41801</v>
      </c>
      <c r="F11" s="25">
        <v>41820</v>
      </c>
      <c r="G11" s="25">
        <v>41820</v>
      </c>
      <c r="H11" s="25">
        <v>41820</v>
      </c>
      <c r="I11" s="44" t="s">
        <v>84</v>
      </c>
      <c r="J11" s="25">
        <v>41813</v>
      </c>
      <c r="K11" s="25">
        <v>41820</v>
      </c>
      <c r="L11" s="25">
        <v>41872</v>
      </c>
      <c r="N11" s="25">
        <v>41921</v>
      </c>
      <c r="Q11" s="25">
        <v>42166</v>
      </c>
      <c r="T11" s="69" t="s">
        <v>80</v>
      </c>
      <c r="U11" s="12">
        <v>42306</v>
      </c>
    </row>
    <row r="12" spans="2:48" ht="18" customHeight="1">
      <c r="B12" s="68">
        <v>44</v>
      </c>
      <c r="C12" s="69" t="s">
        <v>79</v>
      </c>
      <c r="D12" s="19">
        <v>3</v>
      </c>
      <c r="E12" s="25">
        <v>41782</v>
      </c>
      <c r="F12" s="25">
        <v>41820</v>
      </c>
      <c r="G12" s="25">
        <v>41820</v>
      </c>
      <c r="H12" s="25">
        <v>41820</v>
      </c>
      <c r="I12" s="44" t="s">
        <v>84</v>
      </c>
      <c r="J12" s="25">
        <v>41794</v>
      </c>
      <c r="K12" s="25">
        <v>41820</v>
      </c>
      <c r="L12" s="25">
        <v>41853</v>
      </c>
      <c r="N12" s="25">
        <v>41902</v>
      </c>
      <c r="Q12" s="25">
        <v>42147</v>
      </c>
      <c r="T12" s="69" t="s">
        <v>80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D10" sqref="D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3" t="s">
        <v>16</v>
      </c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5"/>
      <c r="M3" s="95"/>
      <c r="N3" s="9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8" t="s">
        <v>58</v>
      </c>
      <c r="E4" s="108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47</v>
      </c>
      <c r="N4" s="96" t="str">
        <f>$C$12</f>
        <v>HACHE Didier</v>
      </c>
      <c r="O4" s="96"/>
      <c r="P4" s="96"/>
      <c r="Q4" s="96"/>
      <c r="R4" s="9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97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9" t="s">
        <v>19</v>
      </c>
      <c r="F7" s="100"/>
      <c r="G7" s="100"/>
      <c r="H7" s="100"/>
      <c r="I7" s="100"/>
      <c r="J7" s="101" t="s">
        <v>20</v>
      </c>
      <c r="K7" s="102"/>
      <c r="L7" s="103" t="s">
        <v>21</v>
      </c>
      <c r="M7" s="103"/>
      <c r="N7" s="104" t="s">
        <v>22</v>
      </c>
      <c r="O7" s="105"/>
      <c r="P7" s="106"/>
      <c r="Q7" s="107" t="s">
        <v>23</v>
      </c>
      <c r="R7" s="105"/>
      <c r="S7" s="10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47</v>
      </c>
      <c r="C10" s="42" t="s">
        <v>72</v>
      </c>
      <c r="D10" s="19">
        <v>1</v>
      </c>
      <c r="E10" s="25">
        <v>41767</v>
      </c>
      <c r="F10" s="25">
        <v>41946</v>
      </c>
      <c r="G10" s="25"/>
      <c r="H10" s="25"/>
      <c r="I10" s="44" t="s">
        <v>57</v>
      </c>
      <c r="J10" s="25">
        <v>41779</v>
      </c>
      <c r="K10" s="25">
        <v>41780</v>
      </c>
      <c r="L10" s="25">
        <v>41838</v>
      </c>
      <c r="M10" s="25"/>
      <c r="N10" s="25">
        <v>41887</v>
      </c>
      <c r="O10" s="25"/>
      <c r="P10" s="25"/>
      <c r="Q10" s="25">
        <v>42132</v>
      </c>
      <c r="R10" s="25">
        <v>41928</v>
      </c>
      <c r="S10" s="25">
        <v>41933</v>
      </c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68">
        <v>47</v>
      </c>
      <c r="C11" s="69" t="s">
        <v>72</v>
      </c>
      <c r="D11" s="19">
        <v>2</v>
      </c>
      <c r="E11" s="25">
        <v>41748</v>
      </c>
      <c r="F11" s="25">
        <v>41754</v>
      </c>
      <c r="G11" s="25">
        <v>41754</v>
      </c>
      <c r="H11" s="25">
        <v>41754</v>
      </c>
      <c r="I11" s="44" t="s">
        <v>86</v>
      </c>
      <c r="J11" s="25">
        <v>41760</v>
      </c>
      <c r="K11" s="25">
        <v>41779</v>
      </c>
      <c r="L11" s="25">
        <v>41819</v>
      </c>
      <c r="N11" s="25">
        <v>41868</v>
      </c>
      <c r="Q11" s="25">
        <v>42113</v>
      </c>
      <c r="T11" s="69" t="s">
        <v>71</v>
      </c>
      <c r="U11" s="12">
        <v>42306</v>
      </c>
    </row>
    <row r="12" spans="2:48" ht="18" customHeight="1">
      <c r="B12" s="68">
        <v>47</v>
      </c>
      <c r="C12" s="69" t="s">
        <v>72</v>
      </c>
      <c r="D12" s="19">
        <v>3</v>
      </c>
      <c r="E12" s="25">
        <v>41957</v>
      </c>
      <c r="F12" s="25">
        <v>41960</v>
      </c>
      <c r="G12" s="25">
        <v>41960</v>
      </c>
      <c r="H12" s="25">
        <v>41960</v>
      </c>
      <c r="I12" s="44" t="s">
        <v>99</v>
      </c>
      <c r="J12" s="25">
        <v>41969</v>
      </c>
      <c r="K12" s="25">
        <v>41995</v>
      </c>
      <c r="L12" s="25">
        <v>42028</v>
      </c>
      <c r="M12" s="25">
        <v>42044</v>
      </c>
      <c r="N12" s="25">
        <v>42077</v>
      </c>
      <c r="Q12" s="25">
        <v>42322</v>
      </c>
      <c r="R12" s="25">
        <v>42066</v>
      </c>
      <c r="S12" s="25">
        <v>42068</v>
      </c>
      <c r="T12" s="69" t="s">
        <v>71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dimension ref="B1:AV14"/>
  <sheetViews>
    <sheetView workbookViewId="0">
      <selection activeCell="D10" sqref="D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3" t="s">
        <v>16</v>
      </c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5"/>
      <c r="M3" s="95"/>
      <c r="N3" s="9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8" t="s">
        <v>58</v>
      </c>
      <c r="E4" s="108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41</v>
      </c>
      <c r="N4" s="96" t="str">
        <f>$C$14</f>
        <v>LENGRAND Freddy</v>
      </c>
      <c r="O4" s="96"/>
      <c r="P4" s="96"/>
      <c r="Q4" s="96"/>
      <c r="R4" s="9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97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9" t="s">
        <v>19</v>
      </c>
      <c r="F7" s="100"/>
      <c r="G7" s="100"/>
      <c r="H7" s="100"/>
      <c r="I7" s="100"/>
      <c r="J7" s="101" t="s">
        <v>20</v>
      </c>
      <c r="K7" s="102"/>
      <c r="L7" s="103" t="s">
        <v>21</v>
      </c>
      <c r="M7" s="103"/>
      <c r="N7" s="104" t="s">
        <v>22</v>
      </c>
      <c r="O7" s="105"/>
      <c r="P7" s="106"/>
      <c r="Q7" s="107" t="s">
        <v>23</v>
      </c>
      <c r="R7" s="105"/>
      <c r="S7" s="10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41</v>
      </c>
      <c r="C10" s="42" t="s">
        <v>74</v>
      </c>
      <c r="D10" s="19">
        <v>1</v>
      </c>
      <c r="E10" s="25">
        <v>41775</v>
      </c>
      <c r="F10" s="25">
        <v>41778</v>
      </c>
      <c r="G10" s="25">
        <v>41778</v>
      </c>
      <c r="H10" s="25">
        <v>41813</v>
      </c>
      <c r="I10" s="44" t="s">
        <v>87</v>
      </c>
      <c r="J10" s="25">
        <v>41787</v>
      </c>
      <c r="K10" s="25">
        <v>41820</v>
      </c>
      <c r="L10" s="25">
        <v>41846</v>
      </c>
      <c r="M10" s="25">
        <v>41872</v>
      </c>
      <c r="N10" s="25">
        <v>41895</v>
      </c>
      <c r="O10" s="25"/>
      <c r="P10" s="25"/>
      <c r="Q10" s="25">
        <v>42140</v>
      </c>
      <c r="R10" s="25">
        <v>41915</v>
      </c>
      <c r="S10" s="25">
        <v>41918</v>
      </c>
      <c r="T10" s="42" t="s">
        <v>73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68">
        <v>41</v>
      </c>
      <c r="C11" s="69" t="s">
        <v>74</v>
      </c>
      <c r="D11" s="19">
        <v>2</v>
      </c>
      <c r="E11" s="25">
        <v>41778</v>
      </c>
      <c r="F11" s="25">
        <v>41780</v>
      </c>
      <c r="G11" s="25">
        <v>41780</v>
      </c>
      <c r="H11" s="25">
        <v>41781</v>
      </c>
      <c r="I11" s="74" t="s">
        <v>88</v>
      </c>
      <c r="J11" s="25">
        <v>41790</v>
      </c>
      <c r="K11" s="25">
        <v>41807</v>
      </c>
      <c r="L11" s="25">
        <v>41849</v>
      </c>
      <c r="M11" s="25">
        <v>41857</v>
      </c>
      <c r="N11" s="25">
        <v>41898</v>
      </c>
      <c r="O11" s="25">
        <v>41855</v>
      </c>
      <c r="P11" s="25">
        <v>41857</v>
      </c>
      <c r="Q11" s="25">
        <v>42143</v>
      </c>
      <c r="R11" s="25">
        <v>41960</v>
      </c>
      <c r="S11" s="25">
        <v>41962</v>
      </c>
      <c r="T11" s="69" t="s">
        <v>73</v>
      </c>
      <c r="U11" s="12">
        <v>42306</v>
      </c>
    </row>
    <row r="12" spans="2:48" ht="18" customHeight="1">
      <c r="B12" s="68">
        <v>41</v>
      </c>
      <c r="C12" s="69" t="s">
        <v>74</v>
      </c>
      <c r="D12" s="19">
        <v>3</v>
      </c>
      <c r="E12" s="25">
        <v>41849</v>
      </c>
      <c r="F12" s="25">
        <v>41851</v>
      </c>
      <c r="G12" s="25">
        <v>41851</v>
      </c>
      <c r="H12" s="25">
        <v>41879</v>
      </c>
      <c r="I12" s="74" t="s">
        <v>84</v>
      </c>
      <c r="J12" s="25">
        <v>41861</v>
      </c>
      <c r="K12" s="25">
        <v>41879</v>
      </c>
      <c r="L12" s="25">
        <v>41920</v>
      </c>
      <c r="M12" s="25">
        <v>41918</v>
      </c>
      <c r="N12" s="25">
        <v>41969</v>
      </c>
      <c r="Q12" s="25">
        <v>42214</v>
      </c>
      <c r="R12" s="25">
        <v>42009</v>
      </c>
      <c r="S12" s="25">
        <v>42011</v>
      </c>
      <c r="T12" s="69" t="s">
        <v>73</v>
      </c>
      <c r="U12" s="12">
        <v>42306</v>
      </c>
    </row>
    <row r="13" spans="2:48" ht="25.5">
      <c r="B13" s="90">
        <v>41</v>
      </c>
      <c r="C13" s="91" t="s">
        <v>74</v>
      </c>
      <c r="D13" s="19">
        <v>4</v>
      </c>
      <c r="E13" s="25">
        <v>41899</v>
      </c>
      <c r="F13" s="25">
        <v>41911</v>
      </c>
      <c r="G13" s="25">
        <v>41911</v>
      </c>
      <c r="H13" s="25">
        <v>41970</v>
      </c>
      <c r="I13" s="74" t="s">
        <v>101</v>
      </c>
      <c r="J13" s="25">
        <v>41911</v>
      </c>
      <c r="K13" s="25">
        <v>41970</v>
      </c>
      <c r="L13" s="25">
        <v>41970</v>
      </c>
      <c r="N13" s="25">
        <v>42019</v>
      </c>
      <c r="O13" s="25">
        <v>41908</v>
      </c>
      <c r="P13" s="25">
        <v>41911</v>
      </c>
      <c r="Q13" s="25">
        <v>42264</v>
      </c>
      <c r="R13" s="25">
        <v>42055</v>
      </c>
      <c r="S13" s="25">
        <v>42059</v>
      </c>
      <c r="T13" s="91" t="s">
        <v>73</v>
      </c>
      <c r="U13" s="12">
        <v>42306</v>
      </c>
    </row>
    <row r="14" spans="2:48" ht="25.5">
      <c r="B14" s="90">
        <v>41</v>
      </c>
      <c r="C14" s="91" t="s">
        <v>74</v>
      </c>
      <c r="D14" s="19">
        <v>5</v>
      </c>
      <c r="E14" s="25">
        <v>41990</v>
      </c>
      <c r="F14" s="25">
        <v>41995</v>
      </c>
      <c r="G14" s="25">
        <v>41995</v>
      </c>
      <c r="H14" s="25">
        <v>41995</v>
      </c>
      <c r="I14" s="74" t="s">
        <v>102</v>
      </c>
      <c r="J14" s="25">
        <v>42002</v>
      </c>
      <c r="K14" s="25">
        <v>42018</v>
      </c>
      <c r="L14" s="25">
        <v>42061</v>
      </c>
      <c r="M14" s="25">
        <v>42065</v>
      </c>
      <c r="N14" s="25">
        <v>42110</v>
      </c>
      <c r="O14" s="25">
        <v>42060</v>
      </c>
      <c r="P14" s="25">
        <v>42061</v>
      </c>
      <c r="Q14" s="25">
        <v>42355</v>
      </c>
      <c r="T14" s="91" t="s">
        <v>73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D10" sqref="D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3" t="s">
        <v>16</v>
      </c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5"/>
      <c r="M3" s="95"/>
      <c r="N3" s="9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8" t="s">
        <v>58</v>
      </c>
      <c r="E4" s="108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45</v>
      </c>
      <c r="N4" s="96" t="str">
        <f>$C$12</f>
        <v>SERGENT Alain</v>
      </c>
      <c r="O4" s="96"/>
      <c r="P4" s="96"/>
      <c r="Q4" s="96"/>
      <c r="R4" s="9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97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9" t="s">
        <v>19</v>
      </c>
      <c r="F7" s="100"/>
      <c r="G7" s="100"/>
      <c r="H7" s="100"/>
      <c r="I7" s="100"/>
      <c r="J7" s="101" t="s">
        <v>20</v>
      </c>
      <c r="K7" s="102"/>
      <c r="L7" s="103" t="s">
        <v>21</v>
      </c>
      <c r="M7" s="103"/>
      <c r="N7" s="104" t="s">
        <v>22</v>
      </c>
      <c r="O7" s="105"/>
      <c r="P7" s="106"/>
      <c r="Q7" s="107" t="s">
        <v>23</v>
      </c>
      <c r="R7" s="105"/>
      <c r="S7" s="10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45</v>
      </c>
      <c r="C10" s="42" t="s">
        <v>76</v>
      </c>
      <c r="D10" s="19">
        <v>1</v>
      </c>
      <c r="E10" s="25">
        <v>41753</v>
      </c>
      <c r="F10" s="25">
        <v>41757</v>
      </c>
      <c r="G10" s="25">
        <v>41757</v>
      </c>
      <c r="H10" s="25">
        <v>41757</v>
      </c>
      <c r="I10" s="44" t="s">
        <v>89</v>
      </c>
      <c r="J10" s="25">
        <v>41765</v>
      </c>
      <c r="K10" s="25">
        <v>41765</v>
      </c>
      <c r="L10" s="25">
        <v>41824</v>
      </c>
      <c r="M10" s="25">
        <v>41820</v>
      </c>
      <c r="N10" s="25">
        <v>41873</v>
      </c>
      <c r="O10" s="25">
        <v>41816</v>
      </c>
      <c r="P10" s="25">
        <v>41820</v>
      </c>
      <c r="Q10" s="25">
        <v>42118</v>
      </c>
      <c r="R10" s="25"/>
      <c r="S10" s="25"/>
      <c r="T10" s="42" t="s">
        <v>75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68">
        <v>45</v>
      </c>
      <c r="C11" s="69" t="s">
        <v>76</v>
      </c>
      <c r="D11" s="19">
        <v>2</v>
      </c>
      <c r="E11" s="25">
        <v>41820</v>
      </c>
      <c r="F11" s="25">
        <v>41823</v>
      </c>
      <c r="G11" s="25">
        <v>41823</v>
      </c>
      <c r="H11" s="25">
        <v>41824</v>
      </c>
      <c r="I11" s="44" t="s">
        <v>88</v>
      </c>
      <c r="J11" s="25">
        <v>41832</v>
      </c>
      <c r="K11" s="25">
        <v>41869</v>
      </c>
      <c r="L11" s="25">
        <v>41891</v>
      </c>
      <c r="M11" s="25">
        <v>41912</v>
      </c>
      <c r="N11" s="25">
        <v>41940</v>
      </c>
      <c r="Q11" s="25">
        <v>42185</v>
      </c>
      <c r="T11" s="69" t="s">
        <v>75</v>
      </c>
      <c r="U11" s="12">
        <v>42306</v>
      </c>
    </row>
    <row r="12" spans="2:48" ht="18" customHeight="1">
      <c r="B12" s="68">
        <v>45</v>
      </c>
      <c r="C12" s="69" t="s">
        <v>76</v>
      </c>
      <c r="D12" s="19">
        <v>3</v>
      </c>
      <c r="E12" s="25">
        <v>41873</v>
      </c>
      <c r="F12" s="25">
        <v>41876</v>
      </c>
      <c r="G12" s="25">
        <v>41876</v>
      </c>
      <c r="I12" s="44" t="s">
        <v>57</v>
      </c>
      <c r="J12" s="25">
        <v>41885</v>
      </c>
      <c r="L12" s="25">
        <v>41944</v>
      </c>
      <c r="N12" s="25">
        <v>41993</v>
      </c>
      <c r="Q12" s="25">
        <v>42238</v>
      </c>
      <c r="T12" s="69" t="s">
        <v>75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dimension ref="B1:AV15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93" t="s">
        <v>16</v>
      </c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95"/>
      <c r="M3" s="95"/>
      <c r="N3" s="95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08" t="s">
        <v>58</v>
      </c>
      <c r="E4" s="108"/>
      <c r="F4" s="53">
        <f>$U$15</f>
        <v>42306</v>
      </c>
      <c r="G4" s="50"/>
      <c r="H4" s="50"/>
      <c r="I4" s="34"/>
      <c r="J4" s="50"/>
      <c r="K4" s="50"/>
      <c r="L4" s="65" t="s">
        <v>17</v>
      </c>
      <c r="M4" s="63">
        <f>$B$15</f>
        <v>48</v>
      </c>
      <c r="N4" s="96" t="str">
        <f>$C$15</f>
        <v>THUILLIER Delphine</v>
      </c>
      <c r="O4" s="96"/>
      <c r="P4" s="96"/>
      <c r="Q4" s="96"/>
      <c r="R4" s="96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97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99" t="s">
        <v>19</v>
      </c>
      <c r="F7" s="100"/>
      <c r="G7" s="100"/>
      <c r="H7" s="100"/>
      <c r="I7" s="100"/>
      <c r="J7" s="101" t="s">
        <v>20</v>
      </c>
      <c r="K7" s="102"/>
      <c r="L7" s="103" t="s">
        <v>21</v>
      </c>
      <c r="M7" s="103"/>
      <c r="N7" s="104" t="s">
        <v>22</v>
      </c>
      <c r="O7" s="105"/>
      <c r="P7" s="106"/>
      <c r="Q7" s="107" t="s">
        <v>23</v>
      </c>
      <c r="R7" s="105"/>
      <c r="S7" s="106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48</v>
      </c>
      <c r="C10" s="42" t="s">
        <v>78</v>
      </c>
      <c r="D10" s="19">
        <v>2</v>
      </c>
      <c r="E10" s="25">
        <v>41744</v>
      </c>
      <c r="F10" s="25">
        <v>41757</v>
      </c>
      <c r="G10" s="25">
        <v>41757</v>
      </c>
      <c r="H10" s="25"/>
      <c r="I10" s="44" t="s">
        <v>57</v>
      </c>
      <c r="J10" s="25">
        <v>41756</v>
      </c>
      <c r="K10" s="25">
        <v>41757</v>
      </c>
      <c r="L10" s="25">
        <v>41815</v>
      </c>
      <c r="M10" s="25">
        <v>41830</v>
      </c>
      <c r="N10" s="25">
        <v>41864</v>
      </c>
      <c r="O10" s="25">
        <v>41816</v>
      </c>
      <c r="P10" s="25">
        <v>41830</v>
      </c>
      <c r="Q10" s="25">
        <v>42109</v>
      </c>
      <c r="R10" s="25"/>
      <c r="S10" s="25"/>
      <c r="T10" s="42" t="s">
        <v>77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68">
        <v>48</v>
      </c>
      <c r="C11" s="69" t="s">
        <v>78</v>
      </c>
      <c r="D11" s="19">
        <v>3</v>
      </c>
      <c r="E11" s="25">
        <v>41766</v>
      </c>
      <c r="F11" s="25">
        <v>41771</v>
      </c>
      <c r="G11" s="25">
        <v>41771</v>
      </c>
      <c r="H11" s="25">
        <v>41771</v>
      </c>
      <c r="I11" s="44" t="s">
        <v>84</v>
      </c>
      <c r="J11" s="25">
        <v>41778</v>
      </c>
      <c r="K11" s="25">
        <v>41792</v>
      </c>
      <c r="L11" s="25">
        <v>41837</v>
      </c>
      <c r="M11" s="25">
        <v>41830</v>
      </c>
      <c r="N11" s="25">
        <v>41886</v>
      </c>
      <c r="O11" s="25">
        <v>41827</v>
      </c>
      <c r="P11" s="25">
        <v>41830</v>
      </c>
      <c r="Q11" s="25">
        <v>42131</v>
      </c>
      <c r="T11" s="69" t="s">
        <v>77</v>
      </c>
      <c r="U11" s="12">
        <v>42306</v>
      </c>
    </row>
    <row r="12" spans="2:48" ht="18" customHeight="1">
      <c r="B12" s="68">
        <v>48</v>
      </c>
      <c r="C12" s="69" t="s">
        <v>78</v>
      </c>
      <c r="D12" s="19">
        <v>1</v>
      </c>
      <c r="E12" s="25">
        <v>41743</v>
      </c>
      <c r="F12" s="25">
        <v>41757</v>
      </c>
      <c r="G12" s="25">
        <v>41757</v>
      </c>
      <c r="H12" s="25">
        <v>41757</v>
      </c>
      <c r="I12" s="44" t="s">
        <v>84</v>
      </c>
      <c r="J12" s="25">
        <v>41755</v>
      </c>
      <c r="K12" s="25">
        <v>41757</v>
      </c>
      <c r="L12" s="25">
        <v>41814</v>
      </c>
      <c r="M12" s="25">
        <v>41830</v>
      </c>
      <c r="N12" s="25">
        <v>41863</v>
      </c>
      <c r="O12" s="25">
        <v>41806</v>
      </c>
      <c r="P12" s="25">
        <v>41830</v>
      </c>
      <c r="Q12" s="25">
        <v>42108</v>
      </c>
      <c r="R12" s="25">
        <v>41747</v>
      </c>
      <c r="S12" s="25">
        <v>41886</v>
      </c>
      <c r="T12" s="69" t="s">
        <v>77</v>
      </c>
      <c r="U12" s="12">
        <v>42306</v>
      </c>
    </row>
    <row r="13" spans="2:48" ht="25.5">
      <c r="B13" s="68">
        <v>48</v>
      </c>
      <c r="C13" s="69" t="s">
        <v>78</v>
      </c>
      <c r="D13" s="19">
        <v>4</v>
      </c>
      <c r="E13" s="25">
        <v>41792</v>
      </c>
      <c r="F13" s="25">
        <v>41808</v>
      </c>
      <c r="H13" s="25">
        <v>41808</v>
      </c>
      <c r="I13" s="44" t="s">
        <v>84</v>
      </c>
      <c r="J13" s="25">
        <v>41804</v>
      </c>
      <c r="K13" s="25">
        <v>41808</v>
      </c>
      <c r="L13" s="25">
        <v>41863</v>
      </c>
      <c r="M13" s="25">
        <v>41869</v>
      </c>
      <c r="N13" s="25">
        <v>41912</v>
      </c>
      <c r="O13" s="25">
        <v>41841</v>
      </c>
      <c r="P13" s="25">
        <v>41869</v>
      </c>
      <c r="Q13" s="25">
        <v>42157</v>
      </c>
      <c r="R13" s="25">
        <v>41975</v>
      </c>
      <c r="S13" s="25">
        <v>42051</v>
      </c>
      <c r="T13" s="69" t="s">
        <v>77</v>
      </c>
      <c r="U13" s="12">
        <v>42306</v>
      </c>
    </row>
    <row r="14" spans="2:48" ht="25.5">
      <c r="B14" s="68">
        <v>48</v>
      </c>
      <c r="C14" s="69" t="s">
        <v>78</v>
      </c>
      <c r="D14" s="19">
        <v>5</v>
      </c>
      <c r="E14" s="25">
        <v>41793</v>
      </c>
      <c r="F14" s="25">
        <v>41809</v>
      </c>
      <c r="I14" s="74" t="s">
        <v>57</v>
      </c>
      <c r="J14" s="25">
        <v>41805</v>
      </c>
      <c r="K14" s="25">
        <v>41809</v>
      </c>
      <c r="L14" s="25">
        <v>41864</v>
      </c>
      <c r="M14" s="25">
        <v>41869</v>
      </c>
      <c r="N14" s="25">
        <v>41913</v>
      </c>
      <c r="O14" s="25">
        <v>41841</v>
      </c>
      <c r="P14" s="25">
        <v>41869</v>
      </c>
      <c r="Q14" s="25">
        <v>42158</v>
      </c>
      <c r="T14" s="69" t="s">
        <v>77</v>
      </c>
      <c r="U14" s="12">
        <v>42306</v>
      </c>
    </row>
    <row r="15" spans="2:48" ht="25.5">
      <c r="B15" s="90">
        <v>48</v>
      </c>
      <c r="C15" s="91" t="s">
        <v>78</v>
      </c>
      <c r="D15" s="19">
        <v>6</v>
      </c>
      <c r="E15" s="25">
        <v>41989</v>
      </c>
      <c r="F15" s="25">
        <v>42003</v>
      </c>
      <c r="G15" s="25">
        <v>42003</v>
      </c>
      <c r="H15" s="25">
        <v>42003</v>
      </c>
      <c r="I15" s="74" t="s">
        <v>84</v>
      </c>
      <c r="J15" s="25">
        <v>42001</v>
      </c>
      <c r="K15" s="25">
        <v>42006</v>
      </c>
      <c r="L15" s="25">
        <v>42060</v>
      </c>
      <c r="M15" s="25">
        <v>42051</v>
      </c>
      <c r="N15" s="25">
        <v>42109</v>
      </c>
      <c r="O15" s="25">
        <v>41989</v>
      </c>
      <c r="P15" s="25">
        <v>42051</v>
      </c>
      <c r="Q15" s="25">
        <v>42354</v>
      </c>
      <c r="T15" s="91" t="s">
        <v>77</v>
      </c>
      <c r="U15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Secteur DE0101</vt:lpstr>
      <vt:lpstr>0989430</vt:lpstr>
      <vt:lpstr>1411244</vt:lpstr>
      <vt:lpstr>1336773</vt:lpstr>
      <vt:lpstr>01506306</vt:lpstr>
      <vt:lpstr>3887805</vt:lpstr>
      <vt:lpstr>4561203</vt:lpstr>
      <vt:lpstr>03153850</vt:lpstr>
      <vt:lpstr>4427290</vt:lpstr>
      <vt:lpstr>5627214</vt:lpstr>
      <vt:lpstr>8437070</vt:lpstr>
      <vt:lpstr>9135667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2015-10-29T22:01:09Z</dcterms:modified>
</cp:coreProperties>
</file>