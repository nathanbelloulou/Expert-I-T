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692"/>
  </bookViews>
  <sheets>
    <sheet name="Secteur DE0307" sheetId="1" r:id="rId1"/>
    <sheet name="00479590" sheetId="2" r:id="rId2"/>
    <sheet name="05065850" sheetId="3" r:id="rId3"/>
    <sheet name="02722458" sheetId="14" r:id="rId4"/>
    <sheet name="09283750" sheetId="13" r:id="rId5"/>
    <sheet name="03751038" sheetId="4" r:id="rId6"/>
    <sheet name="03137779" sheetId="11" r:id="rId7"/>
    <sheet name="05921510" sheetId="10" r:id="rId8"/>
    <sheet name="07734757" sheetId="5" r:id="rId9"/>
    <sheet name="07852215" sheetId="12" r:id="rId10"/>
    <sheet name="08407087" sheetId="6" r:id="rId11"/>
    <sheet name="09029677" sheetId="7" r:id="rId12"/>
    <sheet name="09054745" sheetId="8" r:id="rId13"/>
    <sheet name="09306433" sheetId="9" r:id="rId14"/>
  </sheets>
  <definedNames>
    <definedName name="Lancer_la_requête_à_partir_de_MS_Access_Database" localSheetId="1" hidden="1">'00479590'!$B$9:$U$19</definedName>
    <definedName name="Lancer_la_requête_à_partir_de_MS_Access_Database" localSheetId="3" hidden="1">'02722458'!$B$9:$U$12</definedName>
    <definedName name="Lancer_la_requête_à_partir_de_MS_Access_Database" localSheetId="6" hidden="1">'03137779'!$B$9:$U$14</definedName>
    <definedName name="Lancer_la_requête_à_partir_de_MS_Access_Database" localSheetId="5" hidden="1">'03751038'!$B$9:$U$12</definedName>
    <definedName name="Lancer_la_requête_à_partir_de_MS_Access_Database" localSheetId="2" hidden="1">'05065850'!$B$9:$U$12</definedName>
    <definedName name="Lancer_la_requête_à_partir_de_MS_Access_Database" localSheetId="7" hidden="1">'05921510'!$B$9:$U$17</definedName>
    <definedName name="Lancer_la_requête_à_partir_de_MS_Access_Database" localSheetId="8" hidden="1">'07734757'!$B$9:$U$12</definedName>
    <definedName name="Lancer_la_requête_à_partir_de_MS_Access_Database" localSheetId="9" hidden="1">'07852215'!$B$9:$U$12</definedName>
    <definedName name="Lancer_la_requête_à_partir_de_MS_Access_Database" localSheetId="10" hidden="1">'08407087'!$B$9:$U$12</definedName>
    <definedName name="Lancer_la_requête_à_partir_de_MS_Access_Database" localSheetId="11" hidden="1">'09029677'!$B$9:$U$12</definedName>
    <definedName name="Lancer_la_requête_à_partir_de_MS_Access_Database" localSheetId="12" hidden="1">'09054745'!$B$9:$U$13</definedName>
    <definedName name="Lancer_la_requête_à_partir_de_MS_Access_Database" localSheetId="4" hidden="1">'09283750'!$B$9:$U$12</definedName>
    <definedName name="Lancer_la_requête_à_partir_de_MS_Access_Database" localSheetId="13" hidden="1">'09306433'!$B$9:$U$12</definedName>
    <definedName name="Lancer_la_requête_à_partir_de_MS_Access_Database_1" localSheetId="0" hidden="1">'Secteur DE0307'!$A$7:$K$20</definedName>
  </definedNames>
  <calcPr calcId="125725"/>
</workbook>
</file>

<file path=xl/calcChain.xml><?xml version="1.0" encoding="utf-8"?>
<calcChain xmlns="http://schemas.openxmlformats.org/spreadsheetml/2006/main">
  <c r="D21" i="1"/>
  <c r="E21"/>
  <c r="F21"/>
  <c r="G21"/>
  <c r="H21"/>
  <c r="I21"/>
  <c r="N4" i="14"/>
  <c r="M4"/>
  <c r="F4"/>
  <c r="N4" i="13"/>
  <c r="M4"/>
  <c r="F4"/>
  <c r="N4" i="12"/>
  <c r="M4"/>
  <c r="F4"/>
  <c r="N4" i="11"/>
  <c r="M4"/>
  <c r="F4"/>
  <c r="N4" i="10" l="1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307')_x000d__x000a_ORDER BY Req_REPORT_SECTEURS_GLOBAL.Medecin"/>
  </connection>
  <connection id="2" name="Lancer la requête à partir de MS Access Database0047959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479590')"/>
  </connection>
  <connection id="3" name="Lancer la requête à partir de MS Access Database0272245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722458')"/>
  </connection>
  <connection id="4" name="Lancer la requête à partir de MS Access Database0313777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137779')"/>
  </connection>
  <connection id="5" name="Lancer la requête à partir de MS Access Database0375103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751038')"/>
  </connection>
  <connection id="6" name="Lancer la requête à partir de MS Access Database0506585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065850')"/>
  </connection>
  <connection id="7" name="Lancer la requête à partir de MS Access Database0592151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921510')"/>
  </connection>
  <connection id="8" name="Lancer la requête à partir de MS Access Database0773475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734757')"/>
  </connection>
  <connection id="9" name="Lancer la requête à partir de MS Access Database0785221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852215')"/>
  </connection>
  <connection id="10" name="Lancer la requête à partir de MS Access Database0840708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407087')"/>
  </connection>
  <connection id="11" name="Lancer la requête à partir de MS Access Database0902967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029677')"/>
  </connection>
  <connection id="12" name="Lancer la requête à partir de MS Access Database090547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054745')"/>
  </connection>
  <connection id="13" name="Lancer la requête à partir de MS Access Database0928375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283750')"/>
  </connection>
  <connection id="14" name="Lancer la requête à partir de MS Access Database0930643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306433')"/>
  </connection>
</connections>
</file>

<file path=xl/sharedStrings.xml><?xml version="1.0" encoding="utf-8"?>
<sst xmlns="http://schemas.openxmlformats.org/spreadsheetml/2006/main" count="837" uniqueCount="107">
  <si>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</si>
  <si>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</si>
  <si>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</si>
  <si>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</si>
  <si>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</si>
  <si>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</si>
  <si>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</si>
  <si>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</si>
  <si>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</si>
  <si>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</si>
  <si>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</si>
  <si>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</si>
  <si>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</si>
  <si>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</si>
  <si>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</si>
  <si>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</si>
  <si>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</si>
  <si>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</si>
  <si>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</si>
  <si>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</si>
  <si>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</si>
  <si>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</si>
  <si>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</si>
  <si>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</si>
  <si>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</si>
  <si>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</si>
  <si>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</si>
  <si>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</si>
  <si>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</si>
  <si>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</si>
  <si>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</si>
  <si>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</si>
  <si>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</si>
  <si>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</si>
  <si>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</si>
  <si>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</si>
  <si>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</si>
  <si>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</si>
  <si>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</si>
  <si>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</si>
  <si>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</si>
  <si>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</si>
  <si>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</si>
  <si>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</si>
  <si>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</si>
  <si>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</si>
  <si>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</si>
  <si>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</si>
  <si>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</si>
  <si>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</si>
  <si>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</si>
  <si>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</si>
  <si>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</si>
  <si>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</si>
  <si>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</si>
  <si>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</si>
  <si>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</si>
  <si>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</si>
  <si>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</si>
  <si>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DE0307</t>
  </si>
  <si>
    <t>DOUMECQ Patricia</t>
  </si>
  <si>
    <t>WFRM00479590</t>
  </si>
  <si>
    <t>BERTHELOT Nathalie</t>
  </si>
  <si>
    <t>WFRM05065850</t>
  </si>
  <si>
    <t>CURTIL Laurence</t>
  </si>
  <si>
    <t>WFRM03751038</t>
  </si>
  <si>
    <t>GAITZ Jean-Pierre</t>
  </si>
  <si>
    <t>WFRM07734757</t>
  </si>
  <si>
    <t>RECANATI Gilles</t>
  </si>
  <si>
    <t>WFRM08407087</t>
  </si>
  <si>
    <t>SEI Jean-François</t>
  </si>
  <si>
    <t>WFRM09029677</t>
  </si>
  <si>
    <t>VALLAGE Annick</t>
  </si>
  <si>
    <t>WFRM09054745</t>
  </si>
  <si>
    <t>VANDAME-MARTCHENKO Laëtitia</t>
  </si>
  <si>
    <t>WFRM09306433</t>
  </si>
  <si>
    <t>VUERINGS Fabienne</t>
  </si>
  <si>
    <t>LUSTIG Marie-Joséphine</t>
  </si>
  <si>
    <t>WFRM05921510</t>
  </si>
  <si>
    <t>HAU-DUMOULIN Elisabeth</t>
  </si>
  <si>
    <t>WFRM03137779</t>
  </si>
  <si>
    <t>26mai: envoi d'une enveloppe T pour retour page 3 visite inclusion patient 3</t>
  </si>
  <si>
    <t>RICHARD MOMAL Martine</t>
  </si>
  <si>
    <t>WFRM07852215</t>
  </si>
  <si>
    <t>WFRM09283750</t>
  </si>
  <si>
    <t>DOLLE-VOCANSON Claude</t>
  </si>
  <si>
    <t>Courrier - Téléphone</t>
  </si>
  <si>
    <t>SMS - Mail - Courrier - Téléphone - Via médecin</t>
  </si>
  <si>
    <t>Mail - Téléphone</t>
  </si>
  <si>
    <t>Téléphone</t>
  </si>
  <si>
    <t>Mail</t>
  </si>
  <si>
    <t>SMS - Courrier - Téléphone - Via médecin</t>
  </si>
  <si>
    <t>04sept: a prescrit du picato mais les patients arrêtent très rapidement à cause des réactions cutanées. Mais va essayer d'inclure.</t>
  </si>
  <si>
    <t>Via médecin</t>
  </si>
  <si>
    <t>SMS</t>
  </si>
  <si>
    <t>19sept: Dr souhaite etre reappro, 2 cahiers envoyés.</t>
  </si>
  <si>
    <t>24sept:Dr d'accord pour reappro. 1 cahier envoyé.</t>
  </si>
  <si>
    <t>Courrier</t>
  </si>
  <si>
    <t>WFRM02722458</t>
  </si>
  <si>
    <t>DELOR Sophie</t>
  </si>
  <si>
    <t>SMS - Mail - Courrier</t>
  </si>
  <si>
    <t>04nov:souhaite recevoir 3 cahiers supp=&gt;envoyé le 12nov</t>
  </si>
  <si>
    <t>Courrier - Téléphone - Via médecin</t>
  </si>
  <si>
    <t>Colonne1</t>
  </si>
  <si>
    <t>Reste 4 patients à inclure</t>
  </si>
  <si>
    <t>a inclus 2 autres patients, nous renvoie les pages cette semaine</t>
  </si>
  <si>
    <t>Demande le renvoi des visites d'inclusion manquantes: ok va regarder</t>
  </si>
</sst>
</file>

<file path=xl/styles.xml><?xml version="1.0" encoding="utf-8"?>
<styleSheet xmlns="http://schemas.openxmlformats.org/spreadsheetml/2006/main">
  <numFmts count="1">
    <numFmt numFmtId="164" formatCode="dd/mm/yy;@"/>
  </numFmts>
  <fonts count="30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31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8" fillId="0" borderId="0" xfId="0" applyFont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9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30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302"/>
      <tableStyleElement type="headerRow" dxfId="301"/>
      <tableStyleElement type="totalRow" dxfId="300"/>
      <tableStyleElement type="firstColumn" dxfId="299"/>
      <tableStyleElement type="lastColumn" dxfId="298"/>
      <tableStyleElement type="firstRowStripe" dxfId="297"/>
      <tableStyleElement type="secondRowStripe" dxfId="296"/>
      <tableStyleElement type="firstColumnStripe" dxfId="295"/>
      <tableStyleElement type="secondColumnStripe" dxfId="294"/>
    </tableStyle>
    <tableStyle name="TableStyleLight8 2" pivot="0" count="9">
      <tableStyleElement type="wholeTable" dxfId="293"/>
      <tableStyleElement type="headerRow" dxfId="292"/>
      <tableStyleElement type="totalRow" dxfId="291"/>
      <tableStyleElement type="firstColumn" dxfId="290"/>
      <tableStyleElement type="lastColumn" dxfId="289"/>
      <tableStyleElement type="firstRowStripe" dxfId="288"/>
      <tableStyleElement type="secondRowStripe" dxfId="287"/>
      <tableStyleElement type="firstColumnStripe" dxfId="286"/>
      <tableStyleElement type="secondColumnStripe" dxfId="28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1" tableType="queryTable" totalsRowCount="1" headerRowDxfId="284" dataDxfId="283">
  <tableColumns count="12">
    <tableColumn id="1" uniqueName="1" name="Code Secteur" queryTableFieldId="1" dataDxfId="271" totalsRowDxfId="272"/>
    <tableColumn id="2" uniqueName="2" name="VM" queryTableFieldId="2" dataDxfId="270" totalsRowDxfId="273"/>
    <tableColumn id="3" uniqueName="3" name="Code médecin" totalsRowLabel="TOTAL" queryTableFieldId="3" dataDxfId="269" totalsRowDxfId="274" dataCellStyle="Lien hypertexte"/>
    <tableColumn id="4" uniqueName="4" name="Medecin" totalsRowFunction="custom" queryTableFieldId="4" dataDxfId="268" totalsRowDxfId="275">
      <totalsRowFormula>SUBTOTAL(3,D8:D20)</totalsRowFormula>
    </tableColumn>
    <tableColumn id="5" uniqueName="5" name="Date de réception convention financière" totalsRowFunction="custom" queryTableFieldId="5" dataDxfId="267" totalsRowDxfId="276">
      <totalsRowFormula>SUBTOTAL(3,[Date de réception convention financière])</totalsRowFormula>
    </tableColumn>
    <tableColumn id="6" uniqueName="6" name="Date de réception AR kit" totalsRowFunction="custom" queryTableFieldId="6" dataDxfId="266" totalsRowDxfId="277">
      <totalsRowFormula>SUBTOTAL(3,[Date de réception AR kit])</totalsRowFormula>
    </tableColumn>
    <tableColumn id="7" uniqueName="7" name="Date de MEP" totalsRowFunction="custom" queryTableFieldId="7" dataDxfId="265" totalsRowDxfId="278">
      <totalsRowFormula>SUBTOTAL(3,[Date de MEP])</totalsRowFormula>
    </tableColumn>
    <tableColumn id="8" uniqueName="8" name="Desistement" totalsRowFunction="custom" queryTableFieldId="8" dataDxfId="264" totalsRowDxfId="279">
      <totalsRowFormula>SUBTOTAL(3,[Desistement])</totalsRowFormula>
    </tableColumn>
    <tableColumn id="9" uniqueName="9" name="Nb Total Patients inclus" totalsRowFunction="custom" queryTableFieldId="9" dataDxfId="263" totalsRowDxfId="280">
      <totalsRowFormula>SUBTOTAL(109,I8:I20)</totalsRowFormula>
    </tableColumn>
    <tableColumn id="10" uniqueName="10" name="Comptes-rendus contact médecin-GECEM" queryTableFieldId="10" dataDxfId="262" totalsRowDxfId="281"/>
    <tableColumn id="11" uniqueName="11" name="Date" queryTableFieldId="11" dataDxfId="261" totalsRowDxfId="282"/>
    <tableColumn id="12" uniqueName="12" name="Colonne1" queryTableFieldId="12" dataDxfId="26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9" tableType="queryTable" totalsRowShown="0">
  <tableColumns count="20">
    <tableColumn id="1" uniqueName="1" name="Num_Centre" queryTableFieldId="1" dataDxfId="259"/>
    <tableColumn id="2" uniqueName="2" name="Investigateur" queryTableFieldId="2" dataDxfId="258"/>
    <tableColumn id="3" uniqueName="3" name="Num_Patient" queryTableFieldId="3" dataDxfId="257"/>
    <tableColumn id="4" uniqueName="4" name="INCLUSION_Visite" queryTableFieldId="4" dataDxfId="256"/>
    <tableColumn id="5" uniqueName="5" name="INCLUSION_Reception" queryTableFieldId="5" dataDxfId="255"/>
    <tableColumn id="6" uniqueName="6" name="AQINCLUSION_Reception" queryTableFieldId="6" dataDxfId="254"/>
    <tableColumn id="7" uniqueName="7" name="CONTACT_Reception" queryTableFieldId="7" dataDxfId="253"/>
    <tableColumn id="8" uniqueName="8" name="TypeRappel" queryTableFieldId="8" dataDxfId="252"/>
    <tableColumn id="9" uniqueName="9" name="AQ7Theo" queryTableFieldId="9" dataDxfId="251"/>
    <tableColumn id="10" uniqueName="10" name="AQJ7_Reception" queryTableFieldId="10" dataDxfId="250"/>
    <tableColumn id="11" uniqueName="11" name="AQ_M2_Theo" queryTableFieldId="11" dataDxfId="249"/>
    <tableColumn id="12" uniqueName="12" name="AQM2_Reception" queryTableFieldId="12" dataDxfId="248"/>
    <tableColumn id="13" uniqueName="13" name="VP_Theo" queryTableFieldId="13" dataDxfId="247"/>
    <tableColumn id="14" uniqueName="14" name="PRECOCE_Visite" queryTableFieldId="14" dataDxfId="246"/>
    <tableColumn id="15" uniqueName="15" name="PRECOCE_Reception" queryTableFieldId="15" dataDxfId="245"/>
    <tableColumn id="16" uniqueName="16" name="VT_Theo" queryTableFieldId="16" dataDxfId="244"/>
    <tableColumn id="17" uniqueName="17" name="TARDIF_Visite" queryTableFieldId="17" dataDxfId="243"/>
    <tableColumn id="18" uniqueName="18" name="TARDIF_Reception" queryTableFieldId="18" dataDxfId="242"/>
    <tableColumn id="19" uniqueName="19" name="Onekey" queryTableFieldId="19" dataDxfId="241"/>
    <tableColumn id="20" uniqueName="20" name="Date" queryTableFieldId="20" dataDxfId="24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4" name="Tableau_Lancer_la_requête_à_partir_de_MS_Access_Database415" displayName="Tableau_Lancer_la_requête_à_partir_de_MS_Access_Database415" ref="B9:U12" tableType="queryTable" totalsRowShown="0"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3" name="Tableau_Lancer_la_requête_à_partir_de_MS_Access_Database414" displayName="Tableau_Lancer_la_requête_à_partir_de_MS_Access_Database414" ref="B9:U12" tableType="queryTable" totalsRowShown="0"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11" name="Tableau_Lancer_la_requête_à_partir_de_MS_Access_Database4567891012" displayName="Tableau_Lancer_la_requête_à_partir_de_MS_Access_Database4567891012" ref="B9:U14" tableType="queryTable" totalsRowShown="0"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10" name="Tableau_Lancer_la_requête_à_partir_de_MS_Access_Database45611" displayName="Tableau_Lancer_la_requête_à_partir_de_MS_Access_Database45611" ref="B9:U17" tableType="queryTable" totalsRowShown="0"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12" name="Tableau_Lancer_la_requête_à_partir_de_MS_Access_Database4567891013" displayName="Tableau_Lancer_la_requête_à_partir_de_MS_Access_Database4567891013" ref="B9:U12" tableType="queryTable" totalsRowShown="0"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2" tableType="queryTable" totalsRowShown="0"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3" tableType="queryTable" totalsRowShown="0"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2" tableType="queryTable" totalsRowShown="0"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3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$A$20</f>
        <v>DE0307</v>
      </c>
      <c r="G2" s="114" t="str">
        <f>$B$20</f>
        <v>DOUMECQ Patricia</v>
      </c>
      <c r="H2" s="114"/>
      <c r="I2" s="114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$K$20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103</v>
      </c>
    </row>
    <row r="8" spans="1:17" s="107" customFormat="1" ht="45">
      <c r="A8" s="107" t="s">
        <v>59</v>
      </c>
      <c r="B8" s="107" t="s">
        <v>60</v>
      </c>
      <c r="C8" s="108" t="s">
        <v>61</v>
      </c>
      <c r="D8" s="109" t="s">
        <v>62</v>
      </c>
      <c r="E8" s="110">
        <v>41695</v>
      </c>
      <c r="F8" s="110">
        <v>41771</v>
      </c>
      <c r="G8" s="110">
        <v>41765</v>
      </c>
      <c r="H8" s="110"/>
      <c r="I8" s="111">
        <v>9</v>
      </c>
      <c r="J8" s="109" t="s">
        <v>105</v>
      </c>
      <c r="K8" s="112">
        <v>42306</v>
      </c>
      <c r="L8" s="113" t="s">
        <v>104</v>
      </c>
    </row>
    <row r="9" spans="1:17" s="82" customFormat="1">
      <c r="A9" s="82" t="s">
        <v>59</v>
      </c>
      <c r="B9" s="82" t="s">
        <v>60</v>
      </c>
      <c r="C9" s="83" t="s">
        <v>63</v>
      </c>
      <c r="D9" s="81" t="s">
        <v>64</v>
      </c>
      <c r="E9" s="16">
        <v>41696</v>
      </c>
      <c r="F9" s="16">
        <v>41771</v>
      </c>
      <c r="G9" s="16">
        <v>41766</v>
      </c>
      <c r="H9" s="16"/>
      <c r="I9" s="15">
        <v>2</v>
      </c>
      <c r="J9" s="81"/>
      <c r="K9" s="84">
        <v>42306</v>
      </c>
    </row>
    <row r="10" spans="1:17" s="82" customFormat="1">
      <c r="A10" s="82" t="s">
        <v>59</v>
      </c>
      <c r="B10" s="82" t="s">
        <v>60</v>
      </c>
      <c r="C10" s="83" t="s">
        <v>98</v>
      </c>
      <c r="D10" s="81" t="s">
        <v>99</v>
      </c>
      <c r="E10" s="16">
        <v>41925</v>
      </c>
      <c r="F10" s="16">
        <v>41936</v>
      </c>
      <c r="G10" s="16">
        <v>41934</v>
      </c>
      <c r="H10" s="16"/>
      <c r="I10" s="15">
        <v>2</v>
      </c>
      <c r="J10" s="81"/>
      <c r="K10" s="84">
        <v>42306</v>
      </c>
    </row>
    <row r="11" spans="1:17" s="82" customFormat="1">
      <c r="A11" s="82" t="s">
        <v>59</v>
      </c>
      <c r="B11" s="82" t="s">
        <v>60</v>
      </c>
      <c r="C11" s="83" t="s">
        <v>84</v>
      </c>
      <c r="D11" s="81" t="s">
        <v>85</v>
      </c>
      <c r="E11" s="16">
        <v>41813</v>
      </c>
      <c r="F11" s="16">
        <v>41894</v>
      </c>
      <c r="G11" s="16">
        <v>41891</v>
      </c>
      <c r="H11" s="16"/>
      <c r="I11" s="15">
        <v>3</v>
      </c>
      <c r="J11" s="81"/>
      <c r="K11" s="84">
        <v>42306</v>
      </c>
    </row>
    <row r="12" spans="1:17" s="82" customFormat="1" ht="45">
      <c r="A12" s="82" t="s">
        <v>59</v>
      </c>
      <c r="B12" s="82" t="s">
        <v>60</v>
      </c>
      <c r="C12" s="83" t="s">
        <v>65</v>
      </c>
      <c r="D12" s="81" t="s">
        <v>66</v>
      </c>
      <c r="E12" s="16">
        <v>41730</v>
      </c>
      <c r="F12" s="16">
        <v>41740</v>
      </c>
      <c r="G12" s="16">
        <v>41739</v>
      </c>
      <c r="H12" s="16"/>
      <c r="I12" s="15">
        <v>2</v>
      </c>
      <c r="J12" s="81" t="s">
        <v>92</v>
      </c>
      <c r="K12" s="84">
        <v>42306</v>
      </c>
    </row>
    <row r="13" spans="1:17" s="82" customFormat="1">
      <c r="A13" s="82" t="s">
        <v>59</v>
      </c>
      <c r="B13" s="82" t="s">
        <v>60</v>
      </c>
      <c r="C13" s="83" t="s">
        <v>80</v>
      </c>
      <c r="D13" s="81" t="s">
        <v>79</v>
      </c>
      <c r="E13" s="16">
        <v>41781</v>
      </c>
      <c r="F13" s="16">
        <v>41810</v>
      </c>
      <c r="G13" s="16">
        <v>41808</v>
      </c>
      <c r="H13" s="16"/>
      <c r="I13" s="15">
        <v>5</v>
      </c>
      <c r="J13" s="81" t="s">
        <v>95</v>
      </c>
      <c r="K13" s="84">
        <v>42306</v>
      </c>
    </row>
    <row r="14" spans="1:17" s="82" customFormat="1">
      <c r="A14" s="82" t="s">
        <v>59</v>
      </c>
      <c r="B14" s="82" t="s">
        <v>60</v>
      </c>
      <c r="C14" s="83" t="s">
        <v>78</v>
      </c>
      <c r="D14" s="81" t="s">
        <v>77</v>
      </c>
      <c r="E14" s="16">
        <v>41778</v>
      </c>
      <c r="F14" s="16">
        <v>41792</v>
      </c>
      <c r="G14" s="16">
        <v>41787</v>
      </c>
      <c r="H14" s="16"/>
      <c r="I14" s="15">
        <v>8</v>
      </c>
      <c r="J14" s="81" t="s">
        <v>101</v>
      </c>
      <c r="K14" s="84">
        <v>42306</v>
      </c>
    </row>
    <row r="15" spans="1:17" s="82" customFormat="1">
      <c r="A15" s="82" t="s">
        <v>59</v>
      </c>
      <c r="B15" s="82" t="s">
        <v>60</v>
      </c>
      <c r="C15" s="83" t="s">
        <v>67</v>
      </c>
      <c r="D15" s="81" t="s">
        <v>68</v>
      </c>
      <c r="E15" s="16">
        <v>41697</v>
      </c>
      <c r="F15" s="16">
        <v>41792</v>
      </c>
      <c r="G15" s="16">
        <v>41792</v>
      </c>
      <c r="H15" s="16"/>
      <c r="I15" s="15">
        <v>3</v>
      </c>
      <c r="J15" s="81"/>
      <c r="K15" s="84">
        <v>42306</v>
      </c>
    </row>
    <row r="16" spans="1:17" s="82" customFormat="1">
      <c r="A16" s="82" t="s">
        <v>59</v>
      </c>
      <c r="B16" s="82" t="s">
        <v>60</v>
      </c>
      <c r="C16" s="83" t="s">
        <v>83</v>
      </c>
      <c r="D16" s="81" t="s">
        <v>82</v>
      </c>
      <c r="E16" s="16">
        <v>41803</v>
      </c>
      <c r="F16" s="16">
        <v>41885</v>
      </c>
      <c r="G16" s="16">
        <v>41883</v>
      </c>
      <c r="H16" s="16"/>
      <c r="I16" s="15"/>
      <c r="J16" s="81"/>
      <c r="K16" s="84">
        <v>42306</v>
      </c>
    </row>
    <row r="17" spans="1:12" s="82" customFormat="1">
      <c r="A17" s="82" t="s">
        <v>59</v>
      </c>
      <c r="B17" s="82" t="s">
        <v>60</v>
      </c>
      <c r="C17" s="83" t="s">
        <v>69</v>
      </c>
      <c r="D17" s="81" t="s">
        <v>70</v>
      </c>
      <c r="E17" s="16">
        <v>41701</v>
      </c>
      <c r="F17" s="16">
        <v>41747</v>
      </c>
      <c r="G17" s="16">
        <v>41745</v>
      </c>
      <c r="H17" s="16"/>
      <c r="I17" s="15">
        <v>2</v>
      </c>
      <c r="J17" s="81"/>
      <c r="K17" s="84">
        <v>42306</v>
      </c>
    </row>
    <row r="18" spans="1:12" ht="30">
      <c r="A18" s="82" t="s">
        <v>59</v>
      </c>
      <c r="B18" s="82" t="s">
        <v>60</v>
      </c>
      <c r="C18" s="83" t="s">
        <v>71</v>
      </c>
      <c r="D18" s="81" t="s">
        <v>72</v>
      </c>
      <c r="E18" s="16">
        <v>41743</v>
      </c>
      <c r="F18" s="16">
        <v>41747</v>
      </c>
      <c r="G18" s="16">
        <v>41746</v>
      </c>
      <c r="H18" s="16"/>
      <c r="I18" s="15">
        <v>3</v>
      </c>
      <c r="J18" s="81" t="s">
        <v>106</v>
      </c>
      <c r="K18" s="84">
        <v>42306</v>
      </c>
      <c r="L18" s="82"/>
    </row>
    <row r="19" spans="1:12">
      <c r="A19" s="82" t="s">
        <v>59</v>
      </c>
      <c r="B19" s="82" t="s">
        <v>60</v>
      </c>
      <c r="C19" s="83" t="s">
        <v>73</v>
      </c>
      <c r="D19" s="81" t="s">
        <v>74</v>
      </c>
      <c r="E19" s="16">
        <v>41718</v>
      </c>
      <c r="F19" s="16">
        <v>41743</v>
      </c>
      <c r="G19" s="16">
        <v>41740</v>
      </c>
      <c r="H19" s="16"/>
      <c r="I19" s="15">
        <v>4</v>
      </c>
      <c r="J19" s="81" t="s">
        <v>96</v>
      </c>
      <c r="K19" s="84">
        <v>42306</v>
      </c>
      <c r="L19" s="82"/>
    </row>
    <row r="20" spans="1:12" ht="30">
      <c r="A20" s="82" t="s">
        <v>59</v>
      </c>
      <c r="B20" s="82" t="s">
        <v>60</v>
      </c>
      <c r="C20" s="83" t="s">
        <v>75</v>
      </c>
      <c r="D20" s="81" t="s">
        <v>76</v>
      </c>
      <c r="E20" s="16">
        <v>41701</v>
      </c>
      <c r="F20" s="16">
        <v>41740</v>
      </c>
      <c r="G20" s="16">
        <v>41738</v>
      </c>
      <c r="H20" s="16"/>
      <c r="I20" s="15">
        <v>3</v>
      </c>
      <c r="J20" s="81" t="s">
        <v>81</v>
      </c>
      <c r="K20" s="84">
        <v>42306</v>
      </c>
      <c r="L20" s="82"/>
    </row>
    <row r="21" spans="1:12">
      <c r="A21" s="28"/>
      <c r="B21" s="28"/>
      <c r="C21" s="27" t="s">
        <v>15</v>
      </c>
      <c r="D21" s="33">
        <f>SUBTOTAL(3,D8:D20)</f>
        <v>13</v>
      </c>
      <c r="E21" s="33">
        <f>SUBTOTAL(3,[Date de réception convention financière])</f>
        <v>13</v>
      </c>
      <c r="F21" s="33">
        <f>SUBTOTAL(3,[Date de réception AR kit])</f>
        <v>13</v>
      </c>
      <c r="G21" s="33">
        <f>SUBTOTAL(3,[Date de MEP])</f>
        <v>13</v>
      </c>
      <c r="H21" s="89">
        <f>SUBTOTAL(3,[Desistement])</f>
        <v>0</v>
      </c>
      <c r="I21" s="27">
        <f>SUBTOTAL(109,I8:I20)</f>
        <v>46</v>
      </c>
      <c r="J21" s="31"/>
      <c r="K21" s="32"/>
    </row>
    <row r="22" spans="1:12">
      <c r="D22" s="10"/>
      <c r="J22" s="10"/>
    </row>
    <row r="23" spans="1:12">
      <c r="C23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9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$U$19</f>
        <v>42306</v>
      </c>
      <c r="G4" s="50"/>
      <c r="H4" s="50"/>
      <c r="I4" s="34"/>
      <c r="J4" s="50"/>
      <c r="K4" s="50"/>
      <c r="L4" s="57" t="s">
        <v>17</v>
      </c>
      <c r="M4" s="63">
        <f>$B$19</f>
        <v>195</v>
      </c>
      <c r="N4" s="118" t="str">
        <f>$C$19</f>
        <v>BERTHELOT Nathalie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195</v>
      </c>
      <c r="C10" s="42" t="s">
        <v>62</v>
      </c>
      <c r="D10" s="19">
        <v>1</v>
      </c>
      <c r="E10" s="25">
        <v>41785</v>
      </c>
      <c r="F10" s="25">
        <v>41801</v>
      </c>
      <c r="G10" s="25">
        <v>41801</v>
      </c>
      <c r="H10" s="25">
        <v>41894</v>
      </c>
      <c r="I10" s="74" t="s">
        <v>93</v>
      </c>
      <c r="J10" s="25">
        <v>41797</v>
      </c>
      <c r="K10" s="25">
        <v>41801</v>
      </c>
      <c r="L10" s="25">
        <v>41856</v>
      </c>
      <c r="M10" s="25"/>
      <c r="N10" s="25">
        <v>41905</v>
      </c>
      <c r="O10" s="25"/>
      <c r="P10" s="25"/>
      <c r="Q10" s="25">
        <v>42150</v>
      </c>
      <c r="R10" s="25">
        <v>42145</v>
      </c>
      <c r="S10" s="25">
        <v>42270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195</v>
      </c>
      <c r="C11" s="69" t="s">
        <v>62</v>
      </c>
      <c r="D11" s="19">
        <v>2</v>
      </c>
      <c r="E11" s="25">
        <v>41794</v>
      </c>
      <c r="F11" s="25">
        <v>41862</v>
      </c>
      <c r="H11" s="25">
        <v>41897</v>
      </c>
      <c r="I11" s="74" t="s">
        <v>93</v>
      </c>
      <c r="J11" s="25">
        <v>41806</v>
      </c>
      <c r="K11" s="25">
        <v>41897</v>
      </c>
      <c r="L11" s="25">
        <v>41865</v>
      </c>
      <c r="M11" s="25">
        <v>41897</v>
      </c>
      <c r="N11" s="25">
        <v>41914</v>
      </c>
      <c r="O11" s="25">
        <v>41893</v>
      </c>
      <c r="P11" s="25">
        <v>41897</v>
      </c>
      <c r="Q11" s="25">
        <v>42159</v>
      </c>
      <c r="R11" s="25">
        <v>42145</v>
      </c>
      <c r="S11" s="25">
        <v>42270</v>
      </c>
      <c r="T11" s="69" t="s">
        <v>61</v>
      </c>
      <c r="U11" s="12">
        <v>42306</v>
      </c>
    </row>
    <row r="12" spans="2:48" ht="25.5">
      <c r="B12" s="68">
        <v>195</v>
      </c>
      <c r="C12" s="69" t="s">
        <v>62</v>
      </c>
      <c r="D12" s="19">
        <v>3</v>
      </c>
      <c r="E12" s="25">
        <v>41784</v>
      </c>
      <c r="F12" s="25">
        <v>41862</v>
      </c>
      <c r="H12" s="25">
        <v>41897</v>
      </c>
      <c r="I12" s="74" t="s">
        <v>93</v>
      </c>
      <c r="J12" s="25">
        <v>41796</v>
      </c>
      <c r="K12" s="25">
        <v>41897</v>
      </c>
      <c r="L12" s="25">
        <v>41855</v>
      </c>
      <c r="M12" s="25">
        <v>41897</v>
      </c>
      <c r="N12" s="25">
        <v>41904</v>
      </c>
      <c r="O12" s="25">
        <v>41893</v>
      </c>
      <c r="P12" s="25">
        <v>41897</v>
      </c>
      <c r="Q12" s="25">
        <v>42149</v>
      </c>
      <c r="R12" s="25">
        <v>41939</v>
      </c>
      <c r="S12" s="25">
        <v>41946</v>
      </c>
      <c r="T12" s="69" t="s">
        <v>61</v>
      </c>
      <c r="U12" s="12">
        <v>42306</v>
      </c>
    </row>
    <row r="13" spans="2:48" ht="25.5">
      <c r="B13" s="101">
        <v>195</v>
      </c>
      <c r="C13" s="102" t="s">
        <v>62</v>
      </c>
      <c r="D13" s="19">
        <v>4</v>
      </c>
      <c r="E13" s="25">
        <v>41843</v>
      </c>
      <c r="F13" s="25">
        <v>41946</v>
      </c>
      <c r="H13" s="25">
        <v>41946</v>
      </c>
      <c r="I13" s="74" t="s">
        <v>93</v>
      </c>
      <c r="J13" s="25">
        <v>41855</v>
      </c>
      <c r="L13" s="25">
        <v>41914</v>
      </c>
      <c r="M13" s="25">
        <v>41946</v>
      </c>
      <c r="N13" s="25">
        <v>41963</v>
      </c>
      <c r="O13" s="25">
        <v>41883</v>
      </c>
      <c r="P13" s="25">
        <v>42270</v>
      </c>
      <c r="Q13" s="25">
        <v>42208</v>
      </c>
      <c r="R13" s="25">
        <v>42146</v>
      </c>
      <c r="S13" s="25">
        <v>42270</v>
      </c>
      <c r="T13" s="102" t="s">
        <v>61</v>
      </c>
      <c r="U13" s="12">
        <v>42306</v>
      </c>
    </row>
    <row r="14" spans="2:48" ht="25.5">
      <c r="B14" s="101">
        <v>195</v>
      </c>
      <c r="C14" s="102" t="s">
        <v>62</v>
      </c>
      <c r="D14" s="19">
        <v>5</v>
      </c>
      <c r="E14" s="25">
        <v>41842</v>
      </c>
      <c r="F14" s="25">
        <v>41946</v>
      </c>
      <c r="H14" s="25">
        <v>41946</v>
      </c>
      <c r="I14" s="100" t="s">
        <v>93</v>
      </c>
      <c r="J14" s="25">
        <v>41854</v>
      </c>
      <c r="K14" s="25">
        <v>41946</v>
      </c>
      <c r="L14" s="25">
        <v>41913</v>
      </c>
      <c r="N14" s="25">
        <v>41962</v>
      </c>
      <c r="O14" s="25">
        <v>41919</v>
      </c>
      <c r="P14" s="25">
        <v>41997</v>
      </c>
      <c r="Q14" s="25">
        <v>42207</v>
      </c>
      <c r="R14" s="25">
        <v>42144</v>
      </c>
      <c r="S14" s="25">
        <v>42270</v>
      </c>
      <c r="T14" s="102" t="s">
        <v>61</v>
      </c>
      <c r="U14" s="12">
        <v>42306</v>
      </c>
    </row>
    <row r="15" spans="2:48" ht="25.5">
      <c r="B15" s="101">
        <v>195</v>
      </c>
      <c r="C15" s="102" t="s">
        <v>62</v>
      </c>
      <c r="D15" s="19">
        <v>6</v>
      </c>
      <c r="I15" s="100" t="s">
        <v>57</v>
      </c>
      <c r="T15" s="102" t="s">
        <v>61</v>
      </c>
      <c r="U15" s="12">
        <v>42306</v>
      </c>
    </row>
    <row r="16" spans="2:48" ht="25.5">
      <c r="B16" s="101">
        <v>195</v>
      </c>
      <c r="C16" s="102" t="s">
        <v>62</v>
      </c>
      <c r="D16" s="19">
        <v>7</v>
      </c>
      <c r="E16" s="25">
        <v>41974</v>
      </c>
      <c r="F16" s="25">
        <v>42009</v>
      </c>
      <c r="I16" s="100" t="s">
        <v>57</v>
      </c>
      <c r="J16" s="25">
        <v>41986</v>
      </c>
      <c r="K16" s="25">
        <v>42009</v>
      </c>
      <c r="L16" s="25">
        <v>42045</v>
      </c>
      <c r="N16" s="25">
        <v>42094</v>
      </c>
      <c r="O16" s="25">
        <v>41982</v>
      </c>
      <c r="P16" s="25">
        <v>42009</v>
      </c>
      <c r="Q16" s="25">
        <v>42339</v>
      </c>
      <c r="R16" s="25">
        <v>42264</v>
      </c>
      <c r="S16" s="25">
        <v>42270</v>
      </c>
      <c r="T16" s="102" t="s">
        <v>61</v>
      </c>
      <c r="U16" s="12">
        <v>42306</v>
      </c>
    </row>
    <row r="17" spans="2:21" ht="25.5">
      <c r="B17" s="101">
        <v>195</v>
      </c>
      <c r="C17" s="102" t="s">
        <v>62</v>
      </c>
      <c r="D17" s="19">
        <v>8</v>
      </c>
      <c r="E17" s="25">
        <v>42012</v>
      </c>
      <c r="F17" s="25">
        <v>42031</v>
      </c>
      <c r="H17" s="25">
        <v>42031</v>
      </c>
      <c r="I17" s="100" t="s">
        <v>93</v>
      </c>
      <c r="J17" s="25">
        <v>42024</v>
      </c>
      <c r="K17" s="25">
        <v>42072</v>
      </c>
      <c r="L17" s="25">
        <v>42083</v>
      </c>
      <c r="M17" s="25">
        <v>42074</v>
      </c>
      <c r="N17" s="25">
        <v>42132</v>
      </c>
      <c r="O17" s="25">
        <v>42026</v>
      </c>
      <c r="P17" s="25">
        <v>42031</v>
      </c>
      <c r="Q17" s="25">
        <v>42377</v>
      </c>
      <c r="R17" s="25">
        <v>42177</v>
      </c>
      <c r="S17" s="25">
        <v>42272</v>
      </c>
      <c r="T17" s="102" t="s">
        <v>61</v>
      </c>
      <c r="U17" s="12">
        <v>42306</v>
      </c>
    </row>
    <row r="18" spans="2:21" ht="25.5">
      <c r="B18" s="101">
        <v>195</v>
      </c>
      <c r="C18" s="102" t="s">
        <v>62</v>
      </c>
      <c r="D18" s="19">
        <v>9</v>
      </c>
      <c r="E18" s="25">
        <v>42012</v>
      </c>
      <c r="F18" s="25">
        <v>42031</v>
      </c>
      <c r="H18" s="25">
        <v>42031</v>
      </c>
      <c r="I18" s="100" t="s">
        <v>93</v>
      </c>
      <c r="J18" s="25">
        <v>42024</v>
      </c>
      <c r="K18" s="25">
        <v>42031</v>
      </c>
      <c r="L18" s="25">
        <v>42083</v>
      </c>
      <c r="M18" s="25">
        <v>42074</v>
      </c>
      <c r="N18" s="25">
        <v>42132</v>
      </c>
      <c r="O18" s="25">
        <v>42026</v>
      </c>
      <c r="P18" s="25">
        <v>42031</v>
      </c>
      <c r="Q18" s="25">
        <v>42377</v>
      </c>
      <c r="R18" s="25">
        <v>42198</v>
      </c>
      <c r="S18" s="25">
        <v>42270</v>
      </c>
      <c r="T18" s="102" t="s">
        <v>61</v>
      </c>
      <c r="U18" s="12">
        <v>42306</v>
      </c>
    </row>
    <row r="19" spans="2:21" ht="25.5">
      <c r="B19" s="101">
        <v>195</v>
      </c>
      <c r="C19" s="102" t="s">
        <v>62</v>
      </c>
      <c r="D19" s="19">
        <v>10</v>
      </c>
      <c r="E19" s="25">
        <v>42026</v>
      </c>
      <c r="F19" s="25">
        <v>42037</v>
      </c>
      <c r="H19" s="25">
        <v>42037</v>
      </c>
      <c r="I19" s="100" t="s">
        <v>93</v>
      </c>
      <c r="J19" s="25">
        <v>42038</v>
      </c>
      <c r="K19" s="25">
        <v>42114</v>
      </c>
      <c r="L19" s="25">
        <v>42097</v>
      </c>
      <c r="M19" s="25">
        <v>42114</v>
      </c>
      <c r="N19" s="25">
        <v>42146</v>
      </c>
      <c r="O19" s="25">
        <v>42034</v>
      </c>
      <c r="P19" s="25">
        <v>42268</v>
      </c>
      <c r="Q19" s="25">
        <v>42391</v>
      </c>
      <c r="R19" s="25">
        <v>42264</v>
      </c>
      <c r="S19" s="25">
        <v>42268</v>
      </c>
      <c r="T19" s="102" t="s">
        <v>61</v>
      </c>
      <c r="U19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197</v>
      </c>
      <c r="N4" s="118" t="str">
        <f>$C$12</f>
        <v>CURTIL Laurence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197</v>
      </c>
      <c r="C10" s="42" t="s">
        <v>64</v>
      </c>
      <c r="D10" s="19">
        <v>1</v>
      </c>
      <c r="E10" s="25">
        <v>41820</v>
      </c>
      <c r="F10" s="25">
        <v>41831</v>
      </c>
      <c r="G10" s="25">
        <v>41823</v>
      </c>
      <c r="H10" s="25">
        <v>41823</v>
      </c>
      <c r="I10" s="74" t="s">
        <v>86</v>
      </c>
      <c r="J10" s="25">
        <v>41832</v>
      </c>
      <c r="K10" s="25">
        <v>41864</v>
      </c>
      <c r="L10" s="25">
        <v>41891</v>
      </c>
      <c r="M10" s="25">
        <v>41918</v>
      </c>
      <c r="N10" s="25">
        <v>41940</v>
      </c>
      <c r="O10" s="25">
        <v>41914</v>
      </c>
      <c r="P10" s="25">
        <v>41915</v>
      </c>
      <c r="Q10" s="25">
        <v>42185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197</v>
      </c>
      <c r="C11" s="69" t="s">
        <v>64</v>
      </c>
      <c r="D11" s="19">
        <v>2</v>
      </c>
      <c r="E11" s="25">
        <v>41829</v>
      </c>
      <c r="F11" s="25">
        <v>41831</v>
      </c>
      <c r="G11" s="25">
        <v>41831</v>
      </c>
      <c r="H11" s="25">
        <v>41831</v>
      </c>
      <c r="I11" s="74" t="s">
        <v>90</v>
      </c>
      <c r="J11" s="25">
        <v>41841</v>
      </c>
      <c r="L11" s="25">
        <v>41900</v>
      </c>
      <c r="N11" s="25">
        <v>41949</v>
      </c>
      <c r="O11" s="25">
        <v>41904</v>
      </c>
      <c r="P11" s="25">
        <v>41905</v>
      </c>
      <c r="Q11" s="25">
        <v>42194</v>
      </c>
      <c r="T11" s="69" t="s">
        <v>63</v>
      </c>
      <c r="U11" s="12">
        <v>42306</v>
      </c>
    </row>
    <row r="12" spans="2:48" ht="25.5">
      <c r="B12" s="68">
        <v>197</v>
      </c>
      <c r="C12" s="69" t="s">
        <v>64</v>
      </c>
      <c r="D12" s="19">
        <v>3</v>
      </c>
      <c r="I12" s="74" t="s">
        <v>57</v>
      </c>
      <c r="T12" s="69" t="s">
        <v>63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103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$U$12</f>
        <v>42306</v>
      </c>
      <c r="G4" s="50"/>
      <c r="H4" s="50"/>
      <c r="I4" s="34"/>
      <c r="J4" s="50"/>
      <c r="K4" s="50"/>
      <c r="L4" s="104" t="s">
        <v>17</v>
      </c>
      <c r="M4" s="63">
        <f>$B$12</f>
        <v>412</v>
      </c>
      <c r="N4" s="118" t="str">
        <f>$C$12</f>
        <v>DELOR Sophie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6" t="s">
        <v>32</v>
      </c>
      <c r="M8" s="106" t="s">
        <v>31</v>
      </c>
      <c r="N8" s="105" t="s">
        <v>33</v>
      </c>
      <c r="O8" s="105" t="s">
        <v>34</v>
      </c>
      <c r="P8" s="10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412</v>
      </c>
      <c r="C10" s="42" t="s">
        <v>99</v>
      </c>
      <c r="D10" s="19">
        <v>1</v>
      </c>
      <c r="E10" s="25">
        <v>41948</v>
      </c>
      <c r="F10" s="25">
        <v>41950</v>
      </c>
      <c r="G10" s="25">
        <v>41950</v>
      </c>
      <c r="H10" s="25">
        <v>41950</v>
      </c>
      <c r="I10" s="100" t="s">
        <v>100</v>
      </c>
      <c r="J10" s="25">
        <v>41960</v>
      </c>
      <c r="K10" s="25">
        <v>41964</v>
      </c>
      <c r="L10" s="25">
        <v>42019</v>
      </c>
      <c r="M10" s="25">
        <v>42016</v>
      </c>
      <c r="N10" s="25">
        <v>42068</v>
      </c>
      <c r="O10" s="25">
        <v>42076</v>
      </c>
      <c r="P10" s="25">
        <v>42079</v>
      </c>
      <c r="Q10" s="25">
        <v>42313</v>
      </c>
      <c r="R10" s="25"/>
      <c r="S10" s="25"/>
      <c r="T10" s="42" t="s">
        <v>98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1">
        <v>412</v>
      </c>
      <c r="C11" s="102" t="s">
        <v>99</v>
      </c>
      <c r="D11" s="19">
        <v>2</v>
      </c>
      <c r="E11" s="25">
        <v>41985</v>
      </c>
      <c r="F11" s="25">
        <v>41989</v>
      </c>
      <c r="G11" s="25">
        <v>41989</v>
      </c>
      <c r="H11" s="25">
        <v>41989</v>
      </c>
      <c r="I11" s="100" t="s">
        <v>97</v>
      </c>
      <c r="J11" s="25">
        <v>41997</v>
      </c>
      <c r="L11" s="25">
        <v>42056</v>
      </c>
      <c r="N11" s="25">
        <v>42105</v>
      </c>
      <c r="O11" s="25">
        <v>42039</v>
      </c>
      <c r="P11" s="25">
        <v>42041</v>
      </c>
      <c r="Q11" s="25">
        <v>42350</v>
      </c>
      <c r="R11" s="25">
        <v>42177</v>
      </c>
      <c r="S11" s="25">
        <v>42179</v>
      </c>
      <c r="T11" s="102" t="s">
        <v>98</v>
      </c>
      <c r="U11" s="12">
        <v>42306</v>
      </c>
    </row>
    <row r="12" spans="2:48" ht="25.5">
      <c r="B12" s="101">
        <v>412</v>
      </c>
      <c r="C12" s="102" t="s">
        <v>99</v>
      </c>
      <c r="D12" s="19">
        <v>3</v>
      </c>
      <c r="I12" s="100" t="s">
        <v>57</v>
      </c>
      <c r="T12" s="102" t="s">
        <v>98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9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$U$12</f>
        <v>42306</v>
      </c>
      <c r="G4" s="50"/>
      <c r="H4" s="50"/>
      <c r="I4" s="34"/>
      <c r="J4" s="50"/>
      <c r="K4" s="50"/>
      <c r="L4" s="91" t="s">
        <v>17</v>
      </c>
      <c r="M4" s="63">
        <f>$B$12</f>
        <v>356</v>
      </c>
      <c r="N4" s="118" t="str">
        <f>$C$12</f>
        <v>DOLLE-VOCANSON Claude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3" t="s">
        <v>32</v>
      </c>
      <c r="M8" s="93" t="s">
        <v>31</v>
      </c>
      <c r="N8" s="92" t="s">
        <v>33</v>
      </c>
      <c r="O8" s="92" t="s">
        <v>34</v>
      </c>
      <c r="P8" s="9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356</v>
      </c>
      <c r="C10" s="42" t="s">
        <v>85</v>
      </c>
      <c r="D10" s="19">
        <v>1</v>
      </c>
      <c r="E10" s="25">
        <v>41950</v>
      </c>
      <c r="F10" s="25">
        <v>41955</v>
      </c>
      <c r="G10" s="25">
        <v>41955</v>
      </c>
      <c r="H10" s="25"/>
      <c r="I10" s="74" t="s">
        <v>57</v>
      </c>
      <c r="J10" s="25">
        <v>41962</v>
      </c>
      <c r="K10" s="25">
        <v>41981</v>
      </c>
      <c r="L10" s="25">
        <v>42021</v>
      </c>
      <c r="M10" s="25">
        <v>42055</v>
      </c>
      <c r="N10" s="25">
        <v>42070</v>
      </c>
      <c r="O10" s="25"/>
      <c r="P10" s="25"/>
      <c r="Q10" s="25">
        <v>42315</v>
      </c>
      <c r="R10" s="25"/>
      <c r="S10" s="25"/>
      <c r="T10" s="42" t="s">
        <v>84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101">
        <v>356</v>
      </c>
      <c r="C11" s="102" t="s">
        <v>85</v>
      </c>
      <c r="D11" s="19">
        <v>2</v>
      </c>
      <c r="E11" s="25">
        <v>41975</v>
      </c>
      <c r="F11" s="25">
        <v>41977</v>
      </c>
      <c r="G11" s="25">
        <v>41977</v>
      </c>
      <c r="H11" s="25">
        <v>41977</v>
      </c>
      <c r="I11" s="74" t="s">
        <v>89</v>
      </c>
      <c r="J11" s="25">
        <v>41987</v>
      </c>
      <c r="L11" s="25">
        <v>42046</v>
      </c>
      <c r="N11" s="25">
        <v>42095</v>
      </c>
      <c r="Q11" s="25">
        <v>42340</v>
      </c>
      <c r="T11" s="102" t="s">
        <v>84</v>
      </c>
      <c r="U11" s="12">
        <v>42306</v>
      </c>
    </row>
    <row r="12" spans="2:48" ht="38.25">
      <c r="B12" s="101">
        <v>356</v>
      </c>
      <c r="C12" s="102" t="s">
        <v>85</v>
      </c>
      <c r="D12" s="19">
        <v>3</v>
      </c>
      <c r="E12" s="25">
        <v>41983</v>
      </c>
      <c r="F12" s="25">
        <v>41985</v>
      </c>
      <c r="G12" s="25">
        <v>41985</v>
      </c>
      <c r="H12" s="25">
        <v>42002</v>
      </c>
      <c r="I12" s="74" t="s">
        <v>97</v>
      </c>
      <c r="J12" s="25">
        <v>41995</v>
      </c>
      <c r="K12" s="25">
        <v>42023</v>
      </c>
      <c r="L12" s="25">
        <v>42054</v>
      </c>
      <c r="M12" s="25">
        <v>42059</v>
      </c>
      <c r="N12" s="25">
        <v>42103</v>
      </c>
      <c r="Q12" s="25">
        <v>42348</v>
      </c>
      <c r="T12" s="102" t="s">
        <v>84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192</v>
      </c>
      <c r="N4" s="118" t="str">
        <f>$C$12</f>
        <v>GAITZ Jean-Pierre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192</v>
      </c>
      <c r="C10" s="42" t="s">
        <v>66</v>
      </c>
      <c r="D10" s="19">
        <v>1</v>
      </c>
      <c r="E10" s="25">
        <v>41908</v>
      </c>
      <c r="F10" s="25">
        <v>41912</v>
      </c>
      <c r="G10" s="25"/>
      <c r="H10" s="25">
        <v>41968</v>
      </c>
      <c r="I10" s="44" t="s">
        <v>88</v>
      </c>
      <c r="J10" s="25">
        <v>41920</v>
      </c>
      <c r="K10" s="25">
        <v>41968</v>
      </c>
      <c r="L10" s="25">
        <v>41979</v>
      </c>
      <c r="M10" s="25">
        <v>42009</v>
      </c>
      <c r="N10" s="25">
        <v>42028</v>
      </c>
      <c r="O10" s="25"/>
      <c r="P10" s="25"/>
      <c r="Q10" s="25">
        <v>42273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68">
        <v>192</v>
      </c>
      <c r="C11" s="69" t="s">
        <v>66</v>
      </c>
      <c r="D11" s="19">
        <v>2</v>
      </c>
      <c r="I11" s="44" t="s">
        <v>57</v>
      </c>
      <c r="T11" s="69" t="s">
        <v>65</v>
      </c>
      <c r="U11" s="12">
        <v>42306</v>
      </c>
    </row>
    <row r="12" spans="2:48" ht="16.5" customHeight="1">
      <c r="B12" s="68">
        <v>192</v>
      </c>
      <c r="C12" s="69" t="s">
        <v>66</v>
      </c>
      <c r="D12" s="19">
        <v>3</v>
      </c>
      <c r="E12" s="25">
        <v>41929</v>
      </c>
      <c r="F12" s="25">
        <v>41933</v>
      </c>
      <c r="I12" s="44" t="s">
        <v>57</v>
      </c>
      <c r="J12" s="25">
        <v>41941</v>
      </c>
      <c r="K12" s="25">
        <v>42020</v>
      </c>
      <c r="L12" s="25">
        <v>42000</v>
      </c>
      <c r="M12" s="25">
        <v>42020</v>
      </c>
      <c r="N12" s="25">
        <v>42049</v>
      </c>
      <c r="Q12" s="25">
        <v>42294</v>
      </c>
      <c r="T12" s="69" t="s">
        <v>65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4"/>
  <sheetViews>
    <sheetView workbookViewId="0">
      <selection activeCell="K23" sqref="K23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7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$U$14</f>
        <v>42306</v>
      </c>
      <c r="G4" s="50"/>
      <c r="H4" s="50"/>
      <c r="I4" s="34"/>
      <c r="J4" s="50"/>
      <c r="K4" s="50"/>
      <c r="L4" s="76" t="s">
        <v>17</v>
      </c>
      <c r="M4" s="63">
        <f>$B$14</f>
        <v>314</v>
      </c>
      <c r="N4" s="118" t="str">
        <f>$C$14</f>
        <v>HAU-DUMOULIN Elisabeth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8" t="s">
        <v>32</v>
      </c>
      <c r="M8" s="78" t="s">
        <v>31</v>
      </c>
      <c r="N8" s="77" t="s">
        <v>33</v>
      </c>
      <c r="O8" s="77" t="s">
        <v>34</v>
      </c>
      <c r="P8" s="7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314</v>
      </c>
      <c r="C10" s="42" t="s">
        <v>79</v>
      </c>
      <c r="D10" s="19">
        <v>1</v>
      </c>
      <c r="E10" s="25">
        <v>41810</v>
      </c>
      <c r="F10" s="25">
        <v>41815</v>
      </c>
      <c r="G10" s="25">
        <v>41838</v>
      </c>
      <c r="H10" s="25"/>
      <c r="I10" s="74" t="s">
        <v>57</v>
      </c>
      <c r="J10" s="25">
        <v>41822</v>
      </c>
      <c r="K10" s="25"/>
      <c r="L10" s="25">
        <v>41881</v>
      </c>
      <c r="M10" s="25"/>
      <c r="N10" s="25">
        <v>41930</v>
      </c>
      <c r="O10" s="25"/>
      <c r="P10" s="25"/>
      <c r="Q10" s="25">
        <v>42175</v>
      </c>
      <c r="R10" s="25">
        <v>41905</v>
      </c>
      <c r="S10" s="25">
        <v>41975</v>
      </c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94">
        <v>314</v>
      </c>
      <c r="C11" s="95" t="s">
        <v>79</v>
      </c>
      <c r="D11" s="19">
        <v>2</v>
      </c>
      <c r="E11" s="25">
        <v>41810</v>
      </c>
      <c r="F11" s="25">
        <v>41815</v>
      </c>
      <c r="I11" s="74" t="s">
        <v>57</v>
      </c>
      <c r="J11" s="25">
        <v>41822</v>
      </c>
      <c r="L11" s="25">
        <v>41881</v>
      </c>
      <c r="N11" s="25">
        <v>41930</v>
      </c>
      <c r="Q11" s="25">
        <v>42175</v>
      </c>
      <c r="R11" s="25">
        <v>41887</v>
      </c>
      <c r="S11" s="25">
        <v>41975</v>
      </c>
      <c r="T11" s="95" t="s">
        <v>80</v>
      </c>
      <c r="U11" s="12">
        <v>42306</v>
      </c>
    </row>
    <row r="12" spans="2:48" ht="16.5" customHeight="1">
      <c r="B12" s="94">
        <v>314</v>
      </c>
      <c r="C12" s="95" t="s">
        <v>79</v>
      </c>
      <c r="D12" s="19">
        <v>3</v>
      </c>
      <c r="E12" s="25">
        <v>41810</v>
      </c>
      <c r="F12" s="25">
        <v>41815</v>
      </c>
      <c r="G12" s="25">
        <v>41864</v>
      </c>
      <c r="H12" s="25">
        <v>41864</v>
      </c>
      <c r="I12" s="74" t="s">
        <v>89</v>
      </c>
      <c r="J12" s="25">
        <v>41822</v>
      </c>
      <c r="K12" s="25">
        <v>41864</v>
      </c>
      <c r="L12" s="25">
        <v>41881</v>
      </c>
      <c r="N12" s="25">
        <v>41930</v>
      </c>
      <c r="O12" s="25">
        <v>41877</v>
      </c>
      <c r="P12" s="25">
        <v>41880</v>
      </c>
      <c r="Q12" s="25">
        <v>42175</v>
      </c>
      <c r="T12" s="95" t="s">
        <v>80</v>
      </c>
      <c r="U12" s="12">
        <v>42306</v>
      </c>
    </row>
    <row r="13" spans="2:48" ht="25.5">
      <c r="B13" s="101">
        <v>314</v>
      </c>
      <c r="C13" s="102" t="s">
        <v>79</v>
      </c>
      <c r="D13" s="19">
        <v>4</v>
      </c>
      <c r="E13" s="25">
        <v>41971</v>
      </c>
      <c r="F13" s="25">
        <v>41975</v>
      </c>
      <c r="I13" s="74" t="s">
        <v>57</v>
      </c>
      <c r="J13" s="25">
        <v>41983</v>
      </c>
      <c r="L13" s="25">
        <v>42042</v>
      </c>
      <c r="N13" s="25">
        <v>42091</v>
      </c>
      <c r="Q13" s="25">
        <v>42336</v>
      </c>
      <c r="T13" s="102" t="s">
        <v>80</v>
      </c>
      <c r="U13" s="12">
        <v>42306</v>
      </c>
    </row>
    <row r="14" spans="2:48" ht="25.5">
      <c r="B14" s="101">
        <v>314</v>
      </c>
      <c r="C14" s="102" t="s">
        <v>79</v>
      </c>
      <c r="D14" s="19">
        <v>5</v>
      </c>
      <c r="E14" s="25">
        <v>41929</v>
      </c>
      <c r="F14" s="25">
        <v>41975</v>
      </c>
      <c r="I14" s="74" t="s">
        <v>57</v>
      </c>
      <c r="J14" s="25">
        <v>41941</v>
      </c>
      <c r="L14" s="25">
        <v>42000</v>
      </c>
      <c r="N14" s="25">
        <v>42049</v>
      </c>
      <c r="Q14" s="25">
        <v>42294</v>
      </c>
      <c r="R14" s="25">
        <v>41992</v>
      </c>
      <c r="S14" s="25">
        <v>41997</v>
      </c>
      <c r="T14" s="102" t="s">
        <v>80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7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7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$U$17</f>
        <v>42306</v>
      </c>
      <c r="G4" s="50"/>
      <c r="H4" s="50"/>
      <c r="I4" s="34"/>
      <c r="J4" s="50"/>
      <c r="K4" s="50"/>
      <c r="L4" s="71" t="s">
        <v>17</v>
      </c>
      <c r="M4" s="63">
        <f>$B$17</f>
        <v>297</v>
      </c>
      <c r="N4" s="118" t="str">
        <f>$C$17</f>
        <v>LUSTIG Marie-Joséphine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3" t="s">
        <v>32</v>
      </c>
      <c r="M8" s="73" t="s">
        <v>31</v>
      </c>
      <c r="N8" s="72" t="s">
        <v>33</v>
      </c>
      <c r="O8" s="72" t="s">
        <v>34</v>
      </c>
      <c r="P8" s="7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297</v>
      </c>
      <c r="C10" s="42" t="s">
        <v>77</v>
      </c>
      <c r="D10" s="19">
        <v>1</v>
      </c>
      <c r="E10" s="25">
        <v>41803</v>
      </c>
      <c r="F10" s="25">
        <v>41841</v>
      </c>
      <c r="G10" s="25"/>
      <c r="H10" s="25">
        <v>41841</v>
      </c>
      <c r="I10" s="74" t="s">
        <v>87</v>
      </c>
      <c r="J10" s="25">
        <v>41815</v>
      </c>
      <c r="K10" s="25">
        <v>41841</v>
      </c>
      <c r="L10" s="25">
        <v>41874</v>
      </c>
      <c r="M10" s="25">
        <v>41891</v>
      </c>
      <c r="N10" s="25">
        <v>41923</v>
      </c>
      <c r="O10" s="25">
        <v>41810</v>
      </c>
      <c r="P10" s="25">
        <v>41841</v>
      </c>
      <c r="Q10" s="25">
        <v>42168</v>
      </c>
      <c r="R10" s="25">
        <v>41906</v>
      </c>
      <c r="S10" s="25">
        <v>41912</v>
      </c>
      <c r="T10" s="42" t="s">
        <v>78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79">
        <v>297</v>
      </c>
      <c r="C11" s="80" t="s">
        <v>77</v>
      </c>
      <c r="D11" s="19">
        <v>2</v>
      </c>
      <c r="E11" s="25">
        <v>41810</v>
      </c>
      <c r="F11" s="25">
        <v>41841</v>
      </c>
      <c r="H11" s="25">
        <v>41841</v>
      </c>
      <c r="I11" s="74" t="s">
        <v>91</v>
      </c>
      <c r="J11" s="25">
        <v>41822</v>
      </c>
      <c r="K11" s="25">
        <v>41841</v>
      </c>
      <c r="L11" s="25">
        <v>41881</v>
      </c>
      <c r="M11" s="25">
        <v>41887</v>
      </c>
      <c r="N11" s="25">
        <v>41930</v>
      </c>
      <c r="O11" s="25">
        <v>41824</v>
      </c>
      <c r="P11" s="25">
        <v>41841</v>
      </c>
      <c r="Q11" s="25">
        <v>42175</v>
      </c>
      <c r="R11" s="25">
        <v>42135</v>
      </c>
      <c r="S11" s="25">
        <v>42144</v>
      </c>
      <c r="T11" s="80" t="s">
        <v>78</v>
      </c>
      <c r="U11" s="12">
        <v>42306</v>
      </c>
    </row>
    <row r="12" spans="2:48" ht="16.5" customHeight="1">
      <c r="B12" s="79">
        <v>297</v>
      </c>
      <c r="C12" s="80" t="s">
        <v>77</v>
      </c>
      <c r="D12" s="19">
        <v>3</v>
      </c>
      <c r="E12" s="25">
        <v>41850</v>
      </c>
      <c r="F12" s="25">
        <v>41856</v>
      </c>
      <c r="H12" s="25">
        <v>41856</v>
      </c>
      <c r="I12" s="74" t="s">
        <v>94</v>
      </c>
      <c r="J12" s="25">
        <v>41862</v>
      </c>
      <c r="K12" s="25">
        <v>41863</v>
      </c>
      <c r="L12" s="25">
        <v>41921</v>
      </c>
      <c r="M12" s="25">
        <v>42144</v>
      </c>
      <c r="N12" s="25">
        <v>41970</v>
      </c>
      <c r="O12" s="25">
        <v>41927</v>
      </c>
      <c r="P12" s="25">
        <v>41976</v>
      </c>
      <c r="Q12" s="25">
        <v>42215</v>
      </c>
      <c r="R12" s="25">
        <v>42139</v>
      </c>
      <c r="S12" s="25">
        <v>42144</v>
      </c>
      <c r="T12" s="80" t="s">
        <v>78</v>
      </c>
      <c r="U12" s="12">
        <v>42306</v>
      </c>
    </row>
    <row r="13" spans="2:48" ht="25.5">
      <c r="B13" s="96">
        <v>297</v>
      </c>
      <c r="C13" s="97" t="s">
        <v>77</v>
      </c>
      <c r="D13" s="19">
        <v>4</v>
      </c>
      <c r="E13" s="25">
        <v>41877</v>
      </c>
      <c r="F13" s="25">
        <v>41883</v>
      </c>
      <c r="G13" s="25">
        <v>41883</v>
      </c>
      <c r="H13" s="25">
        <v>41885</v>
      </c>
      <c r="I13" s="74" t="s">
        <v>97</v>
      </c>
      <c r="J13" s="25">
        <v>41889</v>
      </c>
      <c r="K13" s="25">
        <v>41913</v>
      </c>
      <c r="L13" s="25">
        <v>41948</v>
      </c>
      <c r="M13" s="25">
        <v>42019</v>
      </c>
      <c r="N13" s="25">
        <v>41997</v>
      </c>
      <c r="O13" s="25">
        <v>41887</v>
      </c>
      <c r="P13" s="25">
        <v>41912</v>
      </c>
      <c r="Q13" s="25">
        <v>42242</v>
      </c>
      <c r="R13" s="25">
        <v>42035</v>
      </c>
      <c r="S13" s="25">
        <v>42041</v>
      </c>
      <c r="T13" s="97" t="s">
        <v>78</v>
      </c>
      <c r="U13" s="12">
        <v>42306</v>
      </c>
    </row>
    <row r="14" spans="2:48" ht="25.5">
      <c r="B14" s="96">
        <v>297</v>
      </c>
      <c r="C14" s="97" t="s">
        <v>77</v>
      </c>
      <c r="D14" s="19">
        <v>5</v>
      </c>
      <c r="E14" s="25">
        <v>41870</v>
      </c>
      <c r="F14" s="25">
        <v>41883</v>
      </c>
      <c r="G14" s="25">
        <v>41883</v>
      </c>
      <c r="H14" s="25">
        <v>41883</v>
      </c>
      <c r="I14" s="100" t="s">
        <v>97</v>
      </c>
      <c r="J14" s="25">
        <v>41882</v>
      </c>
      <c r="K14" s="25">
        <v>41883</v>
      </c>
      <c r="L14" s="25">
        <v>41941</v>
      </c>
      <c r="M14" s="25">
        <v>41943</v>
      </c>
      <c r="N14" s="25">
        <v>41990</v>
      </c>
      <c r="O14" s="25">
        <v>41880</v>
      </c>
      <c r="P14" s="25">
        <v>41883</v>
      </c>
      <c r="Q14" s="25">
        <v>42235</v>
      </c>
      <c r="R14" s="25">
        <v>41941</v>
      </c>
      <c r="S14" s="25">
        <v>41943</v>
      </c>
      <c r="T14" s="97" t="s">
        <v>78</v>
      </c>
      <c r="U14" s="12">
        <v>42306</v>
      </c>
    </row>
    <row r="15" spans="2:48" ht="25.5">
      <c r="B15" s="101">
        <v>297</v>
      </c>
      <c r="C15" s="102" t="s">
        <v>77</v>
      </c>
      <c r="D15" s="19">
        <v>6</v>
      </c>
      <c r="E15" s="25">
        <v>41957</v>
      </c>
      <c r="F15" s="25">
        <v>41976</v>
      </c>
      <c r="G15" s="25">
        <v>41976</v>
      </c>
      <c r="H15" s="25">
        <v>41976</v>
      </c>
      <c r="I15" s="100" t="s">
        <v>102</v>
      </c>
      <c r="J15" s="25">
        <v>41969</v>
      </c>
      <c r="K15" s="25">
        <v>41976</v>
      </c>
      <c r="L15" s="25">
        <v>42028</v>
      </c>
      <c r="M15" s="25">
        <v>42019</v>
      </c>
      <c r="N15" s="25">
        <v>42077</v>
      </c>
      <c r="O15" s="25">
        <v>41969</v>
      </c>
      <c r="P15" s="25">
        <v>41976</v>
      </c>
      <c r="Q15" s="25">
        <v>42322</v>
      </c>
      <c r="R15" s="25">
        <v>42144</v>
      </c>
      <c r="S15" s="25">
        <v>42150</v>
      </c>
      <c r="T15" s="102" t="s">
        <v>78</v>
      </c>
      <c r="U15" s="12">
        <v>42306</v>
      </c>
    </row>
    <row r="16" spans="2:48" ht="25.5">
      <c r="B16" s="101">
        <v>297</v>
      </c>
      <c r="C16" s="102" t="s">
        <v>77</v>
      </c>
      <c r="D16" s="19">
        <v>7</v>
      </c>
      <c r="E16" s="25">
        <v>41961</v>
      </c>
      <c r="F16" s="25">
        <v>41976</v>
      </c>
      <c r="G16" s="25">
        <v>41976</v>
      </c>
      <c r="H16" s="25">
        <v>41976</v>
      </c>
      <c r="I16" s="100" t="s">
        <v>97</v>
      </c>
      <c r="J16" s="25">
        <v>41973</v>
      </c>
      <c r="K16" s="25">
        <v>42144</v>
      </c>
      <c r="L16" s="25">
        <v>42032</v>
      </c>
      <c r="M16" s="25">
        <v>42144</v>
      </c>
      <c r="N16" s="25">
        <v>42081</v>
      </c>
      <c r="O16" s="25">
        <v>41976</v>
      </c>
      <c r="P16" s="25">
        <v>41978</v>
      </c>
      <c r="Q16" s="25">
        <v>42326</v>
      </c>
      <c r="R16" s="25">
        <v>42123</v>
      </c>
      <c r="S16" s="25">
        <v>42144</v>
      </c>
      <c r="T16" s="102" t="s">
        <v>78</v>
      </c>
      <c r="U16" s="12">
        <v>42306</v>
      </c>
    </row>
    <row r="17" spans="2:21" ht="25.5">
      <c r="B17" s="101">
        <v>297</v>
      </c>
      <c r="C17" s="102" t="s">
        <v>77</v>
      </c>
      <c r="D17" s="19">
        <v>8</v>
      </c>
      <c r="E17" s="25">
        <v>41971</v>
      </c>
      <c r="F17" s="25">
        <v>41976</v>
      </c>
      <c r="G17" s="25">
        <v>41976</v>
      </c>
      <c r="H17" s="25">
        <v>41976</v>
      </c>
      <c r="I17" s="100" t="s">
        <v>93</v>
      </c>
      <c r="J17" s="25">
        <v>41983</v>
      </c>
      <c r="K17" s="25">
        <v>42058</v>
      </c>
      <c r="L17" s="25">
        <v>42042</v>
      </c>
      <c r="M17" s="25">
        <v>42058</v>
      </c>
      <c r="N17" s="25">
        <v>42091</v>
      </c>
      <c r="O17" s="25">
        <v>42018</v>
      </c>
      <c r="P17" s="25">
        <v>42019</v>
      </c>
      <c r="Q17" s="25">
        <v>42336</v>
      </c>
      <c r="R17" s="25">
        <v>42129</v>
      </c>
      <c r="S17" s="25">
        <v>42135</v>
      </c>
      <c r="T17" s="102" t="s">
        <v>78</v>
      </c>
      <c r="U17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191</v>
      </c>
      <c r="N4" s="118" t="str">
        <f>$C$12</f>
        <v>RECANATI Gilles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191</v>
      </c>
      <c r="C10" s="42" t="s">
        <v>68</v>
      </c>
      <c r="D10" s="19">
        <v>1</v>
      </c>
      <c r="E10" s="25">
        <v>41818</v>
      </c>
      <c r="F10" s="25">
        <v>41821</v>
      </c>
      <c r="G10" s="25"/>
      <c r="H10" s="25">
        <v>41822</v>
      </c>
      <c r="I10" s="74" t="s">
        <v>87</v>
      </c>
      <c r="J10" s="25">
        <v>41830</v>
      </c>
      <c r="K10" s="25">
        <v>41827</v>
      </c>
      <c r="L10" s="25">
        <v>41889</v>
      </c>
      <c r="M10" s="25">
        <v>41891</v>
      </c>
      <c r="N10" s="25">
        <v>41938</v>
      </c>
      <c r="O10" s="25">
        <v>41886</v>
      </c>
      <c r="P10" s="25">
        <v>41891</v>
      </c>
      <c r="Q10" s="25">
        <v>42183</v>
      </c>
      <c r="R10" s="25">
        <v>42033</v>
      </c>
      <c r="S10" s="25">
        <v>42037</v>
      </c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79">
        <v>191</v>
      </c>
      <c r="C11" s="80" t="s">
        <v>68</v>
      </c>
      <c r="D11" s="19">
        <v>2</v>
      </c>
      <c r="E11" s="25">
        <v>41884</v>
      </c>
      <c r="F11" s="25">
        <v>41887</v>
      </c>
      <c r="G11" s="25">
        <v>41962</v>
      </c>
      <c r="H11" s="25">
        <v>41887</v>
      </c>
      <c r="I11" s="74" t="s">
        <v>93</v>
      </c>
      <c r="J11" s="25">
        <v>41896</v>
      </c>
      <c r="K11" s="25">
        <v>41897</v>
      </c>
      <c r="L11" s="25">
        <v>41955</v>
      </c>
      <c r="M11" s="25">
        <v>41948</v>
      </c>
      <c r="N11" s="25">
        <v>42004</v>
      </c>
      <c r="O11" s="25">
        <v>41960</v>
      </c>
      <c r="P11" s="25">
        <v>41962</v>
      </c>
      <c r="Q11" s="25">
        <v>42249</v>
      </c>
      <c r="R11" s="25">
        <v>42053</v>
      </c>
      <c r="S11" s="25">
        <v>42055</v>
      </c>
      <c r="T11" s="80" t="s">
        <v>67</v>
      </c>
      <c r="U11" s="12">
        <v>42306</v>
      </c>
    </row>
    <row r="12" spans="2:48" ht="16.5" customHeight="1">
      <c r="B12" s="79">
        <v>191</v>
      </c>
      <c r="C12" s="80" t="s">
        <v>68</v>
      </c>
      <c r="D12" s="19">
        <v>3</v>
      </c>
      <c r="E12" s="25">
        <v>41897</v>
      </c>
      <c r="F12" s="25">
        <v>41905</v>
      </c>
      <c r="G12" s="25">
        <v>41969</v>
      </c>
      <c r="I12" s="74" t="s">
        <v>57</v>
      </c>
      <c r="J12" s="25">
        <v>41909</v>
      </c>
      <c r="K12" s="25">
        <v>41907</v>
      </c>
      <c r="L12" s="25">
        <v>41968</v>
      </c>
      <c r="M12" s="25">
        <v>41969</v>
      </c>
      <c r="N12" s="25">
        <v>42017</v>
      </c>
      <c r="O12" s="25">
        <v>41967</v>
      </c>
      <c r="P12" s="25">
        <v>41969</v>
      </c>
      <c r="Q12" s="25">
        <v>42262</v>
      </c>
      <c r="R12" s="25">
        <v>42147</v>
      </c>
      <c r="S12" s="25">
        <v>42151</v>
      </c>
      <c r="T12" s="80" t="s">
        <v>67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>
      <selection activeCell="E11" sqref="E1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8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$U$12</f>
        <v>42306</v>
      </c>
      <c r="G4" s="50"/>
      <c r="H4" s="50"/>
      <c r="I4" s="34"/>
      <c r="J4" s="50"/>
      <c r="K4" s="50"/>
      <c r="L4" s="86" t="s">
        <v>17</v>
      </c>
      <c r="M4" s="63">
        <f>$B$12</f>
        <v>17</v>
      </c>
      <c r="N4" s="118" t="str">
        <f>$C$12</f>
        <v>RICHARD MOMAL Martine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8" t="s">
        <v>32</v>
      </c>
      <c r="M8" s="88" t="s">
        <v>31</v>
      </c>
      <c r="N8" s="87" t="s">
        <v>33</v>
      </c>
      <c r="O8" s="87" t="s">
        <v>34</v>
      </c>
      <c r="P8" s="8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17</v>
      </c>
      <c r="C10" s="42" t="s">
        <v>82</v>
      </c>
      <c r="D10" s="19">
        <v>1</v>
      </c>
      <c r="E10" s="25"/>
      <c r="F10" s="25"/>
      <c r="G10" s="25"/>
      <c r="H10" s="25"/>
      <c r="I10" s="7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98">
        <v>17</v>
      </c>
      <c r="C11" s="99" t="s">
        <v>82</v>
      </c>
      <c r="D11" s="19">
        <v>2</v>
      </c>
      <c r="I11" s="100" t="s">
        <v>57</v>
      </c>
      <c r="T11" s="99" t="s">
        <v>83</v>
      </c>
      <c r="U11" s="12">
        <v>42306</v>
      </c>
    </row>
    <row r="12" spans="2:48" ht="16.5" customHeight="1">
      <c r="B12" s="98">
        <v>17</v>
      </c>
      <c r="C12" s="99" t="s">
        <v>82</v>
      </c>
      <c r="D12" s="19">
        <v>3</v>
      </c>
      <c r="I12" s="100" t="s">
        <v>57</v>
      </c>
      <c r="T12" s="99" t="s">
        <v>83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1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196</v>
      </c>
      <c r="N4" s="118" t="str">
        <f>$C$12</f>
        <v>SEI Jean-François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196</v>
      </c>
      <c r="C10" s="42" t="s">
        <v>70</v>
      </c>
      <c r="D10" s="19">
        <v>1</v>
      </c>
      <c r="E10" s="25">
        <v>41780</v>
      </c>
      <c r="F10" s="25">
        <v>41813</v>
      </c>
      <c r="G10" s="25">
        <v>41813</v>
      </c>
      <c r="H10" s="25">
        <v>41813</v>
      </c>
      <c r="I10" s="44" t="s">
        <v>88</v>
      </c>
      <c r="J10" s="25">
        <v>41792</v>
      </c>
      <c r="K10" s="25"/>
      <c r="L10" s="25">
        <v>41851</v>
      </c>
      <c r="M10" s="25"/>
      <c r="N10" s="25">
        <v>41900</v>
      </c>
      <c r="O10" s="25">
        <v>41813</v>
      </c>
      <c r="P10" s="25">
        <v>41815</v>
      </c>
      <c r="Q10" s="25">
        <v>42145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68">
        <v>196</v>
      </c>
      <c r="C11" s="69" t="s">
        <v>70</v>
      </c>
      <c r="D11" s="19">
        <v>2</v>
      </c>
      <c r="E11" s="25">
        <v>41808</v>
      </c>
      <c r="F11" s="25">
        <v>41813</v>
      </c>
      <c r="G11" s="25">
        <v>41813</v>
      </c>
      <c r="I11" s="74" t="s">
        <v>57</v>
      </c>
      <c r="J11" s="25">
        <v>41820</v>
      </c>
      <c r="L11" s="25">
        <v>41879</v>
      </c>
      <c r="N11" s="25">
        <v>41928</v>
      </c>
      <c r="Q11" s="25">
        <v>42173</v>
      </c>
      <c r="T11" s="69" t="s">
        <v>69</v>
      </c>
      <c r="U11" s="12">
        <v>42306</v>
      </c>
    </row>
    <row r="12" spans="2:48" ht="16.5" customHeight="1">
      <c r="B12" s="68">
        <v>196</v>
      </c>
      <c r="C12" s="69" t="s">
        <v>70</v>
      </c>
      <c r="D12" s="19">
        <v>3</v>
      </c>
      <c r="I12" s="74" t="s">
        <v>57</v>
      </c>
      <c r="T12" s="69" t="s">
        <v>69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264</v>
      </c>
      <c r="N4" s="118" t="str">
        <f>$C$12</f>
        <v>VALLAGE Annick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264</v>
      </c>
      <c r="C10" s="42" t="s">
        <v>72</v>
      </c>
      <c r="D10" s="19">
        <v>1</v>
      </c>
      <c r="E10" s="25">
        <v>41743</v>
      </c>
      <c r="F10" s="25">
        <v>42058</v>
      </c>
      <c r="G10" s="25"/>
      <c r="H10" s="25"/>
      <c r="I10" s="44" t="s">
        <v>57</v>
      </c>
      <c r="J10" s="25">
        <v>41755</v>
      </c>
      <c r="K10" s="25">
        <v>41785</v>
      </c>
      <c r="L10" s="25">
        <v>41814</v>
      </c>
      <c r="M10" s="25"/>
      <c r="N10" s="25">
        <v>41863</v>
      </c>
      <c r="O10" s="25">
        <v>41753</v>
      </c>
      <c r="P10" s="25">
        <v>41785</v>
      </c>
      <c r="Q10" s="25">
        <v>42108</v>
      </c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68">
        <v>264</v>
      </c>
      <c r="C11" s="69" t="s">
        <v>72</v>
      </c>
      <c r="D11" s="19">
        <v>2</v>
      </c>
      <c r="E11" s="25">
        <v>41747</v>
      </c>
      <c r="F11" s="25">
        <v>41785</v>
      </c>
      <c r="I11" s="74" t="s">
        <v>57</v>
      </c>
      <c r="J11" s="25">
        <v>41759</v>
      </c>
      <c r="K11" s="25">
        <v>41785</v>
      </c>
      <c r="L11" s="25">
        <v>41818</v>
      </c>
      <c r="N11" s="25">
        <v>41867</v>
      </c>
      <c r="O11" s="25">
        <v>41752</v>
      </c>
      <c r="P11" s="25">
        <v>41785</v>
      </c>
      <c r="Q11" s="25">
        <v>42112</v>
      </c>
      <c r="T11" s="69" t="s">
        <v>71</v>
      </c>
      <c r="U11" s="12">
        <v>42306</v>
      </c>
    </row>
    <row r="12" spans="2:48" ht="16.5" customHeight="1">
      <c r="B12" s="68">
        <v>264</v>
      </c>
      <c r="C12" s="69" t="s">
        <v>72</v>
      </c>
      <c r="D12" s="19">
        <v>3</v>
      </c>
      <c r="E12" s="25">
        <v>41739</v>
      </c>
      <c r="F12" s="25">
        <v>42058</v>
      </c>
      <c r="I12" s="74" t="s">
        <v>57</v>
      </c>
      <c r="J12" s="25">
        <v>41751</v>
      </c>
      <c r="K12" s="25">
        <v>41785</v>
      </c>
      <c r="L12" s="25">
        <v>41810</v>
      </c>
      <c r="N12" s="25">
        <v>41859</v>
      </c>
      <c r="O12" s="25">
        <v>41772</v>
      </c>
      <c r="P12" s="25">
        <v>41785</v>
      </c>
      <c r="Q12" s="25">
        <v>42104</v>
      </c>
      <c r="T12" s="69" t="s">
        <v>71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3"/>
  <dimension ref="B1:AV13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$U$13</f>
        <v>42306</v>
      </c>
      <c r="G4" s="50"/>
      <c r="H4" s="50"/>
      <c r="I4" s="34"/>
      <c r="J4" s="50"/>
      <c r="K4" s="50"/>
      <c r="L4" s="65" t="s">
        <v>17</v>
      </c>
      <c r="M4" s="63">
        <f>$B$13</f>
        <v>194</v>
      </c>
      <c r="N4" s="118" t="str">
        <f>$C$13</f>
        <v>VANDAME-MARTCHENKO Laëtitia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194</v>
      </c>
      <c r="C10" s="42" t="s">
        <v>74</v>
      </c>
      <c r="D10" s="19">
        <v>1</v>
      </c>
      <c r="E10" s="25">
        <v>41764</v>
      </c>
      <c r="F10" s="25">
        <v>41771</v>
      </c>
      <c r="G10" s="25">
        <v>41782</v>
      </c>
      <c r="H10" s="25">
        <v>41771</v>
      </c>
      <c r="I10" s="44" t="s">
        <v>89</v>
      </c>
      <c r="J10" s="25">
        <v>41776</v>
      </c>
      <c r="K10" s="25">
        <v>41838</v>
      </c>
      <c r="L10" s="25">
        <v>41835</v>
      </c>
      <c r="M10" s="25">
        <v>41838</v>
      </c>
      <c r="N10" s="25">
        <v>41884</v>
      </c>
      <c r="O10" s="25">
        <v>41836</v>
      </c>
      <c r="P10" s="25">
        <v>41838</v>
      </c>
      <c r="Q10" s="25">
        <v>42129</v>
      </c>
      <c r="R10" s="25"/>
      <c r="S10" s="25"/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68">
        <v>194</v>
      </c>
      <c r="C11" s="69" t="s">
        <v>74</v>
      </c>
      <c r="D11" s="19">
        <v>2</v>
      </c>
      <c r="E11" s="25">
        <v>41782</v>
      </c>
      <c r="F11" s="25">
        <v>41806</v>
      </c>
      <c r="G11" s="25">
        <v>41806</v>
      </c>
      <c r="H11" s="25">
        <v>41806</v>
      </c>
      <c r="I11" s="44" t="s">
        <v>89</v>
      </c>
      <c r="J11" s="25">
        <v>41794</v>
      </c>
      <c r="K11" s="25">
        <v>41800</v>
      </c>
      <c r="L11" s="25">
        <v>41853</v>
      </c>
      <c r="N11" s="25">
        <v>41902</v>
      </c>
      <c r="O11" s="25">
        <v>41792</v>
      </c>
      <c r="P11" s="25">
        <v>42026</v>
      </c>
      <c r="Q11" s="25">
        <v>42147</v>
      </c>
      <c r="R11" s="25">
        <v>41975</v>
      </c>
      <c r="S11" s="25">
        <v>42026</v>
      </c>
      <c r="T11" s="69" t="s">
        <v>73</v>
      </c>
      <c r="U11" s="12">
        <v>42306</v>
      </c>
    </row>
    <row r="12" spans="2:48" ht="16.5" customHeight="1">
      <c r="B12" s="68">
        <v>194</v>
      </c>
      <c r="C12" s="69" t="s">
        <v>74</v>
      </c>
      <c r="D12" s="19">
        <v>3</v>
      </c>
      <c r="E12" s="25">
        <v>41794</v>
      </c>
      <c r="F12" s="25">
        <v>41796</v>
      </c>
      <c r="G12" s="25">
        <v>41796</v>
      </c>
      <c r="H12" s="25">
        <v>41796</v>
      </c>
      <c r="I12" s="74" t="s">
        <v>89</v>
      </c>
      <c r="J12" s="25">
        <v>41806</v>
      </c>
      <c r="K12" s="25">
        <v>41807</v>
      </c>
      <c r="L12" s="25">
        <v>41865</v>
      </c>
      <c r="M12" s="25">
        <v>41859</v>
      </c>
      <c r="N12" s="25">
        <v>41914</v>
      </c>
      <c r="O12" s="25">
        <v>41886</v>
      </c>
      <c r="P12" s="25">
        <v>41890</v>
      </c>
      <c r="Q12" s="25">
        <v>42159</v>
      </c>
      <c r="R12" s="25">
        <v>41981</v>
      </c>
      <c r="S12" s="25">
        <v>42017</v>
      </c>
      <c r="T12" s="69" t="s">
        <v>73</v>
      </c>
      <c r="U12" s="12">
        <v>42306</v>
      </c>
    </row>
    <row r="13" spans="2:48" ht="38.25">
      <c r="B13" s="101">
        <v>194</v>
      </c>
      <c r="C13" s="102" t="s">
        <v>74</v>
      </c>
      <c r="D13" s="19">
        <v>4</v>
      </c>
      <c r="E13" s="25">
        <v>41913</v>
      </c>
      <c r="F13" s="25">
        <v>41968</v>
      </c>
      <c r="G13" s="25">
        <v>41915</v>
      </c>
      <c r="H13" s="25">
        <v>41983</v>
      </c>
      <c r="I13" s="74" t="s">
        <v>97</v>
      </c>
      <c r="J13" s="25">
        <v>41925</v>
      </c>
      <c r="K13" s="25">
        <v>42018</v>
      </c>
      <c r="L13" s="25">
        <v>41984</v>
      </c>
      <c r="M13" s="25">
        <v>42081</v>
      </c>
      <c r="N13" s="25">
        <v>42033</v>
      </c>
      <c r="O13" s="25">
        <v>42016</v>
      </c>
      <c r="P13" s="25">
        <v>42017</v>
      </c>
      <c r="Q13" s="25">
        <v>42278</v>
      </c>
      <c r="T13" s="102" t="s">
        <v>73</v>
      </c>
      <c r="U13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1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5" t="s">
        <v>16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7"/>
      <c r="M3" s="117"/>
      <c r="N3" s="11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0" t="s">
        <v>58</v>
      </c>
      <c r="E4" s="13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193</v>
      </c>
      <c r="N4" s="118" t="str">
        <f>$C$12</f>
        <v>VUERINGS Fabienne</v>
      </c>
      <c r="O4" s="118"/>
      <c r="P4" s="118"/>
      <c r="Q4" s="118"/>
      <c r="R4" s="11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9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1" t="s">
        <v>19</v>
      </c>
      <c r="F7" s="122"/>
      <c r="G7" s="122"/>
      <c r="H7" s="122"/>
      <c r="I7" s="122"/>
      <c r="J7" s="123" t="s">
        <v>20</v>
      </c>
      <c r="K7" s="124"/>
      <c r="L7" s="125" t="s">
        <v>21</v>
      </c>
      <c r="M7" s="125"/>
      <c r="N7" s="126" t="s">
        <v>22</v>
      </c>
      <c r="O7" s="127"/>
      <c r="P7" s="128"/>
      <c r="Q7" s="129" t="s">
        <v>23</v>
      </c>
      <c r="R7" s="127"/>
      <c r="S7" s="12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193</v>
      </c>
      <c r="C10" s="42" t="s">
        <v>76</v>
      </c>
      <c r="D10" s="19">
        <v>1</v>
      </c>
      <c r="E10" s="25">
        <v>41752</v>
      </c>
      <c r="F10" s="25">
        <v>41754</v>
      </c>
      <c r="G10" s="25">
        <v>41757</v>
      </c>
      <c r="H10" s="25">
        <v>41757</v>
      </c>
      <c r="I10" s="44" t="s">
        <v>89</v>
      </c>
      <c r="J10" s="25">
        <v>41764</v>
      </c>
      <c r="K10" s="25">
        <v>41752</v>
      </c>
      <c r="L10" s="25">
        <v>41823</v>
      </c>
      <c r="M10" s="25"/>
      <c r="N10" s="25">
        <v>41872</v>
      </c>
      <c r="O10" s="25">
        <v>41789</v>
      </c>
      <c r="P10" s="25">
        <v>41793</v>
      </c>
      <c r="Q10" s="25">
        <v>42117</v>
      </c>
      <c r="R10" s="25"/>
      <c r="S10" s="25">
        <v>41822</v>
      </c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68">
        <v>193</v>
      </c>
      <c r="C11" s="69" t="s">
        <v>76</v>
      </c>
      <c r="D11" s="19">
        <v>2</v>
      </c>
      <c r="E11" s="25">
        <v>41754</v>
      </c>
      <c r="F11" s="25">
        <v>41757</v>
      </c>
      <c r="G11" s="25">
        <v>41757</v>
      </c>
      <c r="H11" s="25">
        <v>41757</v>
      </c>
      <c r="I11" s="44" t="s">
        <v>89</v>
      </c>
      <c r="J11" s="25">
        <v>41766</v>
      </c>
      <c r="K11" s="25">
        <v>41771</v>
      </c>
      <c r="L11" s="25">
        <v>41825</v>
      </c>
      <c r="M11" s="25">
        <v>41821</v>
      </c>
      <c r="N11" s="25">
        <v>41874</v>
      </c>
      <c r="O11" s="25">
        <v>41793</v>
      </c>
      <c r="P11" s="25">
        <v>41796</v>
      </c>
      <c r="Q11" s="25">
        <v>42119</v>
      </c>
      <c r="R11" s="25">
        <v>41793</v>
      </c>
      <c r="S11" s="25">
        <v>42087</v>
      </c>
      <c r="T11" s="69" t="s">
        <v>75</v>
      </c>
      <c r="U11" s="12">
        <v>42306</v>
      </c>
    </row>
    <row r="12" spans="2:48" ht="16.5" customHeight="1">
      <c r="B12" s="68">
        <v>193</v>
      </c>
      <c r="C12" s="69" t="s">
        <v>76</v>
      </c>
      <c r="D12" s="19">
        <v>3</v>
      </c>
      <c r="E12" s="25">
        <v>41771</v>
      </c>
      <c r="F12" s="25">
        <v>41781</v>
      </c>
      <c r="G12" s="25">
        <v>41781</v>
      </c>
      <c r="I12" s="44" t="s">
        <v>57</v>
      </c>
      <c r="J12" s="25">
        <v>41783</v>
      </c>
      <c r="K12" s="25">
        <v>41779</v>
      </c>
      <c r="L12" s="25">
        <v>41842</v>
      </c>
      <c r="M12" s="25">
        <v>41835</v>
      </c>
      <c r="N12" s="25">
        <v>41891</v>
      </c>
      <c r="O12" s="25">
        <v>41918</v>
      </c>
      <c r="P12" s="25">
        <v>41920</v>
      </c>
      <c r="Q12" s="25">
        <v>42136</v>
      </c>
      <c r="R12" s="25">
        <v>41829</v>
      </c>
      <c r="S12" s="25">
        <v>41835</v>
      </c>
      <c r="T12" s="69" t="s">
        <v>75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Secteur DE0307</vt:lpstr>
      <vt:lpstr>00479590</vt:lpstr>
      <vt:lpstr>05065850</vt:lpstr>
      <vt:lpstr>02722458</vt:lpstr>
      <vt:lpstr>09283750</vt:lpstr>
      <vt:lpstr>03751038</vt:lpstr>
      <vt:lpstr>03137779</vt:lpstr>
      <vt:lpstr>05921510</vt:lpstr>
      <vt:lpstr>07734757</vt:lpstr>
      <vt:lpstr>07852215</vt:lpstr>
      <vt:lpstr>08407087</vt:lpstr>
      <vt:lpstr>09029677</vt:lpstr>
      <vt:lpstr>09054745</vt:lpstr>
      <vt:lpstr>09306433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2015-10-29T22:02:44Z</dcterms:modified>
</cp:coreProperties>
</file>