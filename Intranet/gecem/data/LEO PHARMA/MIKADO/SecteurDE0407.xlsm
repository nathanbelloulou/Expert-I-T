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407" sheetId="1" r:id="rId1"/>
    <sheet name="00621980" sheetId="2" r:id="rId2"/>
    <sheet name="01521513" sheetId="3" r:id="rId3"/>
    <sheet name="01592653" sheetId="4" r:id="rId4"/>
    <sheet name="02609171" sheetId="5" r:id="rId5"/>
    <sheet name="03564436" sheetId="10" r:id="rId6"/>
    <sheet name="03351719" sheetId="12" r:id="rId7"/>
    <sheet name="03774881" sheetId="6" r:id="rId8"/>
    <sheet name="06601677" sheetId="11" r:id="rId9"/>
    <sheet name="07252356" sheetId="9" r:id="rId10"/>
    <sheet name="07726005" sheetId="7" r:id="rId11"/>
    <sheet name="08236075" sheetId="8" r:id="rId12"/>
  </sheets>
  <definedNames>
    <definedName name="Lancer_la_requête_à_partir_de_MS_Access_Database" localSheetId="1" hidden="1">'00621980'!$B$9:$U$15</definedName>
    <definedName name="Lancer_la_requête_à_partir_de_MS_Access_Database" localSheetId="2" hidden="1">'01521513'!$B$9:$U$14</definedName>
    <definedName name="Lancer_la_requête_à_partir_de_MS_Access_Database" localSheetId="3" hidden="1">'01592653'!$B$9:$U$16</definedName>
    <definedName name="Lancer_la_requête_à_partir_de_MS_Access_Database" localSheetId="4" hidden="1">'02609171'!$B$9:$U$14</definedName>
    <definedName name="Lancer_la_requête_à_partir_de_MS_Access_Database" localSheetId="6" hidden="1">'03351719'!$B$9:$U$12</definedName>
    <definedName name="Lancer_la_requête_à_partir_de_MS_Access_Database" localSheetId="5" hidden="1">'03564436'!$B$9:$U$12</definedName>
    <definedName name="Lancer_la_requête_à_partir_de_MS_Access_Database" localSheetId="7" hidden="1">'03774881'!$B$9:$U$12</definedName>
    <definedName name="Lancer_la_requête_à_partir_de_MS_Access_Database" localSheetId="8" hidden="1">'06601677'!$B$9:$U$12</definedName>
    <definedName name="Lancer_la_requête_à_partir_de_MS_Access_Database" localSheetId="9" hidden="1">'07252356'!$B$9:$U$12</definedName>
    <definedName name="Lancer_la_requête_à_partir_de_MS_Access_Database" localSheetId="10" hidden="1">'07726005'!$B$9:$U$12</definedName>
    <definedName name="Lancer_la_requête_à_partir_de_MS_Access_Database" localSheetId="11" hidden="1">'08236075'!$B$9:$U$10</definedName>
    <definedName name="Lancer_la_requête_à_partir_de_MS_Access_Database_1" localSheetId="0" hidden="1">'Secteur DE0407'!$A$7:$K$18</definedName>
  </definedNames>
  <calcPr calcId="125725"/>
</workbook>
</file>

<file path=xl/calcChain.xml><?xml version="1.0" encoding="utf-8"?>
<calcChain xmlns="http://schemas.openxmlformats.org/spreadsheetml/2006/main">
  <c r="D19" i="1"/>
  <c r="E19"/>
  <c r="F19"/>
  <c r="G19"/>
  <c r="H19"/>
  <c r="I19"/>
  <c r="N4" i="12"/>
  <c r="M4"/>
  <c r="F4"/>
  <c r="N4" i="11"/>
  <c r="M4"/>
  <c r="F4"/>
  <c r="N4" i="10"/>
  <c r="M4"/>
  <c r="F4"/>
  <c r="N4" i="9" l="1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7')_x000d__x000a_ORDER BY Req_REPORT_SECTEURS_GLOBAL.Medecin"/>
  </connection>
  <connection id="2" name="Lancer la requête à partir de MS Access Database006219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621980')"/>
  </connection>
  <connection id="3" name="Lancer la requête à partir de MS Access Database0152151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521513')"/>
  </connection>
  <connection id="4" name="Lancer la requête à partir de MS Access Database0159265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592653')"/>
  </connection>
  <connection id="5" name="Lancer la requête à partir de MS Access Database0260917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609171')"/>
  </connection>
  <connection id="6" name="Lancer la requête à partir de MS Access Database0335171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351719')"/>
  </connection>
  <connection id="7" name="Lancer la requête à partir de MS Access Database0356443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564436')"/>
  </connection>
  <connection id="8" name="Lancer la requête à partir de MS Access Database0377488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74881')"/>
  </connection>
  <connection id="9" name="Lancer la requête à partir de MS Access Database0660167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01677')"/>
  </connection>
  <connection id="10" name="Lancer la requête à partir de MS Access Database0725235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52356')"/>
  </connection>
  <connection id="11" name="Lancer la requête à partir de MS Access Database077260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26005')"/>
  </connection>
  <connection id="12" name="Lancer la requête à partir de MS Access Database082360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236075')"/>
  </connection>
</connections>
</file>

<file path=xl/sharedStrings.xml><?xml version="1.0" encoding="utf-8"?>
<sst xmlns="http://schemas.openxmlformats.org/spreadsheetml/2006/main" count="699" uniqueCount="98">
  <si>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</si>
  <si>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</si>
  <si>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</si>
  <si>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</si>
  <si>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</si>
  <si>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</si>
  <si>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</si>
  <si>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</si>
  <si>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</si>
  <si>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</si>
  <si>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</si>
  <si>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</si>
  <si>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</si>
  <si>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</si>
  <si>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</si>
  <si>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</si>
  <si>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</si>
  <si>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</si>
  <si>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</si>
  <si>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</si>
  <si>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</si>
  <si>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</si>
  <si>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</si>
  <si>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</si>
  <si>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</si>
  <si>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</si>
  <si>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</si>
  <si>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</si>
  <si>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</si>
  <si>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</si>
  <si>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</si>
  <si>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</si>
  <si>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</si>
  <si>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</si>
  <si>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</si>
  <si>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</si>
  <si>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</si>
  <si>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</si>
  <si>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</si>
  <si>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</si>
  <si>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</si>
  <si>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</si>
  <si>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</si>
  <si>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</si>
  <si>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</si>
  <si>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</si>
  <si>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</si>
  <si>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</si>
  <si>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</si>
  <si>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</si>
  <si>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</si>
  <si>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</si>
  <si>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</si>
  <si>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</si>
  <si>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</si>
  <si>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</si>
  <si>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</si>
  <si>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</si>
  <si>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</si>
  <si>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DE0407</t>
  </si>
  <si>
    <t>SAIVEAU CHEVANCE Isabelle</t>
  </si>
  <si>
    <t>WFRM00621980</t>
  </si>
  <si>
    <t>BECCO Simone-Marie</t>
  </si>
  <si>
    <t>WFRM01521513</t>
  </si>
  <si>
    <t>CABARROT MOREAU Agnès</t>
  </si>
  <si>
    <t>WFRM01592653</t>
  </si>
  <si>
    <t>CAMPOURCY Muriel</t>
  </si>
  <si>
    <t>WFRM02609171</t>
  </si>
  <si>
    <t>DE CAPELE DE SAINT PASTOU Isabelle</t>
  </si>
  <si>
    <t>WFRM03774881</t>
  </si>
  <si>
    <t>GALONIER GIRET Nathalie</t>
  </si>
  <si>
    <t>WFRM07726005</t>
  </si>
  <si>
    <t>REBERGA Sylvain</t>
  </si>
  <si>
    <t>WFRM08236075</t>
  </si>
  <si>
    <t>SAMALENS Geneviève</t>
  </si>
  <si>
    <t>PERIOLE Bruno</t>
  </si>
  <si>
    <t>WFRM07252356</t>
  </si>
  <si>
    <t>30avril: souhaite recevoir 2 autres cahiers. OK envoi ce jour</t>
  </si>
  <si>
    <t>WFRM03564436</t>
  </si>
  <si>
    <t>FONTAN-CASSARD Geneviève</t>
  </si>
  <si>
    <t>Mail - Via médecin</t>
  </si>
  <si>
    <t>Via médecin</t>
  </si>
  <si>
    <t>SMS - Courrier - Via médecin</t>
  </si>
  <si>
    <t>SMS - Via médecin</t>
  </si>
  <si>
    <t>Courrier 05/08: relance à faire patient 2 n'a pas renvoyé son autoQ 2 mois</t>
  </si>
  <si>
    <t>Courrier 05/08: manque page 3 visite inclusion patient 1+ demande visite inclusion patient 2</t>
  </si>
  <si>
    <t>WFRM06601677</t>
  </si>
  <si>
    <t>MIRER Ewa</t>
  </si>
  <si>
    <t>04sept:Les laboratoires LEO vont passer à son cabinet dans l'après midi. Il compte toujours participer à l'étude et va s'en charger prochainement.</t>
  </si>
  <si>
    <t>23sept: se désiste</t>
  </si>
  <si>
    <t>WFRM03351719</t>
  </si>
  <si>
    <t>GADROY Agnès</t>
  </si>
  <si>
    <t>SMS</t>
  </si>
  <si>
    <t>Courrier - Via médecin</t>
  </si>
  <si>
    <t>17nov: 1 nv CRF=&gt; envoyé le 21nov14</t>
  </si>
  <si>
    <t>25nov: n'a pas pu inclure de patients pour diverses raisons (refus des patients, manque de cas de Kératose), mais pense pouvoir en inclure d'ici la fin de l'année</t>
  </si>
  <si>
    <t>Mail</t>
  </si>
  <si>
    <t>Téléphone - Via médecin</t>
  </si>
</sst>
</file>

<file path=xl/styles.xml><?xml version="1.0" encoding="utf-8"?>
<styleSheet xmlns="http://schemas.openxmlformats.org/spreadsheetml/2006/main">
  <numFmts count="2">
    <numFmt numFmtId="164" formatCode="#,##0.00\ &quot;€&quot;;[Red]\-#,##0.00\ &quot;€&quot;"/>
    <numFmt numFmtId="165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3" fillId="2" borderId="0" xfId="1" applyFont="1" applyFill="1" applyAlignment="1">
      <alignment horizontal="left"/>
    </xf>
    <xf numFmtId="165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5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5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5" fontId="7" fillId="3" borderId="0" xfId="1" applyNumberFormat="1" applyFont="1" applyFill="1" applyAlignment="1">
      <alignment horizontal="right"/>
    </xf>
    <xf numFmtId="165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5" fontId="5" fillId="2" borderId="0" xfId="1" applyNumberFormat="1" applyFont="1" applyFill="1" applyAlignment="1">
      <alignment horizontal="center"/>
    </xf>
    <xf numFmtId="165" fontId="5" fillId="2" borderId="0" xfId="1" applyNumberFormat="1" applyFont="1" applyFill="1" applyBorder="1" applyAlignment="1">
      <alignment horizontal="center"/>
    </xf>
    <xf numFmtId="165" fontId="4" fillId="2" borderId="0" xfId="1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0" applyNumberFormat="1" applyBorder="1" applyAlignment="1">
      <alignment horizontal="center"/>
    </xf>
    <xf numFmtId="165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5" fontId="0" fillId="2" borderId="0" xfId="0" applyNumberFormat="1" applyFill="1" applyBorder="1"/>
    <xf numFmtId="165" fontId="18" fillId="2" borderId="0" xfId="0" applyNumberFormat="1" applyFont="1" applyFill="1" applyBorder="1" applyAlignment="1">
      <alignment horizontal="center"/>
    </xf>
    <xf numFmtId="165" fontId="22" fillId="2" borderId="0" xfId="0" applyNumberFormat="1" applyFont="1" applyFill="1" applyBorder="1" applyAlignment="1">
      <alignment horizontal="center" vertical="center" wrapText="1"/>
    </xf>
    <xf numFmtId="165" fontId="18" fillId="2" borderId="0" xfId="0" applyNumberFormat="1" applyFont="1" applyFill="1" applyBorder="1" applyAlignment="1">
      <alignment horizontal="center" vertical="center" wrapText="1"/>
    </xf>
    <xf numFmtId="165" fontId="22" fillId="10" borderId="4" xfId="0" applyNumberFormat="1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5" fontId="12" fillId="2" borderId="0" xfId="0" applyNumberFormat="1" applyFont="1" applyFill="1" applyBorder="1" applyAlignment="1">
      <alignment horizontal="center"/>
    </xf>
    <xf numFmtId="165" fontId="13" fillId="2" borderId="0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11" fillId="2" borderId="0" xfId="2" applyNumberFormat="1" applyFill="1" applyBorder="1" applyAlignment="1" applyProtection="1">
      <alignment horizontal="center"/>
    </xf>
    <xf numFmtId="165" fontId="22" fillId="6" borderId="4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5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/>
    </xf>
    <xf numFmtId="164" fontId="11" fillId="0" borderId="0" xfId="2" applyNumberFormat="1" applyAlignment="1" applyProtection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5" fontId="15" fillId="2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5" fontId="22" fillId="6" borderId="1" xfId="0" applyNumberFormat="1" applyFont="1" applyFill="1" applyBorder="1" applyAlignment="1">
      <alignment horizontal="center" vertical="center" wrapText="1"/>
    </xf>
    <xf numFmtId="165" fontId="22" fillId="6" borderId="3" xfId="0" applyNumberFormat="1" applyFont="1" applyFill="1" applyBorder="1" applyAlignment="1">
      <alignment horizontal="center" vertical="center" wrapText="1"/>
    </xf>
    <xf numFmtId="165" fontId="22" fillId="7" borderId="4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46"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5" formatCode="dd/mm/yy;@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5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5" formatCode="dd/mm/yy;@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5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center" textRotation="0" wrapText="1" indent="0" relativeIndent="0" justifyLastLine="0" shrinkToFit="0" mergeCell="0" readingOrder="0"/>
    </dxf>
    <dxf>
      <numFmt numFmtId="165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5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45"/>
      <tableStyleElement type="headerRow" dxfId="244"/>
      <tableStyleElement type="totalRow" dxfId="243"/>
      <tableStyleElement type="firstColumn" dxfId="242"/>
      <tableStyleElement type="lastColumn" dxfId="241"/>
      <tableStyleElement type="firstRowStripe" dxfId="240"/>
      <tableStyleElement type="secondRowStripe" dxfId="239"/>
      <tableStyleElement type="firstColumnStripe" dxfId="238"/>
      <tableStyleElement type="secondColumnStripe" dxfId="237"/>
    </tableStyle>
    <tableStyle name="TableStyleLight8 2" pivot="0" count="9">
      <tableStyleElement type="wholeTable" dxfId="236"/>
      <tableStyleElement type="headerRow" dxfId="235"/>
      <tableStyleElement type="totalRow" dxfId="234"/>
      <tableStyleElement type="firstColumn" dxfId="233"/>
      <tableStyleElement type="lastColumn" dxfId="232"/>
      <tableStyleElement type="firstRowStripe" dxfId="231"/>
      <tableStyleElement type="secondRowStripe" dxfId="230"/>
      <tableStyleElement type="firstColumnStripe" dxfId="229"/>
      <tableStyleElement type="secondColumnStripe" dxfId="228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9" tableType="queryTable" totalsRowCount="1" headerRowDxfId="227" dataDxfId="226">
  <tableColumns count="11">
    <tableColumn id="1" uniqueName="1" name="Code Secteur" queryTableFieldId="1" dataDxfId="214" totalsRowDxfId="215"/>
    <tableColumn id="2" uniqueName="2" name="VM" queryTableFieldId="2" dataDxfId="213" totalsRowDxfId="216"/>
    <tableColumn id="3" uniqueName="3" name="Code médecin" totalsRowLabel="TOTAL" queryTableFieldId="3" dataDxfId="212" totalsRowDxfId="217" dataCellStyle="Lien hypertexte"/>
    <tableColumn id="4" uniqueName="4" name="Medecin" totalsRowFunction="custom" queryTableFieldId="4" dataDxfId="211" totalsRowDxfId="218">
      <totalsRowFormula>SUBTOTAL(3,D8:D18)</totalsRowFormula>
    </tableColumn>
    <tableColumn id="5" uniqueName="5" name="Date de réception convention financière" totalsRowFunction="custom" queryTableFieldId="5" dataDxfId="210" totalsRowDxfId="219">
      <totalsRowFormula>SUBTOTAL(3,[Date de réception convention financière])</totalsRowFormula>
    </tableColumn>
    <tableColumn id="6" uniqueName="6" name="Date de réception AR kit" totalsRowFunction="custom" queryTableFieldId="6" dataDxfId="209" totalsRowDxfId="220">
      <totalsRowFormula>SUBTOTAL(3,[Date de réception AR kit])</totalsRowFormula>
    </tableColumn>
    <tableColumn id="7" uniqueName="7" name="Date de MEP" totalsRowFunction="custom" queryTableFieldId="7" dataDxfId="208" totalsRowDxfId="221">
      <totalsRowFormula>SUBTOTAL(3,[Date de MEP])</totalsRowFormula>
    </tableColumn>
    <tableColumn id="8" uniqueName="8" name="Desistement" totalsRowFunction="custom" queryTableFieldId="8" dataDxfId="207" totalsRowDxfId="222">
      <totalsRowFormula>SUBTOTAL(3,[Desistement])</totalsRowFormula>
    </tableColumn>
    <tableColumn id="9" uniqueName="9" name="Nb Total Patients inclus" totalsRowFunction="custom" queryTableFieldId="9" dataDxfId="206" totalsRowDxfId="223">
      <totalsRowFormula>SUBTOTAL(109,I8:I18)</totalsRowFormula>
    </tableColumn>
    <tableColumn id="10" uniqueName="10" name="Comptes-rendus contact médecin-GECEM" queryTableFieldId="10" dataDxfId="205" totalsRowDxfId="224"/>
    <tableColumn id="11" uniqueName="11" name="Date" queryTableFieldId="11" dataDxfId="204" totalsRowDxfId="225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5" tableType="queryTable" totalsRowShown="0">
  <autoFilter ref="B9:U15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203"/>
    <tableColumn id="4" uniqueName="4" name="INCLUSION_Visite" queryTableFieldId="4" dataDxfId="202"/>
    <tableColumn id="5" uniqueName="5" name="INCLUSION_Reception" queryTableFieldId="5" dataDxfId="201"/>
    <tableColumn id="6" uniqueName="6" name="AQINCLUSION_Reception" queryTableFieldId="6" dataDxfId="200"/>
    <tableColumn id="7" uniqueName="7" name="CONTACT_Reception" queryTableFieldId="7" dataDxfId="199"/>
    <tableColumn id="8" uniqueName="8" name="TypeRappel" queryTableFieldId="8"/>
    <tableColumn id="9" uniqueName="9" name="AQ7Theo" queryTableFieldId="9" dataDxfId="198"/>
    <tableColumn id="10" uniqueName="10" name="AQJ7_Reception" queryTableFieldId="10" dataDxfId="197"/>
    <tableColumn id="11" uniqueName="11" name="AQ_M2_Theo" queryTableFieldId="11" dataDxfId="196"/>
    <tableColumn id="12" uniqueName="12" name="AQM2_Reception" queryTableFieldId="12" dataDxfId="195"/>
    <tableColumn id="13" uniqueName="13" name="VP_Theo" queryTableFieldId="13" dataDxfId="194"/>
    <tableColumn id="14" uniqueName="14" name="PRECOCE_Visite" queryTableFieldId="14" dataDxfId="193"/>
    <tableColumn id="15" uniqueName="15" name="PRECOCE_Reception" queryTableFieldId="15" dataDxfId="192"/>
    <tableColumn id="16" uniqueName="16" name="VT_Theo" queryTableFieldId="16" dataDxfId="191"/>
    <tableColumn id="17" uniqueName="17" name="TARDIF_Visite" queryTableFieldId="17" dataDxfId="190"/>
    <tableColumn id="18" uniqueName="18" name="TARDIF_Reception" queryTableFieldId="18" dataDxfId="189"/>
    <tableColumn id="19" uniqueName="19" name="Onekey" queryTableFieldId="19"/>
    <tableColumn id="20" uniqueName="20" name="Date" queryTableFieldId="20" dataDxfId="188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187"/>
    <tableColumn id="2" uniqueName="2" name="Investigateur" queryTableFieldId="2" dataDxfId="186"/>
    <tableColumn id="3" uniqueName="3" name="Num_Patient" queryTableFieldId="3" dataDxfId="185"/>
    <tableColumn id="4" uniqueName="4" name="INCLUSION_Visite" queryTableFieldId="4" dataDxfId="184"/>
    <tableColumn id="5" uniqueName="5" name="INCLUSION_Reception" queryTableFieldId="5" dataDxfId="183"/>
    <tableColumn id="6" uniqueName="6" name="AQINCLUSION_Reception" queryTableFieldId="6" dataDxfId="182"/>
    <tableColumn id="7" uniqueName="7" name="CONTACT_Reception" queryTableFieldId="7" dataDxfId="181"/>
    <tableColumn id="8" uniqueName="8" name="TypeRappel" queryTableFieldId="8" dataDxfId="180"/>
    <tableColumn id="9" uniqueName="9" name="AQ7Theo" queryTableFieldId="9" dataDxfId="179"/>
    <tableColumn id="10" uniqueName="10" name="AQJ7_Reception" queryTableFieldId="10" dataDxfId="178"/>
    <tableColumn id="11" uniqueName="11" name="AQ_M2_Theo" queryTableFieldId="11" dataDxfId="177"/>
    <tableColumn id="12" uniqueName="12" name="AQM2_Reception" queryTableFieldId="12" dataDxfId="176"/>
    <tableColumn id="13" uniqueName="13" name="VP_Theo" queryTableFieldId="13" dataDxfId="175"/>
    <tableColumn id="14" uniqueName="14" name="PRECOCE_Visite" queryTableFieldId="14" dataDxfId="174"/>
    <tableColumn id="15" uniqueName="15" name="PRECOCE_Reception" queryTableFieldId="15" dataDxfId="173"/>
    <tableColumn id="16" uniqueName="16" name="VT_Theo" queryTableFieldId="16" dataDxfId="172"/>
    <tableColumn id="17" uniqueName="17" name="TARDIF_Visite" queryTableFieldId="17" dataDxfId="171"/>
    <tableColumn id="18" uniqueName="18" name="TARDIF_Reception" queryTableFieldId="18" dataDxfId="170"/>
    <tableColumn id="19" uniqueName="19" name="Onekey" queryTableFieldId="19" dataDxfId="169"/>
    <tableColumn id="20" uniqueName="20" name="Date" queryTableFieldId="20" dataDxfId="168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5" displayName="Tableau_Lancer_la_requête_à_partir_de_MS_Access_Database5" ref="B9:U16" tableType="queryTable" totalsRowShown="0">
  <autoFilter ref="B9:U16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67"/>
    <tableColumn id="4" uniqueName="4" name="INCLUSION_Visite" queryTableFieldId="4" dataDxfId="166"/>
    <tableColumn id="5" uniqueName="5" name="INCLUSION_Reception" queryTableFieldId="5" dataDxfId="165"/>
    <tableColumn id="6" uniqueName="6" name="AQINCLUSION_Reception" queryTableFieldId="6" dataDxfId="164"/>
    <tableColumn id="7" uniqueName="7" name="CONTACT_Reception" queryTableFieldId="7" dataDxfId="163"/>
    <tableColumn id="8" uniqueName="8" name="TypeRappel" queryTableFieldId="8"/>
    <tableColumn id="9" uniqueName="9" name="AQ7Theo" queryTableFieldId="9" dataDxfId="162"/>
    <tableColumn id="10" uniqueName="10" name="AQJ7_Reception" queryTableFieldId="10" dataDxfId="161"/>
    <tableColumn id="11" uniqueName="11" name="AQ_M2_Theo" queryTableFieldId="11" dataDxfId="160"/>
    <tableColumn id="12" uniqueName="12" name="AQM2_Reception" queryTableFieldId="12" dataDxfId="159"/>
    <tableColumn id="13" uniqueName="13" name="VP_Theo" queryTableFieldId="13" dataDxfId="158"/>
    <tableColumn id="14" uniqueName="14" name="PRECOCE_Visite" queryTableFieldId="14" dataDxfId="157"/>
    <tableColumn id="15" uniqueName="15" name="PRECOCE_Reception" queryTableFieldId="15" dataDxfId="156"/>
    <tableColumn id="16" uniqueName="16" name="VT_Theo" queryTableFieldId="16" dataDxfId="155"/>
    <tableColumn id="17" uniqueName="17" name="TARDIF_Visite" queryTableFieldId="17" dataDxfId="154"/>
    <tableColumn id="18" uniqueName="18" name="TARDIF_Reception" queryTableFieldId="18" dataDxfId="153"/>
    <tableColumn id="19" uniqueName="19" name="Onekey" queryTableFieldId="19"/>
    <tableColumn id="20" uniqueName="20" name="Date" queryTableFieldId="20" dataDxfId="152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5" name="Tableau_Lancer_la_requête_à_partir_de_MS_Access_Database56" displayName="Tableau_Lancer_la_requête_à_partir_de_MS_Access_Database56" ref="B9:U14" tableType="queryTable" totalsRowShown="0">
  <autoFilter ref="B9:U14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51"/>
    <tableColumn id="4" uniqueName="4" name="INCLUSION_Visite" queryTableFieldId="4" dataDxfId="150"/>
    <tableColumn id="5" uniqueName="5" name="INCLUSION_Reception" queryTableFieldId="5" dataDxfId="149"/>
    <tableColumn id="6" uniqueName="6" name="AQINCLUSION_Reception" queryTableFieldId="6" dataDxfId="148"/>
    <tableColumn id="7" uniqueName="7" name="CONTACT_Reception" queryTableFieldId="7" dataDxfId="147"/>
    <tableColumn id="8" uniqueName="8" name="TypeRappel" queryTableFieldId="8"/>
    <tableColumn id="9" uniqueName="9" name="AQ7Theo" queryTableFieldId="9" dataDxfId="146"/>
    <tableColumn id="10" uniqueName="10" name="AQJ7_Reception" queryTableFieldId="10" dataDxfId="145"/>
    <tableColumn id="11" uniqueName="11" name="AQ_M2_Theo" queryTableFieldId="11" dataDxfId="144"/>
    <tableColumn id="12" uniqueName="12" name="AQM2_Reception" queryTableFieldId="12" dataDxfId="143"/>
    <tableColumn id="13" uniqueName="13" name="VP_Theo" queryTableFieldId="13" dataDxfId="142"/>
    <tableColumn id="14" uniqueName="14" name="PRECOCE_Visite" queryTableFieldId="14" dataDxfId="141"/>
    <tableColumn id="15" uniqueName="15" name="PRECOCE_Reception" queryTableFieldId="15" dataDxfId="140"/>
    <tableColumn id="16" uniqueName="16" name="VT_Theo" queryTableFieldId="16" dataDxfId="139"/>
    <tableColumn id="17" uniqueName="17" name="TARDIF_Visite" queryTableFieldId="17" dataDxfId="138"/>
    <tableColumn id="18" uniqueName="18" name="TARDIF_Reception" queryTableFieldId="18" dataDxfId="137"/>
    <tableColumn id="19" uniqueName="19" name="Onekey" queryTableFieldId="19"/>
    <tableColumn id="20" uniqueName="20" name="Date" queryTableFieldId="20" dataDxfId="136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0" name="Tableau_Lancer_la_requête_à_partir_de_MS_Access_Database47911" displayName="Tableau_Lancer_la_requête_à_partir_de_MS_Access_Database47911" ref="B9:U12" tableType="queryTable" totalsRowShown="0">
  <autoFilter ref="B9:U12"/>
  <tableColumns count="20">
    <tableColumn id="1" uniqueName="1" name="Num_Centre" queryTableFieldId="1" dataDxfId="135"/>
    <tableColumn id="2" uniqueName="2" name="Investigateur" queryTableFieldId="2" dataDxfId="134"/>
    <tableColumn id="3" uniqueName="3" name="Num_Patient" queryTableFieldId="3" dataDxfId="133"/>
    <tableColumn id="4" uniqueName="4" name="INCLUSION_Visite" queryTableFieldId="4" dataDxfId="132"/>
    <tableColumn id="5" uniqueName="5" name="INCLUSION_Reception" queryTableFieldId="5" dataDxfId="131"/>
    <tableColumn id="6" uniqueName="6" name="AQINCLUSION_Reception" queryTableFieldId="6" dataDxfId="130"/>
    <tableColumn id="7" uniqueName="7" name="CONTACT_Reception" queryTableFieldId="7" dataDxfId="129"/>
    <tableColumn id="8" uniqueName="8" name="TypeRappel" queryTableFieldId="8" dataDxfId="128"/>
    <tableColumn id="9" uniqueName="9" name="AQ7Theo" queryTableFieldId="9" dataDxfId="127"/>
    <tableColumn id="10" uniqueName="10" name="AQJ7_Reception" queryTableFieldId="10" dataDxfId="126"/>
    <tableColumn id="11" uniqueName="11" name="AQ_M2_Theo" queryTableFieldId="11" dataDxfId="125"/>
    <tableColumn id="12" uniqueName="12" name="AQM2_Reception" queryTableFieldId="12" dataDxfId="124"/>
    <tableColumn id="13" uniqueName="13" name="VP_Theo" queryTableFieldId="13" dataDxfId="123"/>
    <tableColumn id="14" uniqueName="14" name="PRECOCE_Visite" queryTableFieldId="14" dataDxfId="122"/>
    <tableColumn id="15" uniqueName="15" name="PRECOCE_Reception" queryTableFieldId="15" dataDxfId="121"/>
    <tableColumn id="16" uniqueName="16" name="VT_Theo" queryTableFieldId="16" dataDxfId="120"/>
    <tableColumn id="17" uniqueName="17" name="TARDIF_Visite" queryTableFieldId="17" dataDxfId="119"/>
    <tableColumn id="18" uniqueName="18" name="TARDIF_Reception" queryTableFieldId="18" dataDxfId="118"/>
    <tableColumn id="19" uniqueName="19" name="Onekey" queryTableFieldId="19" dataDxfId="117"/>
    <tableColumn id="20" uniqueName="20" name="Date" queryTableFieldId="20" dataDxfId="116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2" name="Tableau_Lancer_la_requête_à_partir_de_MS_Access_Database4791113" displayName="Tableau_Lancer_la_requête_à_partir_de_MS_Access_Database4791113" ref="B9:U12" tableType="queryTable" totalsRowShown="0">
  <autoFilter ref="B9:U12"/>
  <tableColumns count="20">
    <tableColumn id="1" uniqueName="1" name="Num_Centre" queryTableFieldId="1" dataDxfId="115"/>
    <tableColumn id="2" uniqueName="2" name="Investigateur" queryTableFieldId="2" dataDxfId="114"/>
    <tableColumn id="3" uniqueName="3" name="Num_Patient" queryTableFieldId="3" dataDxfId="113"/>
    <tableColumn id="4" uniqueName="4" name="INCLUSION_Visite" queryTableFieldId="4" dataDxfId="112"/>
    <tableColumn id="5" uniqueName="5" name="INCLUSION_Reception" queryTableFieldId="5" dataDxfId="111"/>
    <tableColumn id="6" uniqueName="6" name="AQINCLUSION_Reception" queryTableFieldId="6" dataDxfId="110"/>
    <tableColumn id="7" uniqueName="7" name="CONTACT_Reception" queryTableFieldId="7" dataDxfId="109"/>
    <tableColumn id="8" uniqueName="8" name="TypeRappel" queryTableFieldId="8" dataDxfId="108"/>
    <tableColumn id="9" uniqueName="9" name="AQ7Theo" queryTableFieldId="9" dataDxfId="107"/>
    <tableColumn id="10" uniqueName="10" name="AQJ7_Reception" queryTableFieldId="10" dataDxfId="106"/>
    <tableColumn id="11" uniqueName="11" name="AQ_M2_Theo" queryTableFieldId="11" dataDxfId="105"/>
    <tableColumn id="12" uniqueName="12" name="AQM2_Reception" queryTableFieldId="12" dataDxfId="104"/>
    <tableColumn id="13" uniqueName="13" name="VP_Theo" queryTableFieldId="13" dataDxfId="103"/>
    <tableColumn id="14" uniqueName="14" name="PRECOCE_Visite" queryTableFieldId="14" dataDxfId="102"/>
    <tableColumn id="15" uniqueName="15" name="PRECOCE_Reception" queryTableFieldId="15" dataDxfId="101"/>
    <tableColumn id="16" uniqueName="16" name="VT_Theo" queryTableFieldId="16" dataDxfId="100"/>
    <tableColumn id="17" uniqueName="17" name="TARDIF_Visite" queryTableFieldId="17" dataDxfId="99"/>
    <tableColumn id="18" uniqueName="18" name="TARDIF_Reception" queryTableFieldId="18" dataDxfId="98"/>
    <tableColumn id="19" uniqueName="19" name="Onekey" queryTableFieldId="19" dataDxfId="97"/>
    <tableColumn id="20" uniqueName="20" name="Date" queryTableFieldId="20" dataDxfId="96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7" displayName="Tableau_Lancer_la_requête_à_partir_de_MS_Access_Database47" ref="B9:U12" tableType="queryTable" totalsRowShown="0">
  <autoFilter ref="B9:U12"/>
  <tableColumns count="20">
    <tableColumn id="1" uniqueName="1" name="Num_Centre" queryTableFieldId="1" dataDxfId="95"/>
    <tableColumn id="2" uniqueName="2" name="Investigateur" queryTableFieldId="2" dataDxfId="94"/>
    <tableColumn id="3" uniqueName="3" name="Num_Patient" queryTableFieldId="3" dataDxfId="93"/>
    <tableColumn id="4" uniqueName="4" name="INCLUSION_Visite" queryTableFieldId="4" dataDxfId="92"/>
    <tableColumn id="5" uniqueName="5" name="INCLUSION_Reception" queryTableFieldId="5" dataDxfId="91"/>
    <tableColumn id="6" uniqueName="6" name="AQINCLUSION_Reception" queryTableFieldId="6" dataDxfId="90"/>
    <tableColumn id="7" uniqueName="7" name="CONTACT_Reception" queryTableFieldId="7" dataDxfId="89"/>
    <tableColumn id="8" uniqueName="8" name="TypeRappel" queryTableFieldId="8" dataDxfId="88"/>
    <tableColumn id="9" uniqueName="9" name="AQ7Theo" queryTableFieldId="9" dataDxfId="87"/>
    <tableColumn id="10" uniqueName="10" name="AQJ7_Reception" queryTableFieldId="10" dataDxfId="86"/>
    <tableColumn id="11" uniqueName="11" name="AQ_M2_Theo" queryTableFieldId="11" dataDxfId="85"/>
    <tableColumn id="12" uniqueName="12" name="AQM2_Reception" queryTableFieldId="12" dataDxfId="84"/>
    <tableColumn id="13" uniqueName="13" name="VP_Theo" queryTableFieldId="13" dataDxfId="83"/>
    <tableColumn id="14" uniqueName="14" name="PRECOCE_Visite" queryTableFieldId="14" dataDxfId="82"/>
    <tableColumn id="15" uniqueName="15" name="PRECOCE_Reception" queryTableFieldId="15" dataDxfId="81"/>
    <tableColumn id="16" uniqueName="16" name="VT_Theo" queryTableFieldId="16" dataDxfId="80"/>
    <tableColumn id="17" uniqueName="17" name="TARDIF_Visite" queryTableFieldId="17" dataDxfId="79"/>
    <tableColumn id="18" uniqueName="18" name="TARDIF_Reception" queryTableFieldId="18" dataDxfId="78"/>
    <tableColumn id="19" uniqueName="19" name="Onekey" queryTableFieldId="19" dataDxfId="77"/>
    <tableColumn id="20" uniqueName="20" name="Date" queryTableFieldId="20" dataDxfId="76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11" name="Tableau_Lancer_la_requête_à_partir_de_MS_Access_Database4712" displayName="Tableau_Lancer_la_requête_à_partir_de_MS_Access_Database4712" ref="B9:U12" tableType="queryTable" totalsRowShown="0">
  <autoFilter ref="B9:U12"/>
  <tableColumns count="20">
    <tableColumn id="1" uniqueName="1" name="Num_Centre" queryTableFieldId="1" dataDxfId="75"/>
    <tableColumn id="2" uniqueName="2" name="Investigateur" queryTableFieldId="2" dataDxfId="74"/>
    <tableColumn id="3" uniqueName="3" name="Num_Patient" queryTableFieldId="3" dataDxfId="73"/>
    <tableColumn id="4" uniqueName="4" name="INCLUSION_Visite" queryTableFieldId="4" dataDxfId="72"/>
    <tableColumn id="5" uniqueName="5" name="INCLUSION_Reception" queryTableFieldId="5" dataDxfId="71"/>
    <tableColumn id="6" uniqueName="6" name="AQINCLUSION_Reception" queryTableFieldId="6" dataDxfId="70"/>
    <tableColumn id="7" uniqueName="7" name="CONTACT_Reception" queryTableFieldId="7" dataDxfId="69"/>
    <tableColumn id="8" uniqueName="8" name="TypeRappel" queryTableFieldId="8" dataDxfId="68"/>
    <tableColumn id="9" uniqueName="9" name="AQ7Theo" queryTableFieldId="9" dataDxfId="67"/>
    <tableColumn id="10" uniqueName="10" name="AQJ7_Reception" queryTableFieldId="10" dataDxfId="66"/>
    <tableColumn id="11" uniqueName="11" name="AQ_M2_Theo" queryTableFieldId="11" dataDxfId="65"/>
    <tableColumn id="12" uniqueName="12" name="AQM2_Reception" queryTableFieldId="12" dataDxfId="64"/>
    <tableColumn id="13" uniqueName="13" name="VP_Theo" queryTableFieldId="13" dataDxfId="63"/>
    <tableColumn id="14" uniqueName="14" name="PRECOCE_Visite" queryTableFieldId="14" dataDxfId="62"/>
    <tableColumn id="15" uniqueName="15" name="PRECOCE_Reception" queryTableFieldId="15" dataDxfId="61"/>
    <tableColumn id="16" uniqueName="16" name="VT_Theo" queryTableFieldId="16" dataDxfId="60"/>
    <tableColumn id="17" uniqueName="17" name="TARDIF_Visite" queryTableFieldId="17" dataDxfId="59"/>
    <tableColumn id="18" uniqueName="18" name="TARDIF_Reception" queryTableFieldId="18" dataDxfId="58"/>
    <tableColumn id="19" uniqueName="19" name="Onekey" queryTableFieldId="19" dataDxfId="57"/>
    <tableColumn id="20" uniqueName="20" name="Date" queryTableFieldId="20" dataDxfId="56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9" name="Tableau_Lancer_la_requête_à_partir_de_MS_Access_Database47910" displayName="Tableau_Lancer_la_requête_à_partir_de_MS_Access_Database47910" ref="B9:U12" tableType="queryTable" totalsRowShown="0">
  <autoFilter ref="B9:U12"/>
  <tableColumns count="20">
    <tableColumn id="1" uniqueName="1" name="Num_Centre" queryTableFieldId="1" dataDxfId="55"/>
    <tableColumn id="2" uniqueName="2" name="Investigateur" queryTableFieldId="2" dataDxfId="54"/>
    <tableColumn id="3" uniqueName="3" name="Num_Patient" queryTableFieldId="3" dataDxfId="53"/>
    <tableColumn id="4" uniqueName="4" name="INCLUSION_Visite" queryTableFieldId="4" dataDxfId="52"/>
    <tableColumn id="5" uniqueName="5" name="INCLUSION_Reception" queryTableFieldId="5" dataDxfId="51"/>
    <tableColumn id="6" uniqueName="6" name="AQINCLUSION_Reception" queryTableFieldId="6" dataDxfId="50"/>
    <tableColumn id="7" uniqueName="7" name="CONTACT_Reception" queryTableFieldId="7" dataDxfId="49"/>
    <tableColumn id="8" uniqueName="8" name="TypeRappel" queryTableFieldId="8" dataDxfId="48"/>
    <tableColumn id="9" uniqueName="9" name="AQ7Theo" queryTableFieldId="9" dataDxfId="47"/>
    <tableColumn id="10" uniqueName="10" name="AQJ7_Reception" queryTableFieldId="10" dataDxfId="46"/>
    <tableColumn id="11" uniqueName="11" name="AQ_M2_Theo" queryTableFieldId="11" dataDxfId="45"/>
    <tableColumn id="12" uniqueName="12" name="AQM2_Reception" queryTableFieldId="12" dataDxfId="44"/>
    <tableColumn id="13" uniqueName="13" name="VP_Theo" queryTableFieldId="13" dataDxfId="43"/>
    <tableColumn id="14" uniqueName="14" name="PRECOCE_Visite" queryTableFieldId="14" dataDxfId="42"/>
    <tableColumn id="15" uniqueName="15" name="PRECOCE_Reception" queryTableFieldId="15" dataDxfId="41"/>
    <tableColumn id="16" uniqueName="16" name="VT_Theo" queryTableFieldId="16" dataDxfId="40"/>
    <tableColumn id="17" uniqueName="17" name="TARDIF_Visite" queryTableFieldId="17" dataDxfId="39"/>
    <tableColumn id="18" uniqueName="18" name="TARDIF_Reception" queryTableFieldId="18" dataDxfId="38"/>
    <tableColumn id="19" uniqueName="19" name="Onekey" queryTableFieldId="19" dataDxfId="37"/>
    <tableColumn id="20" uniqueName="20" name="Date" queryTableFieldId="20" dataDxfId="36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7" name="Tableau_Lancer_la_requête_à_partir_de_MS_Access_Database568" displayName="Tableau_Lancer_la_requête_à_partir_de_MS_Access_Database568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35"/>
    <tableColumn id="4" uniqueName="4" name="INCLUSION_Visite" queryTableFieldId="4" dataDxfId="34"/>
    <tableColumn id="5" uniqueName="5" name="INCLUSION_Reception" queryTableFieldId="5" dataDxfId="33"/>
    <tableColumn id="6" uniqueName="6" name="AQINCLUSION_Reception" queryTableFieldId="6" dataDxfId="32"/>
    <tableColumn id="7" uniqueName="7" name="CONTACT_Reception" queryTableFieldId="7" dataDxfId="31"/>
    <tableColumn id="8" uniqueName="8" name="TypeRappel" queryTableFieldId="8"/>
    <tableColumn id="9" uniqueName="9" name="AQ7Theo" queryTableFieldId="9" dataDxfId="30"/>
    <tableColumn id="10" uniqueName="10" name="AQJ7_Reception" queryTableFieldId="10" dataDxfId="29"/>
    <tableColumn id="11" uniqueName="11" name="AQ_M2_Theo" queryTableFieldId="11" dataDxfId="28"/>
    <tableColumn id="12" uniqueName="12" name="AQM2_Reception" queryTableFieldId="12" dataDxfId="27"/>
    <tableColumn id="13" uniqueName="13" name="VP_Theo" queryTableFieldId="13" dataDxfId="26"/>
    <tableColumn id="14" uniqueName="14" name="PRECOCE_Visite" queryTableFieldId="14" dataDxfId="25"/>
    <tableColumn id="15" uniqueName="15" name="PRECOCE_Reception" queryTableFieldId="15" dataDxfId="24"/>
    <tableColumn id="16" uniqueName="16" name="VT_Theo" queryTableFieldId="16" dataDxfId="23"/>
    <tableColumn id="17" uniqueName="17" name="TARDIF_Visite" queryTableFieldId="17" dataDxfId="22"/>
    <tableColumn id="18" uniqueName="18" name="TARDIF_Reception" queryTableFieldId="18" dataDxfId="21"/>
    <tableColumn id="19" uniqueName="19" name="Onekey" queryTableFieldId="19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8" name="Tableau_Lancer_la_requête_à_partir_de_MS_Access_Database479" displayName="Tableau_Lancer_la_requête_à_partir_de_MS_Access_Database479" ref="B9:U10" tableType="queryTable" totalsRowShown="0">
  <autoFilter ref="B9:U10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1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$A$18</f>
        <v>DE0407</v>
      </c>
      <c r="G2" s="102" t="str">
        <f>$B$18</f>
        <v>SAIVEAU CHEVANCE Isabelle</v>
      </c>
      <c r="H2" s="102"/>
      <c r="I2" s="10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$K$18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92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4" customFormat="1" ht="30">
      <c r="A8" s="84" t="s">
        <v>59</v>
      </c>
      <c r="B8" s="84" t="s">
        <v>60</v>
      </c>
      <c r="C8" s="93" t="s">
        <v>61</v>
      </c>
      <c r="D8" s="83" t="s">
        <v>62</v>
      </c>
      <c r="E8" s="16">
        <v>41701</v>
      </c>
      <c r="F8" s="16">
        <v>41745</v>
      </c>
      <c r="G8" s="16">
        <v>41743</v>
      </c>
      <c r="H8" s="16"/>
      <c r="I8" s="15">
        <v>6</v>
      </c>
      <c r="J8" s="83" t="s">
        <v>94</v>
      </c>
      <c r="K8" s="86">
        <v>42306</v>
      </c>
    </row>
    <row r="9" spans="1:17" s="84" customFormat="1" ht="30">
      <c r="A9" s="84" t="s">
        <v>59</v>
      </c>
      <c r="B9" s="84" t="s">
        <v>60</v>
      </c>
      <c r="C9" s="85" t="s">
        <v>63</v>
      </c>
      <c r="D9" s="83" t="s">
        <v>64</v>
      </c>
      <c r="E9" s="16">
        <v>41698</v>
      </c>
      <c r="F9" s="16">
        <v>41761</v>
      </c>
      <c r="G9" s="16">
        <v>41758</v>
      </c>
      <c r="H9" s="16"/>
      <c r="I9" s="15">
        <v>5</v>
      </c>
      <c r="J9" s="83"/>
      <c r="K9" s="86">
        <v>42306</v>
      </c>
    </row>
    <row r="10" spans="1:17" s="84" customFormat="1" ht="30">
      <c r="A10" s="84" t="s">
        <v>59</v>
      </c>
      <c r="B10" s="84" t="s">
        <v>60</v>
      </c>
      <c r="C10" s="85" t="s">
        <v>65</v>
      </c>
      <c r="D10" s="83" t="s">
        <v>66</v>
      </c>
      <c r="E10" s="16">
        <v>41704</v>
      </c>
      <c r="F10" s="16">
        <v>41743</v>
      </c>
      <c r="G10" s="16">
        <v>41738</v>
      </c>
      <c r="H10" s="16"/>
      <c r="I10" s="15">
        <v>7</v>
      </c>
      <c r="J10" s="83" t="s">
        <v>84</v>
      </c>
      <c r="K10" s="86">
        <v>42306</v>
      </c>
    </row>
    <row r="11" spans="1:17" s="84" customFormat="1" ht="30">
      <c r="A11" s="84" t="s">
        <v>59</v>
      </c>
      <c r="B11" s="84" t="s">
        <v>60</v>
      </c>
      <c r="C11" s="85" t="s">
        <v>67</v>
      </c>
      <c r="D11" s="83" t="s">
        <v>68</v>
      </c>
      <c r="E11" s="16">
        <v>41711</v>
      </c>
      <c r="F11" s="16">
        <v>41743</v>
      </c>
      <c r="G11" s="16">
        <v>41738</v>
      </c>
      <c r="H11" s="16"/>
      <c r="I11" s="15">
        <v>5</v>
      </c>
      <c r="J11" s="83" t="s">
        <v>77</v>
      </c>
      <c r="K11" s="86">
        <v>42306</v>
      </c>
    </row>
    <row r="12" spans="1:17" s="84" customFormat="1" ht="30">
      <c r="A12" s="84" t="s">
        <v>59</v>
      </c>
      <c r="B12" s="84" t="s">
        <v>60</v>
      </c>
      <c r="C12" s="85" t="s">
        <v>78</v>
      </c>
      <c r="D12" s="83" t="s">
        <v>79</v>
      </c>
      <c r="E12" s="16">
        <v>41787</v>
      </c>
      <c r="F12" s="16">
        <v>41794</v>
      </c>
      <c r="G12" s="16">
        <v>41792</v>
      </c>
      <c r="H12" s="16"/>
      <c r="I12" s="15">
        <v>2</v>
      </c>
      <c r="J12" s="83"/>
      <c r="K12" s="86">
        <v>42306</v>
      </c>
    </row>
    <row r="13" spans="1:17" s="84" customFormat="1" ht="30">
      <c r="A13" s="84" t="s">
        <v>59</v>
      </c>
      <c r="B13" s="84" t="s">
        <v>60</v>
      </c>
      <c r="C13" s="85" t="s">
        <v>90</v>
      </c>
      <c r="D13" s="83" t="s">
        <v>91</v>
      </c>
      <c r="E13" s="16">
        <v>41941</v>
      </c>
      <c r="F13" s="16">
        <v>41955</v>
      </c>
      <c r="G13" s="16">
        <v>41949</v>
      </c>
      <c r="H13" s="16"/>
      <c r="I13" s="15">
        <v>1</v>
      </c>
      <c r="J13" s="83"/>
      <c r="K13" s="86">
        <v>42306</v>
      </c>
    </row>
    <row r="14" spans="1:17" s="84" customFormat="1" ht="30">
      <c r="A14" s="84" t="s">
        <v>59</v>
      </c>
      <c r="B14" s="84" t="s">
        <v>60</v>
      </c>
      <c r="C14" s="85" t="s">
        <v>69</v>
      </c>
      <c r="D14" s="83" t="s">
        <v>70</v>
      </c>
      <c r="E14" s="16">
        <v>41703</v>
      </c>
      <c r="F14" s="16">
        <v>41764</v>
      </c>
      <c r="G14" s="16">
        <v>41757</v>
      </c>
      <c r="H14" s="16"/>
      <c r="I14" s="15">
        <v>3</v>
      </c>
      <c r="J14" s="83" t="s">
        <v>85</v>
      </c>
      <c r="K14" s="86">
        <v>42306</v>
      </c>
    </row>
    <row r="15" spans="1:17" s="84" customFormat="1" ht="45">
      <c r="A15" s="84" t="s">
        <v>59</v>
      </c>
      <c r="B15" s="84" t="s">
        <v>60</v>
      </c>
      <c r="C15" s="85" t="s">
        <v>86</v>
      </c>
      <c r="D15" s="83" t="s">
        <v>87</v>
      </c>
      <c r="E15" s="16">
        <v>41852</v>
      </c>
      <c r="F15" s="16">
        <v>41890</v>
      </c>
      <c r="G15" s="16">
        <v>41887</v>
      </c>
      <c r="H15" s="16"/>
      <c r="I15" s="15">
        <v>1</v>
      </c>
      <c r="J15" s="83" t="s">
        <v>95</v>
      </c>
      <c r="K15" s="86">
        <v>42306</v>
      </c>
    </row>
    <row r="16" spans="1:17" s="84" customFormat="1" ht="45">
      <c r="A16" s="84" t="s">
        <v>59</v>
      </c>
      <c r="B16" s="84" t="s">
        <v>60</v>
      </c>
      <c r="C16" s="85" t="s">
        <v>76</v>
      </c>
      <c r="D16" s="83" t="s">
        <v>75</v>
      </c>
      <c r="E16" s="16">
        <v>41766</v>
      </c>
      <c r="F16" s="16">
        <v>41778</v>
      </c>
      <c r="G16" s="16">
        <v>41774</v>
      </c>
      <c r="H16" s="16"/>
      <c r="I16" s="15">
        <v>1</v>
      </c>
      <c r="J16" s="83" t="s">
        <v>88</v>
      </c>
      <c r="K16" s="86">
        <v>42306</v>
      </c>
    </row>
    <row r="17" spans="1:11" ht="30">
      <c r="A17" s="84" t="s">
        <v>59</v>
      </c>
      <c r="B17" s="84" t="s">
        <v>60</v>
      </c>
      <c r="C17" s="85" t="s">
        <v>71</v>
      </c>
      <c r="D17" s="83" t="s">
        <v>72</v>
      </c>
      <c r="E17" s="16">
        <v>41698</v>
      </c>
      <c r="F17" s="16">
        <v>41743</v>
      </c>
      <c r="G17" s="16">
        <v>41739</v>
      </c>
      <c r="H17" s="16">
        <v>41905</v>
      </c>
      <c r="I17" s="15"/>
      <c r="J17" s="83" t="s">
        <v>89</v>
      </c>
      <c r="K17" s="86">
        <v>42306</v>
      </c>
    </row>
    <row r="18" spans="1:11" ht="30">
      <c r="A18" s="84" t="s">
        <v>59</v>
      </c>
      <c r="B18" s="84" t="s">
        <v>60</v>
      </c>
      <c r="C18" s="85" t="s">
        <v>73</v>
      </c>
      <c r="D18" s="83" t="s">
        <v>74</v>
      </c>
      <c r="E18" s="16">
        <v>41698</v>
      </c>
      <c r="F18" s="16"/>
      <c r="G18" s="16"/>
      <c r="H18" s="16">
        <v>41828</v>
      </c>
      <c r="I18" s="15"/>
      <c r="J18" s="83"/>
      <c r="K18" s="86">
        <v>42306</v>
      </c>
    </row>
    <row r="19" spans="1:11">
      <c r="A19" s="28"/>
      <c r="B19" s="28"/>
      <c r="C19" s="27" t="s">
        <v>15</v>
      </c>
      <c r="D19" s="33">
        <f>SUBTOTAL(3,D8:D18)</f>
        <v>11</v>
      </c>
      <c r="E19" s="33">
        <f>SUBTOTAL(3,[Date de réception convention financière])</f>
        <v>11</v>
      </c>
      <c r="F19" s="33">
        <f>SUBTOTAL(3,[Date de réception AR kit])</f>
        <v>10</v>
      </c>
      <c r="G19" s="33">
        <f>SUBTOTAL(3,[Date de MEP])</f>
        <v>10</v>
      </c>
      <c r="H19" s="87">
        <f>SUBTOTAL(3,[Desistement])</f>
        <v>2</v>
      </c>
      <c r="I19" s="27">
        <f>SUBTOTAL(109,I8:I18)</f>
        <v>31</v>
      </c>
      <c r="J19" s="31"/>
      <c r="K19" s="32"/>
    </row>
    <row r="20" spans="1:11">
      <c r="D20" s="10"/>
      <c r="J20" s="10"/>
    </row>
    <row r="21" spans="1:11">
      <c r="C21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5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247</v>
      </c>
      <c r="N4" s="106" t="str">
        <f>$C$10</f>
        <v>BECCO Simone-Marie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247</v>
      </c>
      <c r="C10" s="42" t="s">
        <v>62</v>
      </c>
      <c r="D10" s="19">
        <v>1</v>
      </c>
      <c r="E10" s="25">
        <v>41744</v>
      </c>
      <c r="F10" s="25">
        <v>41753</v>
      </c>
      <c r="G10" s="25">
        <v>41753</v>
      </c>
      <c r="H10" s="25"/>
      <c r="I10" s="44" t="s">
        <v>57</v>
      </c>
      <c r="J10" s="25">
        <v>41756</v>
      </c>
      <c r="K10" s="25">
        <v>41795</v>
      </c>
      <c r="L10" s="25">
        <v>41815</v>
      </c>
      <c r="M10" s="25">
        <v>41816</v>
      </c>
      <c r="N10" s="25">
        <v>41864</v>
      </c>
      <c r="O10" s="25">
        <v>41753</v>
      </c>
      <c r="P10" s="25">
        <v>41795</v>
      </c>
      <c r="Q10" s="25">
        <v>42109</v>
      </c>
      <c r="R10" s="25">
        <v>41806</v>
      </c>
      <c r="S10" s="25">
        <v>41816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247</v>
      </c>
      <c r="C11" t="s">
        <v>62</v>
      </c>
      <c r="D11" s="19">
        <v>2</v>
      </c>
      <c r="E11" s="25">
        <v>41747</v>
      </c>
      <c r="F11" s="25">
        <v>41754</v>
      </c>
      <c r="G11" s="25">
        <v>41754</v>
      </c>
      <c r="I11" t="s">
        <v>57</v>
      </c>
      <c r="J11" s="25">
        <v>41759</v>
      </c>
      <c r="K11" s="25">
        <v>41960</v>
      </c>
      <c r="L11" s="25">
        <v>41818</v>
      </c>
      <c r="M11" s="25">
        <v>41960</v>
      </c>
      <c r="N11" s="25">
        <v>41867</v>
      </c>
      <c r="O11" s="25">
        <v>41779</v>
      </c>
      <c r="P11" s="25">
        <v>41795</v>
      </c>
      <c r="Q11" s="25">
        <v>42112</v>
      </c>
      <c r="R11" s="25">
        <v>41899</v>
      </c>
      <c r="S11" s="25">
        <v>41960</v>
      </c>
      <c r="T11" t="s">
        <v>61</v>
      </c>
      <c r="U11" s="12">
        <v>42306</v>
      </c>
    </row>
    <row r="12" spans="2:48">
      <c r="B12">
        <v>247</v>
      </c>
      <c r="C12" t="s">
        <v>62</v>
      </c>
      <c r="D12" s="19">
        <v>3</v>
      </c>
      <c r="E12" s="25">
        <v>41751</v>
      </c>
      <c r="F12" s="25">
        <v>41754</v>
      </c>
      <c r="G12" s="25">
        <v>41754</v>
      </c>
      <c r="I12" t="s">
        <v>57</v>
      </c>
      <c r="J12" s="25">
        <v>41763</v>
      </c>
      <c r="K12" s="25">
        <v>41816</v>
      </c>
      <c r="L12" s="25">
        <v>41822</v>
      </c>
      <c r="M12" s="25">
        <v>41816</v>
      </c>
      <c r="N12" s="25">
        <v>41871</v>
      </c>
      <c r="O12" s="25">
        <v>41757</v>
      </c>
      <c r="P12" s="25">
        <v>41795</v>
      </c>
      <c r="Q12" s="25">
        <v>42116</v>
      </c>
      <c r="R12" s="25">
        <v>41808</v>
      </c>
      <c r="S12" s="25">
        <v>41816</v>
      </c>
      <c r="T12" t="s">
        <v>61</v>
      </c>
      <c r="U12" s="12">
        <v>42306</v>
      </c>
    </row>
    <row r="13" spans="2:48">
      <c r="B13">
        <v>247</v>
      </c>
      <c r="C13" t="s">
        <v>62</v>
      </c>
      <c r="D13" s="19">
        <v>4</v>
      </c>
      <c r="E13" s="25">
        <v>41813</v>
      </c>
      <c r="F13" s="25">
        <v>41824</v>
      </c>
      <c r="G13" s="25">
        <v>41960</v>
      </c>
      <c r="I13" t="s">
        <v>57</v>
      </c>
      <c r="J13" s="25">
        <v>41825</v>
      </c>
      <c r="K13" s="25">
        <v>41960</v>
      </c>
      <c r="L13" s="25">
        <v>41884</v>
      </c>
      <c r="M13" s="25">
        <v>41960</v>
      </c>
      <c r="N13" s="25">
        <v>41933</v>
      </c>
      <c r="O13" s="25">
        <v>41820</v>
      </c>
      <c r="P13" s="25">
        <v>41824</v>
      </c>
      <c r="Q13" s="25">
        <v>42178</v>
      </c>
      <c r="R13" s="25">
        <v>41854</v>
      </c>
      <c r="S13" s="25">
        <v>42027</v>
      </c>
      <c r="T13" t="s">
        <v>61</v>
      </c>
      <c r="U13" s="12">
        <v>42306</v>
      </c>
    </row>
    <row r="14" spans="2:48">
      <c r="B14">
        <v>247</v>
      </c>
      <c r="C14" t="s">
        <v>62</v>
      </c>
      <c r="D14" s="19">
        <v>5</v>
      </c>
      <c r="E14" s="25">
        <v>41932</v>
      </c>
      <c r="F14" s="25">
        <v>41943</v>
      </c>
      <c r="G14" s="25">
        <v>41960</v>
      </c>
      <c r="I14" t="s">
        <v>57</v>
      </c>
      <c r="J14" s="25">
        <v>41944</v>
      </c>
      <c r="K14" s="25">
        <v>41943</v>
      </c>
      <c r="L14" s="25">
        <v>42003</v>
      </c>
      <c r="M14" s="25">
        <v>42027</v>
      </c>
      <c r="N14" s="25">
        <v>42052</v>
      </c>
      <c r="O14" s="25">
        <v>41939</v>
      </c>
      <c r="P14" s="25">
        <v>41943</v>
      </c>
      <c r="Q14" s="25">
        <v>42297</v>
      </c>
      <c r="T14" t="s">
        <v>61</v>
      </c>
      <c r="U14" s="12">
        <v>42306</v>
      </c>
    </row>
    <row r="15" spans="2:48">
      <c r="B15">
        <v>247</v>
      </c>
      <c r="C15" t="s">
        <v>62</v>
      </c>
      <c r="D15" s="19">
        <v>6</v>
      </c>
      <c r="E15" s="25">
        <v>41975</v>
      </c>
      <c r="F15" s="25">
        <v>41978</v>
      </c>
      <c r="G15" s="25">
        <v>42039</v>
      </c>
      <c r="I15" t="s">
        <v>57</v>
      </c>
      <c r="J15" s="25">
        <v>41987</v>
      </c>
      <c r="K15" s="25">
        <v>41984</v>
      </c>
      <c r="L15" s="25">
        <v>42046</v>
      </c>
      <c r="M15" s="25">
        <v>42039</v>
      </c>
      <c r="N15" s="25">
        <v>42095</v>
      </c>
      <c r="O15" s="25">
        <v>41982</v>
      </c>
      <c r="P15" s="25">
        <v>41984</v>
      </c>
      <c r="Q15" s="25">
        <v>42340</v>
      </c>
      <c r="R15" s="25">
        <v>42037</v>
      </c>
      <c r="S15" s="25">
        <v>42038</v>
      </c>
      <c r="T15" t="s">
        <v>61</v>
      </c>
      <c r="U15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F5" sqref="F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249</v>
      </c>
      <c r="N4" s="106" t="str">
        <f>$C$14</f>
        <v>CABARROT MOREAU Agnès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249</v>
      </c>
      <c r="C10" s="42" t="s">
        <v>64</v>
      </c>
      <c r="D10" s="19">
        <v>1</v>
      </c>
      <c r="E10" s="25">
        <v>41759</v>
      </c>
      <c r="F10" s="25">
        <v>41771</v>
      </c>
      <c r="G10" s="25">
        <v>41771</v>
      </c>
      <c r="H10" s="25">
        <v>41771</v>
      </c>
      <c r="I10" s="44" t="s">
        <v>80</v>
      </c>
      <c r="J10" s="25">
        <v>41771</v>
      </c>
      <c r="K10" s="25">
        <v>41830</v>
      </c>
      <c r="L10" s="25">
        <v>41830</v>
      </c>
      <c r="M10" s="25">
        <v>41830</v>
      </c>
      <c r="N10" s="25">
        <v>41879</v>
      </c>
      <c r="O10" s="25"/>
      <c r="P10" s="25">
        <v>41830</v>
      </c>
      <c r="Q10" s="25">
        <v>42124</v>
      </c>
      <c r="R10" s="25">
        <v>41927</v>
      </c>
      <c r="S10" s="25">
        <v>41929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249</v>
      </c>
      <c r="C11" s="73" t="s">
        <v>64</v>
      </c>
      <c r="D11" s="19">
        <v>2</v>
      </c>
      <c r="E11" s="25">
        <v>41781</v>
      </c>
      <c r="F11" s="25">
        <v>41782</v>
      </c>
      <c r="G11" s="25">
        <v>41782</v>
      </c>
      <c r="I11" s="74" t="s">
        <v>57</v>
      </c>
      <c r="J11" s="25">
        <v>41793</v>
      </c>
      <c r="K11" s="25">
        <v>41793</v>
      </c>
      <c r="L11" s="25">
        <v>41852</v>
      </c>
      <c r="M11" s="25">
        <v>41886</v>
      </c>
      <c r="N11" s="25">
        <v>41901</v>
      </c>
      <c r="O11" s="25">
        <v>41884</v>
      </c>
      <c r="P11" s="25">
        <v>41886</v>
      </c>
      <c r="Q11" s="25">
        <v>42146</v>
      </c>
      <c r="R11" s="25">
        <v>41969</v>
      </c>
      <c r="S11" s="25">
        <v>41971</v>
      </c>
      <c r="T11" s="73" t="s">
        <v>63</v>
      </c>
      <c r="U11" s="12">
        <v>42306</v>
      </c>
    </row>
    <row r="12" spans="2:48" ht="25.5">
      <c r="B12" s="72">
        <v>249</v>
      </c>
      <c r="C12" s="73" t="s">
        <v>64</v>
      </c>
      <c r="D12" s="19">
        <v>3</v>
      </c>
      <c r="E12" s="25">
        <v>41892</v>
      </c>
      <c r="F12" s="25">
        <v>41897</v>
      </c>
      <c r="G12" s="25">
        <v>41897</v>
      </c>
      <c r="H12" s="25">
        <v>41897</v>
      </c>
      <c r="I12" s="77" t="s">
        <v>81</v>
      </c>
      <c r="J12" s="25">
        <v>41904</v>
      </c>
      <c r="K12" s="25">
        <v>41920</v>
      </c>
      <c r="L12" s="25">
        <v>41963</v>
      </c>
      <c r="M12" s="25">
        <v>41976</v>
      </c>
      <c r="N12" s="25">
        <v>42012</v>
      </c>
      <c r="O12" s="25">
        <v>41915</v>
      </c>
      <c r="P12" s="25">
        <v>41919</v>
      </c>
      <c r="Q12" s="25">
        <v>42257</v>
      </c>
      <c r="R12" s="25">
        <v>42073</v>
      </c>
      <c r="S12" s="25">
        <v>42075</v>
      </c>
      <c r="T12" s="73" t="s">
        <v>63</v>
      </c>
      <c r="U12" s="12">
        <v>42306</v>
      </c>
    </row>
    <row r="13" spans="2:48" ht="25.5">
      <c r="B13" s="94">
        <v>249</v>
      </c>
      <c r="C13" s="95" t="s">
        <v>64</v>
      </c>
      <c r="D13" s="19">
        <v>4</v>
      </c>
      <c r="E13" s="25">
        <v>41968</v>
      </c>
      <c r="F13" s="25">
        <v>41971</v>
      </c>
      <c r="H13" s="25">
        <v>41983</v>
      </c>
      <c r="I13" s="77" t="s">
        <v>96</v>
      </c>
      <c r="J13" s="25">
        <v>41980</v>
      </c>
      <c r="K13" s="25">
        <v>41983</v>
      </c>
      <c r="L13" s="25">
        <v>42039</v>
      </c>
      <c r="M13" s="25">
        <v>42075</v>
      </c>
      <c r="N13" s="25">
        <v>42088</v>
      </c>
      <c r="O13" s="25">
        <v>41979</v>
      </c>
      <c r="P13" s="25">
        <v>41984</v>
      </c>
      <c r="Q13" s="25">
        <v>42333</v>
      </c>
      <c r="T13" s="95" t="s">
        <v>63</v>
      </c>
      <c r="U13" s="12">
        <v>42306</v>
      </c>
    </row>
    <row r="14" spans="2:48" ht="25.5">
      <c r="B14" s="94">
        <v>249</v>
      </c>
      <c r="C14" s="95" t="s">
        <v>64</v>
      </c>
      <c r="D14" s="19">
        <v>5</v>
      </c>
      <c r="E14" s="25">
        <v>41968</v>
      </c>
      <c r="F14" s="25">
        <v>41970</v>
      </c>
      <c r="I14" s="77" t="s">
        <v>57</v>
      </c>
      <c r="J14" s="25">
        <v>41980</v>
      </c>
      <c r="L14" s="25">
        <v>42039</v>
      </c>
      <c r="N14" s="25">
        <v>42088</v>
      </c>
      <c r="Q14" s="25">
        <v>42333</v>
      </c>
      <c r="T14" s="95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6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244</v>
      </c>
      <c r="N4" s="106" t="str">
        <f>$C$10</f>
        <v>CAMPOURCY Muriel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244</v>
      </c>
      <c r="C10" s="42" t="s">
        <v>66</v>
      </c>
      <c r="D10" s="19">
        <v>1</v>
      </c>
      <c r="E10" s="25">
        <v>41681</v>
      </c>
      <c r="F10" s="25">
        <v>41757</v>
      </c>
      <c r="G10" s="25"/>
      <c r="H10" s="25">
        <v>41746</v>
      </c>
      <c r="I10" s="44" t="s">
        <v>81</v>
      </c>
      <c r="J10" s="25">
        <v>41693</v>
      </c>
      <c r="K10" s="25">
        <v>41747</v>
      </c>
      <c r="L10" s="25">
        <v>41752</v>
      </c>
      <c r="M10" s="25">
        <v>41746</v>
      </c>
      <c r="N10" s="25">
        <v>41801</v>
      </c>
      <c r="O10" s="25">
        <v>41654</v>
      </c>
      <c r="P10" s="25">
        <v>41746</v>
      </c>
      <c r="Q10" s="25">
        <v>42046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244</v>
      </c>
      <c r="C11" t="s">
        <v>66</v>
      </c>
      <c r="D11" s="19">
        <v>2</v>
      </c>
      <c r="E11" s="25">
        <v>41744</v>
      </c>
      <c r="F11" s="25">
        <v>41753</v>
      </c>
      <c r="G11" s="25">
        <v>41753</v>
      </c>
      <c r="H11" s="25">
        <v>41746</v>
      </c>
      <c r="I11" t="s">
        <v>81</v>
      </c>
      <c r="J11" s="25">
        <v>41756</v>
      </c>
      <c r="K11" s="25">
        <v>41771</v>
      </c>
      <c r="L11" s="25">
        <v>41815</v>
      </c>
      <c r="N11" s="25">
        <v>41864</v>
      </c>
      <c r="O11" s="25">
        <v>41821</v>
      </c>
      <c r="P11" s="25">
        <v>41828</v>
      </c>
      <c r="Q11" s="25">
        <v>42109</v>
      </c>
      <c r="R11" s="25">
        <v>41915</v>
      </c>
      <c r="S11" s="25">
        <v>41957</v>
      </c>
      <c r="T11" t="s">
        <v>65</v>
      </c>
      <c r="U11" s="12">
        <v>42306</v>
      </c>
    </row>
    <row r="12" spans="2:48">
      <c r="B12">
        <v>244</v>
      </c>
      <c r="C12" t="s">
        <v>66</v>
      </c>
      <c r="D12" s="19">
        <v>3</v>
      </c>
      <c r="E12" s="25">
        <v>41753</v>
      </c>
      <c r="F12" s="25">
        <v>41757</v>
      </c>
      <c r="G12" s="25">
        <v>41757</v>
      </c>
      <c r="H12" s="25">
        <v>41757</v>
      </c>
      <c r="I12" t="s">
        <v>81</v>
      </c>
      <c r="J12" s="25">
        <v>41765</v>
      </c>
      <c r="K12" s="25">
        <v>41764</v>
      </c>
      <c r="L12" s="25">
        <v>41824</v>
      </c>
      <c r="M12" s="25">
        <v>41813</v>
      </c>
      <c r="N12" s="25">
        <v>41873</v>
      </c>
      <c r="O12" s="25">
        <v>41810</v>
      </c>
      <c r="P12" s="25">
        <v>41828</v>
      </c>
      <c r="Q12" s="25">
        <v>42118</v>
      </c>
      <c r="R12" s="25">
        <v>41982</v>
      </c>
      <c r="S12" s="25">
        <v>41996</v>
      </c>
      <c r="T12" t="s">
        <v>65</v>
      </c>
      <c r="U12" s="12">
        <v>42306</v>
      </c>
    </row>
    <row r="13" spans="2:48">
      <c r="B13">
        <v>244</v>
      </c>
      <c r="C13" t="s">
        <v>66</v>
      </c>
      <c r="D13" s="19">
        <v>4</v>
      </c>
      <c r="E13" s="25">
        <v>41780</v>
      </c>
      <c r="F13" s="25">
        <v>41782</v>
      </c>
      <c r="G13" s="25">
        <v>41782</v>
      </c>
      <c r="H13" s="25">
        <v>41782</v>
      </c>
      <c r="I13" t="s">
        <v>81</v>
      </c>
      <c r="J13" s="25">
        <v>41792</v>
      </c>
      <c r="K13" s="25">
        <v>41796</v>
      </c>
      <c r="L13" s="25">
        <v>41851</v>
      </c>
      <c r="M13" s="25">
        <v>41848</v>
      </c>
      <c r="N13" s="25">
        <v>41900</v>
      </c>
      <c r="O13" s="25">
        <v>41844</v>
      </c>
      <c r="P13" s="25">
        <v>41848</v>
      </c>
      <c r="Q13" s="25">
        <v>42145</v>
      </c>
      <c r="R13" s="25">
        <v>41919</v>
      </c>
      <c r="S13" s="25">
        <v>41957</v>
      </c>
      <c r="T13" t="s">
        <v>65</v>
      </c>
      <c r="U13" s="12">
        <v>42306</v>
      </c>
    </row>
    <row r="14" spans="2:48">
      <c r="B14">
        <v>244</v>
      </c>
      <c r="C14" t="s">
        <v>66</v>
      </c>
      <c r="D14" s="19">
        <v>5</v>
      </c>
      <c r="E14" s="25">
        <v>41793</v>
      </c>
      <c r="F14" s="25">
        <v>41796</v>
      </c>
      <c r="G14" s="25">
        <v>41796</v>
      </c>
      <c r="H14" s="25">
        <v>41795</v>
      </c>
      <c r="I14" t="s">
        <v>81</v>
      </c>
      <c r="J14" s="25">
        <v>41805</v>
      </c>
      <c r="K14" s="25">
        <v>41807</v>
      </c>
      <c r="L14" s="25">
        <v>41864</v>
      </c>
      <c r="M14" s="25">
        <v>41870</v>
      </c>
      <c r="N14" s="25">
        <v>41913</v>
      </c>
      <c r="O14" s="25">
        <v>41877</v>
      </c>
      <c r="P14" s="25">
        <v>41957</v>
      </c>
      <c r="Q14" s="25">
        <v>42158</v>
      </c>
      <c r="R14" s="25">
        <v>42019</v>
      </c>
      <c r="S14" s="25">
        <v>42024</v>
      </c>
      <c r="T14" t="s">
        <v>65</v>
      </c>
      <c r="U14" s="12">
        <v>42306</v>
      </c>
    </row>
    <row r="15" spans="2:48">
      <c r="B15">
        <v>244</v>
      </c>
      <c r="C15" t="s">
        <v>66</v>
      </c>
      <c r="D15" s="19">
        <v>6</v>
      </c>
      <c r="E15" s="25">
        <v>41962</v>
      </c>
      <c r="F15" s="25">
        <v>41968</v>
      </c>
      <c r="G15" s="25">
        <v>41968</v>
      </c>
      <c r="H15" s="25">
        <v>41968</v>
      </c>
      <c r="I15" t="s">
        <v>81</v>
      </c>
      <c r="J15" s="25">
        <v>41974</v>
      </c>
      <c r="K15" s="25">
        <v>42002</v>
      </c>
      <c r="L15" s="25">
        <v>42033</v>
      </c>
      <c r="M15" s="25">
        <v>42062</v>
      </c>
      <c r="N15" s="25">
        <v>42082</v>
      </c>
      <c r="Q15" s="25">
        <v>42327</v>
      </c>
      <c r="R15" s="25">
        <v>42075</v>
      </c>
      <c r="S15" s="25">
        <v>42080</v>
      </c>
      <c r="T15" t="s">
        <v>65</v>
      </c>
      <c r="U15" s="12">
        <v>42306</v>
      </c>
    </row>
    <row r="16" spans="2:48">
      <c r="B16">
        <v>244</v>
      </c>
      <c r="C16" t="s">
        <v>66</v>
      </c>
      <c r="D16" s="19">
        <v>7</v>
      </c>
      <c r="E16" s="25">
        <v>41968</v>
      </c>
      <c r="F16" s="25">
        <v>41971</v>
      </c>
      <c r="G16" s="25">
        <v>41971</v>
      </c>
      <c r="H16" s="25">
        <v>41971</v>
      </c>
      <c r="I16" t="s">
        <v>81</v>
      </c>
      <c r="J16" s="25">
        <v>41980</v>
      </c>
      <c r="K16" s="25">
        <v>42041</v>
      </c>
      <c r="L16" s="25">
        <v>42039</v>
      </c>
      <c r="M16" s="25">
        <v>42072</v>
      </c>
      <c r="N16" s="25">
        <v>42088</v>
      </c>
      <c r="O16" s="25">
        <v>42052</v>
      </c>
      <c r="P16" s="25">
        <v>42055</v>
      </c>
      <c r="Q16" s="25">
        <v>42333</v>
      </c>
      <c r="R16" s="25">
        <v>42165</v>
      </c>
      <c r="S16" s="25">
        <v>42170</v>
      </c>
      <c r="T16" t="s">
        <v>65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245</v>
      </c>
      <c r="N4" s="106" t="str">
        <f>$C$10</f>
        <v>DE CAPELE DE SAINT PASTOU Isabelle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245</v>
      </c>
      <c r="C10" s="42" t="s">
        <v>68</v>
      </c>
      <c r="D10" s="19">
        <v>1</v>
      </c>
      <c r="E10" s="25">
        <v>41743</v>
      </c>
      <c r="F10" s="25">
        <v>41746</v>
      </c>
      <c r="G10" s="25">
        <v>41802</v>
      </c>
      <c r="H10" s="25">
        <v>41746</v>
      </c>
      <c r="I10" s="44" t="s">
        <v>81</v>
      </c>
      <c r="J10" s="25">
        <v>41755</v>
      </c>
      <c r="K10" s="25">
        <v>41766</v>
      </c>
      <c r="L10" s="25">
        <v>41814</v>
      </c>
      <c r="M10" s="25">
        <v>41802</v>
      </c>
      <c r="N10" s="25">
        <v>41863</v>
      </c>
      <c r="O10" s="25">
        <v>41800</v>
      </c>
      <c r="P10" s="25">
        <v>41802</v>
      </c>
      <c r="Q10" s="25">
        <v>42108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245</v>
      </c>
      <c r="C11" t="s">
        <v>68</v>
      </c>
      <c r="D11" s="19">
        <v>2</v>
      </c>
      <c r="E11" s="25">
        <v>41745</v>
      </c>
      <c r="F11" s="25">
        <v>41751</v>
      </c>
      <c r="H11" s="25">
        <v>41751</v>
      </c>
      <c r="I11" t="s">
        <v>82</v>
      </c>
      <c r="J11" s="25">
        <v>41757</v>
      </c>
      <c r="K11" s="25">
        <v>41758</v>
      </c>
      <c r="L11" s="25">
        <v>41816</v>
      </c>
      <c r="M11" s="25">
        <v>41806</v>
      </c>
      <c r="N11" s="25">
        <v>41865</v>
      </c>
      <c r="O11" s="25">
        <v>41801</v>
      </c>
      <c r="P11" s="25">
        <v>41936</v>
      </c>
      <c r="Q11" s="25">
        <v>42110</v>
      </c>
      <c r="R11" s="25">
        <v>41967</v>
      </c>
      <c r="S11" s="25">
        <v>41969</v>
      </c>
      <c r="T11" t="s">
        <v>67</v>
      </c>
      <c r="U11" s="12">
        <v>42306</v>
      </c>
    </row>
    <row r="12" spans="2:48">
      <c r="B12">
        <v>245</v>
      </c>
      <c r="C12" t="s">
        <v>68</v>
      </c>
      <c r="D12" s="19">
        <v>3</v>
      </c>
      <c r="E12" s="25">
        <v>41750</v>
      </c>
      <c r="F12" s="25">
        <v>41753</v>
      </c>
      <c r="H12" s="25">
        <v>41753</v>
      </c>
      <c r="I12" t="s">
        <v>83</v>
      </c>
      <c r="J12" s="25">
        <v>41762</v>
      </c>
      <c r="K12" s="25">
        <v>41787</v>
      </c>
      <c r="L12" s="25">
        <v>41821</v>
      </c>
      <c r="M12" s="25">
        <v>41820</v>
      </c>
      <c r="N12" s="25">
        <v>41870</v>
      </c>
      <c r="O12" s="25">
        <v>41810</v>
      </c>
      <c r="P12" s="25">
        <v>41820</v>
      </c>
      <c r="Q12" s="25">
        <v>42115</v>
      </c>
      <c r="R12" s="25">
        <v>41967</v>
      </c>
      <c r="S12" s="25">
        <v>41969</v>
      </c>
      <c r="T12" t="s">
        <v>67</v>
      </c>
      <c r="U12" s="12">
        <v>42306</v>
      </c>
    </row>
    <row r="13" spans="2:48">
      <c r="B13">
        <v>245</v>
      </c>
      <c r="C13" t="s">
        <v>68</v>
      </c>
      <c r="D13" s="19">
        <v>4</v>
      </c>
      <c r="E13" s="25">
        <v>41806</v>
      </c>
      <c r="F13" s="25">
        <v>41809</v>
      </c>
      <c r="G13" s="25">
        <v>41809</v>
      </c>
      <c r="H13" s="25">
        <v>41809</v>
      </c>
      <c r="I13" t="s">
        <v>81</v>
      </c>
      <c r="J13" s="25">
        <v>41818</v>
      </c>
      <c r="K13" s="25">
        <v>41831</v>
      </c>
      <c r="L13" s="25">
        <v>41877</v>
      </c>
      <c r="M13" s="25">
        <v>41879</v>
      </c>
      <c r="N13" s="25">
        <v>41926</v>
      </c>
      <c r="O13" s="25">
        <v>41876</v>
      </c>
      <c r="P13" s="25">
        <v>41879</v>
      </c>
      <c r="Q13" s="25">
        <v>42171</v>
      </c>
      <c r="R13" s="25">
        <v>41966</v>
      </c>
      <c r="S13" s="25">
        <v>41969</v>
      </c>
      <c r="T13" t="s">
        <v>67</v>
      </c>
      <c r="U13" s="12">
        <v>42306</v>
      </c>
    </row>
    <row r="14" spans="2:48">
      <c r="B14">
        <v>245</v>
      </c>
      <c r="C14" t="s">
        <v>68</v>
      </c>
      <c r="D14" s="19">
        <v>5</v>
      </c>
      <c r="E14" s="25">
        <v>41785</v>
      </c>
      <c r="F14" s="25">
        <v>41787</v>
      </c>
      <c r="H14" s="25">
        <v>41792</v>
      </c>
      <c r="I14" t="s">
        <v>81</v>
      </c>
      <c r="J14" s="25">
        <v>41797</v>
      </c>
      <c r="K14" s="25">
        <v>41831</v>
      </c>
      <c r="L14" s="25">
        <v>41856</v>
      </c>
      <c r="M14" s="25">
        <v>41859</v>
      </c>
      <c r="N14" s="25">
        <v>41905</v>
      </c>
      <c r="O14" s="25">
        <v>41857</v>
      </c>
      <c r="P14" s="25">
        <v>41859</v>
      </c>
      <c r="Q14" s="25">
        <v>42150</v>
      </c>
      <c r="R14" s="25">
        <v>41967</v>
      </c>
      <c r="S14" s="25">
        <v>41969</v>
      </c>
      <c r="T14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K25" sqref="K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7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79" t="s">
        <v>17</v>
      </c>
      <c r="M4" s="63">
        <f>$B$12</f>
        <v>251</v>
      </c>
      <c r="N4" s="106" t="str">
        <f>$C$12</f>
        <v>FONTAN-CASSARD Geneviève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1" t="s">
        <v>32</v>
      </c>
      <c r="M8" s="81" t="s">
        <v>31</v>
      </c>
      <c r="N8" s="80" t="s">
        <v>33</v>
      </c>
      <c r="O8" s="80" t="s">
        <v>34</v>
      </c>
      <c r="P8" s="8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251</v>
      </c>
      <c r="C10" s="42" t="s">
        <v>79</v>
      </c>
      <c r="D10" s="19">
        <v>1</v>
      </c>
      <c r="E10" s="25">
        <v>41830</v>
      </c>
      <c r="F10" s="25">
        <v>41841</v>
      </c>
      <c r="G10" s="25">
        <v>41841</v>
      </c>
      <c r="H10" s="25">
        <v>41841</v>
      </c>
      <c r="I10" s="74" t="s">
        <v>81</v>
      </c>
      <c r="J10" s="25">
        <v>41842</v>
      </c>
      <c r="K10" s="25">
        <v>41841</v>
      </c>
      <c r="L10" s="25">
        <v>41901</v>
      </c>
      <c r="M10" s="25">
        <v>41901</v>
      </c>
      <c r="N10" s="25">
        <v>41950</v>
      </c>
      <c r="O10" s="25">
        <v>41898</v>
      </c>
      <c r="P10" s="25">
        <v>41901</v>
      </c>
      <c r="Q10" s="25">
        <v>42195</v>
      </c>
      <c r="R10" s="25"/>
      <c r="S10" s="25"/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43">
        <v>251</v>
      </c>
      <c r="C11" s="82" t="s">
        <v>79</v>
      </c>
      <c r="D11" s="19">
        <v>2</v>
      </c>
      <c r="E11" s="25">
        <v>41870</v>
      </c>
      <c r="F11" s="25">
        <v>41876</v>
      </c>
      <c r="G11" s="25">
        <v>41876</v>
      </c>
      <c r="H11" s="25">
        <v>41876</v>
      </c>
      <c r="I11" s="74" t="s">
        <v>81</v>
      </c>
      <c r="J11" s="25">
        <v>41882</v>
      </c>
      <c r="K11" s="25">
        <v>41883</v>
      </c>
      <c r="L11" s="25">
        <v>41941</v>
      </c>
      <c r="M11" s="25">
        <v>41936</v>
      </c>
      <c r="N11" s="25">
        <v>41990</v>
      </c>
      <c r="O11" s="25">
        <v>41879</v>
      </c>
      <c r="P11" s="25">
        <v>41890</v>
      </c>
      <c r="Q11" s="25">
        <v>42235</v>
      </c>
      <c r="R11" s="25">
        <v>41932</v>
      </c>
      <c r="S11" s="25">
        <v>41936</v>
      </c>
      <c r="T11" s="82" t="s">
        <v>78</v>
      </c>
      <c r="U11" s="12">
        <v>42306</v>
      </c>
    </row>
    <row r="12" spans="2:48" ht="38.25">
      <c r="B12" s="43">
        <v>251</v>
      </c>
      <c r="C12" s="82" t="s">
        <v>79</v>
      </c>
      <c r="D12" s="19">
        <v>3</v>
      </c>
      <c r="I12" s="74" t="s">
        <v>57</v>
      </c>
      <c r="T12" s="82" t="s">
        <v>78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>
      <selection activeCell="I19" sqref="I1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9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97" t="s">
        <v>17</v>
      </c>
      <c r="M4" s="63">
        <f>$B$12</f>
        <v>383</v>
      </c>
      <c r="N4" s="106" t="str">
        <f>$C$12</f>
        <v>GADROY Agnès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9" t="s">
        <v>32</v>
      </c>
      <c r="M8" s="99" t="s">
        <v>31</v>
      </c>
      <c r="N8" s="98" t="s">
        <v>33</v>
      </c>
      <c r="O8" s="98" t="s">
        <v>34</v>
      </c>
      <c r="P8" s="9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383</v>
      </c>
      <c r="C10" s="42" t="s">
        <v>91</v>
      </c>
      <c r="D10" s="19">
        <v>1</v>
      </c>
      <c r="E10" s="25">
        <v>41963</v>
      </c>
      <c r="F10" s="25">
        <v>41967</v>
      </c>
      <c r="G10" s="25">
        <v>41967</v>
      </c>
      <c r="H10" s="25">
        <v>41967</v>
      </c>
      <c r="I10" s="77" t="s">
        <v>93</v>
      </c>
      <c r="J10" s="25">
        <v>41975</v>
      </c>
      <c r="K10" s="25">
        <v>41997</v>
      </c>
      <c r="L10" s="25">
        <v>42034</v>
      </c>
      <c r="M10" s="25">
        <v>42054</v>
      </c>
      <c r="N10" s="25">
        <v>42083</v>
      </c>
      <c r="O10" s="25"/>
      <c r="P10" s="25"/>
      <c r="Q10" s="25">
        <v>42328</v>
      </c>
      <c r="R10" s="25"/>
      <c r="S10" s="25"/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0">
        <v>383</v>
      </c>
      <c r="C11" s="101" t="s">
        <v>91</v>
      </c>
      <c r="D11" s="19">
        <v>2</v>
      </c>
      <c r="I11" s="77" t="s">
        <v>57</v>
      </c>
      <c r="T11" s="101" t="s">
        <v>90</v>
      </c>
      <c r="U11" s="12">
        <v>42306</v>
      </c>
    </row>
    <row r="12" spans="2:48" ht="25.5">
      <c r="B12" s="100">
        <v>383</v>
      </c>
      <c r="C12" s="101" t="s">
        <v>91</v>
      </c>
      <c r="D12" s="19">
        <v>3</v>
      </c>
      <c r="I12" s="77" t="s">
        <v>57</v>
      </c>
      <c r="T12" s="101" t="s">
        <v>90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248</v>
      </c>
      <c r="N4" s="106" t="str">
        <f>$C$12</f>
        <v>GALONIER GIRET Nathalie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248</v>
      </c>
      <c r="C10" s="42" t="s">
        <v>70</v>
      </c>
      <c r="D10" s="19">
        <v>1</v>
      </c>
      <c r="E10" s="25">
        <v>41722</v>
      </c>
      <c r="F10" s="25">
        <v>41821</v>
      </c>
      <c r="G10" s="25">
        <v>41821</v>
      </c>
      <c r="H10" s="25"/>
      <c r="I10" s="74" t="s">
        <v>57</v>
      </c>
      <c r="J10" s="25">
        <v>41734</v>
      </c>
      <c r="K10" s="25">
        <v>41821</v>
      </c>
      <c r="L10" s="25">
        <v>41793</v>
      </c>
      <c r="M10" s="25">
        <v>41821</v>
      </c>
      <c r="N10" s="25">
        <v>41842</v>
      </c>
      <c r="O10" s="25"/>
      <c r="P10" s="25"/>
      <c r="Q10" s="25">
        <v>42087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5">
        <v>248</v>
      </c>
      <c r="C11" s="76" t="s">
        <v>70</v>
      </c>
      <c r="D11" s="19">
        <v>2</v>
      </c>
      <c r="E11" s="25">
        <v>41816</v>
      </c>
      <c r="F11" s="25">
        <v>41883</v>
      </c>
      <c r="I11" s="74" t="s">
        <v>57</v>
      </c>
      <c r="J11" s="25">
        <v>41828</v>
      </c>
      <c r="K11" s="25">
        <v>41827</v>
      </c>
      <c r="L11" s="25">
        <v>41887</v>
      </c>
      <c r="N11" s="25">
        <v>41936</v>
      </c>
      <c r="O11" s="25">
        <v>41823</v>
      </c>
      <c r="P11" s="25">
        <v>41827</v>
      </c>
      <c r="Q11" s="25">
        <v>42181</v>
      </c>
      <c r="T11" s="76" t="s">
        <v>69</v>
      </c>
      <c r="U11" s="12">
        <v>42306</v>
      </c>
    </row>
    <row r="12" spans="2:48" ht="25.5">
      <c r="B12" s="75">
        <v>248</v>
      </c>
      <c r="C12" s="76" t="s">
        <v>70</v>
      </c>
      <c r="D12" s="19">
        <v>3</v>
      </c>
      <c r="E12" s="25">
        <v>41942</v>
      </c>
      <c r="F12" s="25">
        <v>41957</v>
      </c>
      <c r="G12" s="25">
        <v>41957</v>
      </c>
      <c r="I12" s="74" t="s">
        <v>57</v>
      </c>
      <c r="J12" s="25">
        <v>41954</v>
      </c>
      <c r="L12" s="25">
        <v>42013</v>
      </c>
      <c r="N12" s="25">
        <v>42062</v>
      </c>
      <c r="Q12" s="25">
        <v>42307</v>
      </c>
      <c r="T12" s="76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8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89" t="s">
        <v>17</v>
      </c>
      <c r="M4" s="63">
        <f>$B$12</f>
        <v>327</v>
      </c>
      <c r="N4" s="106" t="str">
        <f>$C$12</f>
        <v>MIRER Ewa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1" t="s">
        <v>32</v>
      </c>
      <c r="M8" s="91" t="s">
        <v>31</v>
      </c>
      <c r="N8" s="90" t="s">
        <v>33</v>
      </c>
      <c r="O8" s="90" t="s">
        <v>34</v>
      </c>
      <c r="P8" s="9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327</v>
      </c>
      <c r="C10" s="42" t="s">
        <v>87</v>
      </c>
      <c r="D10" s="19">
        <v>1</v>
      </c>
      <c r="E10" s="25"/>
      <c r="F10" s="25"/>
      <c r="G10" s="25"/>
      <c r="H10" s="25"/>
      <c r="I10" s="77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327</v>
      </c>
      <c r="C11" s="82" t="s">
        <v>87</v>
      </c>
      <c r="D11" s="19">
        <v>2</v>
      </c>
      <c r="E11" s="25">
        <v>41983</v>
      </c>
      <c r="F11" s="25">
        <v>42080</v>
      </c>
      <c r="G11" s="25">
        <v>42080</v>
      </c>
      <c r="H11" s="25">
        <v>42080</v>
      </c>
      <c r="I11" s="77" t="s">
        <v>97</v>
      </c>
      <c r="J11" s="25">
        <v>41995</v>
      </c>
      <c r="K11" s="25">
        <v>42051</v>
      </c>
      <c r="L11" s="25">
        <v>42054</v>
      </c>
      <c r="M11" s="25">
        <v>42051</v>
      </c>
      <c r="N11" s="25">
        <v>42103</v>
      </c>
      <c r="Q11" s="25">
        <v>42348</v>
      </c>
      <c r="T11" s="82" t="s">
        <v>86</v>
      </c>
      <c r="U11" s="12">
        <v>42306</v>
      </c>
    </row>
    <row r="12" spans="2:48" ht="25.5">
      <c r="B12" s="43">
        <v>327</v>
      </c>
      <c r="C12" s="82" t="s">
        <v>87</v>
      </c>
      <c r="D12" s="19">
        <v>3</v>
      </c>
      <c r="I12" s="77" t="s">
        <v>57</v>
      </c>
      <c r="T12" s="82" t="s">
        <v>86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250</v>
      </c>
      <c r="N4" s="106" t="str">
        <f>$C$12</f>
        <v>PERIOLE Bruno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250</v>
      </c>
      <c r="C10" s="42" t="s">
        <v>75</v>
      </c>
      <c r="D10" s="19">
        <v>1</v>
      </c>
      <c r="E10" s="25">
        <v>41907</v>
      </c>
      <c r="F10" s="25">
        <v>41928</v>
      </c>
      <c r="G10" s="25">
        <v>41928</v>
      </c>
      <c r="H10" s="25">
        <v>41928</v>
      </c>
      <c r="I10" s="74" t="s">
        <v>92</v>
      </c>
      <c r="J10" s="25">
        <v>41919</v>
      </c>
      <c r="K10" s="25"/>
      <c r="L10" s="25">
        <v>41978</v>
      </c>
      <c r="M10" s="25"/>
      <c r="N10" s="25">
        <v>42027</v>
      </c>
      <c r="O10" s="25"/>
      <c r="P10" s="25"/>
      <c r="Q10" s="25">
        <v>42272</v>
      </c>
      <c r="R10" s="25"/>
      <c r="S10" s="25"/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5">
        <v>250</v>
      </c>
      <c r="C11" s="76" t="s">
        <v>75</v>
      </c>
      <c r="D11" s="19">
        <v>2</v>
      </c>
      <c r="I11" s="77" t="s">
        <v>57</v>
      </c>
      <c r="T11" s="76" t="s">
        <v>76</v>
      </c>
      <c r="U11" s="12">
        <v>42306</v>
      </c>
    </row>
    <row r="12" spans="2:48" ht="25.5">
      <c r="B12" s="75">
        <v>250</v>
      </c>
      <c r="C12" s="76" t="s">
        <v>75</v>
      </c>
      <c r="D12" s="19">
        <v>3</v>
      </c>
      <c r="I12" s="77" t="s">
        <v>57</v>
      </c>
      <c r="T12" s="76" t="s">
        <v>76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246</v>
      </c>
      <c r="N4" s="106" t="str">
        <f>$C$10</f>
        <v>REBERGA Sylvain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246</v>
      </c>
      <c r="C10" s="42" t="s">
        <v>72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246</v>
      </c>
      <c r="C11" t="s">
        <v>72</v>
      </c>
      <c r="D11" s="19">
        <v>2</v>
      </c>
      <c r="I11" t="s">
        <v>57</v>
      </c>
      <c r="T11" t="s">
        <v>71</v>
      </c>
      <c r="U11" s="12">
        <v>42306</v>
      </c>
    </row>
    <row r="12" spans="2:48">
      <c r="B12">
        <v>246</v>
      </c>
      <c r="C12" t="s">
        <v>72</v>
      </c>
      <c r="D12" s="19">
        <v>3</v>
      </c>
      <c r="I12" t="s">
        <v>57</v>
      </c>
      <c r="T12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0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0</v>
      </c>
      <c r="N4" s="106" t="str">
        <f>$C$10</f>
        <v>SAMALENS Geneviève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C10" s="42" t="s">
        <v>74</v>
      </c>
      <c r="D10" s="19"/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Secteur DE0407</vt:lpstr>
      <vt:lpstr>00621980</vt:lpstr>
      <vt:lpstr>01521513</vt:lpstr>
      <vt:lpstr>01592653</vt:lpstr>
      <vt:lpstr>02609171</vt:lpstr>
      <vt:lpstr>03564436</vt:lpstr>
      <vt:lpstr>03351719</vt:lpstr>
      <vt:lpstr>03774881</vt:lpstr>
      <vt:lpstr>06601677</vt:lpstr>
      <vt:lpstr>07252356</vt:lpstr>
      <vt:lpstr>07726005</vt:lpstr>
      <vt:lpstr>08236075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2015-10-29T22:03:19Z</dcterms:modified>
</cp:coreProperties>
</file>