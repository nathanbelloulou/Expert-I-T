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208" sheetId="1" r:id="rId1"/>
    <sheet name="00210180" sheetId="7" r:id="rId2"/>
    <sheet name="01052513" sheetId="2" r:id="rId3"/>
    <sheet name="01144157" sheetId="8" r:id="rId4"/>
    <sheet name="04088537" sheetId="3" r:id="rId5"/>
    <sheet name="07198765" sheetId="4" r:id="rId6"/>
    <sheet name="07387135" sheetId="10" r:id="rId7"/>
    <sheet name="07909703" sheetId="6" r:id="rId8"/>
    <sheet name="08549485" sheetId="5" r:id="rId9"/>
    <sheet name="00865222" sheetId="9" r:id="rId10"/>
  </sheets>
  <definedNames>
    <definedName name="Lancer_la_requête_à_partir_de_MS_Access_Database" localSheetId="1" hidden="1">'00210180'!$B$9:$U$12</definedName>
    <definedName name="Lancer_la_requête_à_partir_de_MS_Access_Database" localSheetId="9" hidden="1">'00865222'!$B$9:$U$12</definedName>
    <definedName name="Lancer_la_requête_à_partir_de_MS_Access_Database" localSheetId="2" hidden="1">'01052513'!$B$9:$U$12</definedName>
    <definedName name="Lancer_la_requête_à_partir_de_MS_Access_Database" localSheetId="3" hidden="1">'01144157'!$B$9:$U$12</definedName>
    <definedName name="Lancer_la_requête_à_partir_de_MS_Access_Database" localSheetId="4" hidden="1">'04088537'!$B$9:$U$12</definedName>
    <definedName name="Lancer_la_requête_à_partir_de_MS_Access_Database" localSheetId="5" hidden="1">'07198765'!$B$9:$U$12</definedName>
    <definedName name="Lancer_la_requête_à_partir_de_MS_Access_Database" localSheetId="6" hidden="1">'07387135'!$B$9:$U$12</definedName>
    <definedName name="Lancer_la_requête_à_partir_de_MS_Access_Database" localSheetId="7" hidden="1">'07909703'!$B$9:$U$12</definedName>
    <definedName name="Lancer_la_requête_à_partir_de_MS_Access_Database" localSheetId="8" hidden="1">'08549485'!$B$9:$U$12</definedName>
    <definedName name="Lancer_la_requête_à_partir_de_MS_Access_Database_1" localSheetId="0" hidden="1">'Secteur DE0208'!$A$7:$K$16</definedName>
  </definedNames>
  <calcPr calcId="125725"/>
</workbook>
</file>

<file path=xl/calcChain.xml><?xml version="1.0" encoding="utf-8"?>
<calcChain xmlns="http://schemas.openxmlformats.org/spreadsheetml/2006/main">
  <c r="D17" i="1"/>
  <c r="E17"/>
  <c r="F17"/>
  <c r="G17"/>
  <c r="H17"/>
  <c r="I17"/>
  <c r="N4" i="10"/>
  <c r="M4"/>
  <c r="F4"/>
  <c r="N4" i="9"/>
  <c r="M4"/>
  <c r="F4"/>
  <c r="N4" i="8"/>
  <c r="M4"/>
  <c r="F4"/>
  <c r="N4" i="7"/>
  <c r="M4"/>
  <c r="F4"/>
  <c r="N4" i="6" l="1"/>
  <c r="M4"/>
  <c r="F4"/>
  <c r="N4" i="5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208')_x000d__x000a_ORDER BY Req_REPORT_SECTEURS_GLOBAL.Medecin"/>
  </connection>
  <connection id="2" name="Lancer la requête à partir de MS Access Database0021018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210180')"/>
  </connection>
  <connection id="3" name="Lancer la requête à partir de MS Access Database0086522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865222')"/>
  </connection>
  <connection id="4" name="Lancer la requête à partir de MS Access Database0105251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052513')"/>
  </connection>
  <connection id="5" name="Lancer la requête à partir de MS Access Database0114415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144157')"/>
  </connection>
  <connection id="6" name="Lancer la requête à partir de MS Access Database0408853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088537')"/>
  </connection>
  <connection id="7" name="Lancer la requête à partir de MS Access Database0719876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198765')"/>
  </connection>
  <connection id="8" name="Lancer la requête à partir de MS Access Database0738713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387135')"/>
  </connection>
  <connection id="9" name="Lancer la requête à partir de MS Access Database0790970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909703')"/>
  </connection>
  <connection id="10" name="Lancer la requête à partir de MS Access Database0854948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549485')"/>
  </connection>
</connections>
</file>

<file path=xl/sharedStrings.xml><?xml version="1.0" encoding="utf-8"?>
<sst xmlns="http://schemas.openxmlformats.org/spreadsheetml/2006/main" count="551" uniqueCount="90">
  <si>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</si>
  <si>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</si>
  <si>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</si>
  <si>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</si>
  <si>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</si>
  <si>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</si>
  <si>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</si>
  <si>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</si>
  <si>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</si>
  <si>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</si>
  <si>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</si>
  <si>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</si>
  <si>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</si>
  <si>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</si>
  <si>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</si>
  <si>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</si>
  <si>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</si>
  <si>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</si>
  <si>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</si>
  <si>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</si>
  <si>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</si>
  <si>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</si>
  <si>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</si>
  <si>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</si>
  <si>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</si>
  <si>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</si>
  <si>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</si>
  <si>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</si>
  <si>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</si>
  <si>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</si>
  <si>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</si>
  <si>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</si>
  <si>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</si>
  <si>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</si>
  <si>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</si>
  <si>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</si>
  <si>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</si>
  <si>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</si>
  <si>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</si>
  <si>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</si>
  <si>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</si>
  <si>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</si>
  <si>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</si>
  <si>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</si>
  <si>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</si>
  <si>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</si>
  <si>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</si>
  <si>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</si>
  <si>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</si>
  <si>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</si>
  <si>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</si>
  <si>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</si>
  <si>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</si>
  <si>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</si>
  <si>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</si>
  <si>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</si>
  <si>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</si>
  <si>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</si>
  <si>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</si>
  <si>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DE0208</t>
  </si>
  <si>
    <t>RONDEAU André</t>
  </si>
  <si>
    <t>WFRM01052513</t>
  </si>
  <si>
    <t>BARTHES ANIDJAR Laura</t>
  </si>
  <si>
    <t>WFRM04088537</t>
  </si>
  <si>
    <t>GENER Gwendeline</t>
  </si>
  <si>
    <t>WFRM07198765</t>
  </si>
  <si>
    <t>PERREAU Evelyne</t>
  </si>
  <si>
    <t>WFRM08549485</t>
  </si>
  <si>
    <t>SOLYGA Bénédicte</t>
  </si>
  <si>
    <t>ROBBIOLA Odile</t>
  </si>
  <si>
    <t>WFRM07909703</t>
  </si>
  <si>
    <t>WFRM00210180</t>
  </si>
  <si>
    <t>ARMAGAN Yercanik</t>
  </si>
  <si>
    <t>26juin: envoi inclusion patient 2 avant le patient 1 car cette dernière a débuté son traitement bien après et ne savait pas si souhaitait continuer l'étude</t>
  </si>
  <si>
    <t>Via médecin</t>
  </si>
  <si>
    <t>SMS - Mail</t>
  </si>
  <si>
    <t>SMS - Téléphone</t>
  </si>
  <si>
    <t>02sept: relance à faire patient 1 car n'a pas renvoyé son auto-questionnaire 2 mois</t>
  </si>
  <si>
    <t>10sept: Difficulté d'inclure des patiens agés mais va faire son maximum pour en inclure. Selon elle, les patients preferent l'azote à la crème.</t>
  </si>
  <si>
    <t>24sept:Dr ne souhaite pas en inclure d'autres, car à peur de manquer de temps.</t>
  </si>
  <si>
    <t>WFRM01144157</t>
  </si>
  <si>
    <t>BASTIEN JACQUIN Marie</t>
  </si>
  <si>
    <t>PLAQUET Jean-Luc</t>
  </si>
  <si>
    <t>WFRM00865222</t>
  </si>
  <si>
    <t>ZEITOUN Michèle</t>
  </si>
  <si>
    <t>WFRM07387135</t>
  </si>
  <si>
    <t>Téléphone</t>
  </si>
  <si>
    <t>Mail</t>
  </si>
  <si>
    <t>Téléphone - Via médecin</t>
  </si>
  <si>
    <t>SMS</t>
  </si>
</sst>
</file>

<file path=xl/styles.xml><?xml version="1.0" encoding="utf-8"?>
<styleSheet xmlns="http://schemas.openxmlformats.org/spreadsheetml/2006/main">
  <numFmts count="1">
    <numFmt numFmtId="164" formatCode="dd/mm/yy;@"/>
  </numFmts>
  <fonts count="26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15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164" fontId="0" fillId="0" borderId="0" xfId="0" applyNumberFormat="1" applyAlignment="1">
      <alignment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222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221"/>
      <tableStyleElement type="headerRow" dxfId="220"/>
      <tableStyleElement type="totalRow" dxfId="219"/>
      <tableStyleElement type="firstColumn" dxfId="218"/>
      <tableStyleElement type="lastColumn" dxfId="217"/>
      <tableStyleElement type="firstRowStripe" dxfId="216"/>
      <tableStyleElement type="secondRowStripe" dxfId="215"/>
      <tableStyleElement type="firstColumnStripe" dxfId="214"/>
      <tableStyleElement type="secondColumnStripe" dxfId="213"/>
    </tableStyle>
    <tableStyle name="TableStyleLight8 2" pivot="0" count="9">
      <tableStyleElement type="wholeTable" dxfId="212"/>
      <tableStyleElement type="headerRow" dxfId="211"/>
      <tableStyleElement type="totalRow" dxfId="210"/>
      <tableStyleElement type="firstColumn" dxfId="209"/>
      <tableStyleElement type="lastColumn" dxfId="208"/>
      <tableStyleElement type="firstRowStripe" dxfId="207"/>
      <tableStyleElement type="secondRowStripe" dxfId="206"/>
      <tableStyleElement type="firstColumnStripe" dxfId="205"/>
      <tableStyleElement type="secondColumnStripe" dxfId="204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K17" tableType="queryTable" totalsRowCount="1" headerRowDxfId="203" dataDxfId="202">
  <tableColumns count="11">
    <tableColumn id="1" uniqueName="1" name="Code Secteur" queryTableFieldId="1" dataDxfId="190" totalsRowDxfId="191"/>
    <tableColumn id="2" uniqueName="2" name="VM" queryTableFieldId="2" dataDxfId="189" totalsRowDxfId="192"/>
    <tableColumn id="3" uniqueName="3" name="Code médecin" totalsRowLabel="TOTAL" queryTableFieldId="3" dataDxfId="188" totalsRowDxfId="193" dataCellStyle="Lien hypertexte"/>
    <tableColumn id="4" uniqueName="4" name="Medecin" totalsRowFunction="custom" queryTableFieldId="4" dataDxfId="187" totalsRowDxfId="194">
      <totalsRowFormula>SUBTOTAL(3,D8:D16)</totalsRowFormula>
    </tableColumn>
    <tableColumn id="5" uniqueName="5" name="Date de réception convention financière" totalsRowFunction="custom" queryTableFieldId="5" dataDxfId="186" totalsRowDxfId="195">
      <totalsRowFormula>SUBTOTAL(3,[Date de réception convention financière])</totalsRowFormula>
    </tableColumn>
    <tableColumn id="6" uniqueName="6" name="Date de réception AR kit" totalsRowFunction="custom" queryTableFieldId="6" dataDxfId="185" totalsRowDxfId="196">
      <totalsRowFormula>SUBTOTAL(3,[Date de réception AR kit])</totalsRowFormula>
    </tableColumn>
    <tableColumn id="7" uniqueName="7" name="Date de MEP" totalsRowFunction="custom" queryTableFieldId="7" dataDxfId="184" totalsRowDxfId="197">
      <totalsRowFormula>SUBTOTAL(3,[Date de MEP])</totalsRowFormula>
    </tableColumn>
    <tableColumn id="8" uniqueName="8" name="Desistement" totalsRowFunction="custom" queryTableFieldId="8" dataDxfId="183" totalsRowDxfId="198">
      <totalsRowFormula>SUBTOTAL(3,[Desistement])</totalsRowFormula>
    </tableColumn>
    <tableColumn id="9" uniqueName="9" name="Nb Total Patients inclus" totalsRowFunction="custom" queryTableFieldId="9" dataDxfId="182" totalsRowDxfId="199">
      <totalsRowFormula>SUBTOTAL(109,I8:I16)</totalsRowFormula>
    </tableColumn>
    <tableColumn id="10" uniqueName="10" name="Comptes-rendus contact médecin-GECEM" queryTableFieldId="10" dataDxfId="181" totalsRowDxfId="200"/>
    <tableColumn id="11" uniqueName="11" name="Date" queryTableFieldId="11" dataDxfId="180" totalsRowDxfId="201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7" name="Tableau_Lancer_la_requête_à_partir_de_MS_Access_Database4568" displayName="Tableau_Lancer_la_requête_à_partir_de_MS_Access_Database4568" ref="B9:U12" tableType="queryTable" totalsRowShown="0">
  <autoFilter ref="B9:U12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1" name="Tableau_Lancer_la_requête_à_partir_de_MS_Access_Database" displayName="Tableau_Lancer_la_requête_à_partir_de_MS_Access_Database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8" name="Tableau_Lancer_la_requête_à_partir_de_MS_Access_Database9" displayName="Tableau_Lancer_la_requête_à_partir_de_MS_Access_Database9" ref="B9:U12" tableType="queryTable" totalsRowShown="0">
  <autoFilter ref="B9:U12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3" name="Tableau_Lancer_la_requête_à_partir_de_MS_Access_Database4" displayName="Tableau_Lancer_la_requête_à_partir_de_MS_Access_Database4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autoFilter ref="B9:U12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10" name="Tableau_Lancer_la_requête_à_partir_de_MS_Access_Database456711" displayName="Tableau_Lancer_la_requête_à_partir_de_MS_Access_Database456711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9" name="Tableau_Lancer_la_requête_à_partir_de_MS_Access_Database45610" displayName="Tableau_Lancer_la_requête_à_partir_de_MS_Access_Database45610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19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$A$16</f>
        <v>DE0208</v>
      </c>
      <c r="G2" s="98" t="str">
        <f>$B$16</f>
        <v>RONDEAU André</v>
      </c>
      <c r="H2" s="98"/>
      <c r="I2" s="98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$K$16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</row>
    <row r="8" spans="1:17" s="80" customFormat="1" ht="30">
      <c r="A8" s="80" t="s">
        <v>59</v>
      </c>
      <c r="B8" s="80" t="s">
        <v>60</v>
      </c>
      <c r="C8" s="81" t="s">
        <v>71</v>
      </c>
      <c r="D8" s="73" t="s">
        <v>72</v>
      </c>
      <c r="E8" s="16">
        <v>41781</v>
      </c>
      <c r="F8" s="16">
        <v>41800</v>
      </c>
      <c r="G8" s="16">
        <v>41796</v>
      </c>
      <c r="H8" s="16"/>
      <c r="I8" s="15">
        <v>3</v>
      </c>
      <c r="J8" s="73" t="s">
        <v>77</v>
      </c>
      <c r="K8" s="82">
        <v>42306</v>
      </c>
    </row>
    <row r="9" spans="1:17" s="80" customFormat="1">
      <c r="A9" s="80" t="s">
        <v>59</v>
      </c>
      <c r="B9" s="80" t="s">
        <v>60</v>
      </c>
      <c r="C9" s="81" t="s">
        <v>61</v>
      </c>
      <c r="D9" s="73" t="s">
        <v>62</v>
      </c>
      <c r="E9" s="16">
        <v>41726</v>
      </c>
      <c r="F9" s="16">
        <v>41761</v>
      </c>
      <c r="G9" s="16">
        <v>41747</v>
      </c>
      <c r="H9" s="16"/>
      <c r="I9" s="15">
        <v>3</v>
      </c>
      <c r="J9" s="73"/>
      <c r="K9" s="82">
        <v>42306</v>
      </c>
    </row>
    <row r="10" spans="1:17" s="80" customFormat="1">
      <c r="A10" s="80" t="s">
        <v>59</v>
      </c>
      <c r="B10" s="80" t="s">
        <v>60</v>
      </c>
      <c r="C10" s="81" t="s">
        <v>80</v>
      </c>
      <c r="D10" s="83" t="s">
        <v>81</v>
      </c>
      <c r="E10" s="16">
        <v>41919</v>
      </c>
      <c r="F10" s="16">
        <v>41927</v>
      </c>
      <c r="G10" s="16">
        <v>41926</v>
      </c>
      <c r="H10" s="16"/>
      <c r="I10" s="15">
        <v>3</v>
      </c>
      <c r="J10" s="73"/>
      <c r="K10" s="82">
        <v>42306</v>
      </c>
    </row>
    <row r="11" spans="1:17" s="80" customFormat="1" ht="45">
      <c r="A11" s="80" t="s">
        <v>59</v>
      </c>
      <c r="B11" s="80" t="s">
        <v>60</v>
      </c>
      <c r="C11" s="81" t="s">
        <v>63</v>
      </c>
      <c r="D11" s="73" t="s">
        <v>64</v>
      </c>
      <c r="E11" s="16">
        <v>41722</v>
      </c>
      <c r="F11" s="16">
        <v>41761</v>
      </c>
      <c r="G11" s="16">
        <v>41758</v>
      </c>
      <c r="H11" s="16"/>
      <c r="I11" s="15">
        <v>1</v>
      </c>
      <c r="J11" s="73" t="s">
        <v>78</v>
      </c>
      <c r="K11" s="82">
        <v>42306</v>
      </c>
    </row>
    <row r="12" spans="1:17" s="80" customFormat="1" ht="30">
      <c r="A12" s="80" t="s">
        <v>59</v>
      </c>
      <c r="B12" s="80" t="s">
        <v>60</v>
      </c>
      <c r="C12" s="81" t="s">
        <v>65</v>
      </c>
      <c r="D12" s="83" t="s">
        <v>66</v>
      </c>
      <c r="E12" s="16">
        <v>41701</v>
      </c>
      <c r="F12" s="16">
        <v>41740</v>
      </c>
      <c r="G12" s="16">
        <v>41738</v>
      </c>
      <c r="H12" s="16"/>
      <c r="I12" s="15">
        <v>3</v>
      </c>
      <c r="J12" s="83" t="s">
        <v>79</v>
      </c>
      <c r="K12" s="82">
        <v>42306</v>
      </c>
    </row>
    <row r="13" spans="1:17" s="80" customFormat="1">
      <c r="A13" s="80" t="s">
        <v>59</v>
      </c>
      <c r="B13" s="80" t="s">
        <v>60</v>
      </c>
      <c r="C13" s="81" t="s">
        <v>85</v>
      </c>
      <c r="D13" s="83" t="s">
        <v>82</v>
      </c>
      <c r="E13" s="16">
        <v>41947</v>
      </c>
      <c r="F13" s="16">
        <v>41971</v>
      </c>
      <c r="G13" s="16">
        <v>41969</v>
      </c>
      <c r="H13" s="16"/>
      <c r="I13" s="15"/>
      <c r="J13" s="83"/>
      <c r="K13" s="82">
        <v>42306</v>
      </c>
    </row>
    <row r="14" spans="1:17" ht="45">
      <c r="A14" s="80" t="s">
        <v>59</v>
      </c>
      <c r="B14" s="80" t="s">
        <v>60</v>
      </c>
      <c r="C14" s="81" t="s">
        <v>70</v>
      </c>
      <c r="D14" s="83" t="s">
        <v>69</v>
      </c>
      <c r="E14" s="16">
        <v>41754</v>
      </c>
      <c r="F14" s="16">
        <v>41771</v>
      </c>
      <c r="G14" s="16">
        <v>41766</v>
      </c>
      <c r="H14" s="16"/>
      <c r="I14" s="15">
        <v>2</v>
      </c>
      <c r="J14" s="83" t="s">
        <v>73</v>
      </c>
      <c r="K14" s="82">
        <v>42306</v>
      </c>
    </row>
    <row r="15" spans="1:17">
      <c r="A15" s="80" t="s">
        <v>59</v>
      </c>
      <c r="B15" s="80" t="s">
        <v>60</v>
      </c>
      <c r="C15" s="81" t="s">
        <v>67</v>
      </c>
      <c r="D15" s="83" t="s">
        <v>68</v>
      </c>
      <c r="E15" s="16">
        <v>41705</v>
      </c>
      <c r="F15" s="16">
        <v>41745</v>
      </c>
      <c r="G15" s="16">
        <v>41743</v>
      </c>
      <c r="H15" s="16"/>
      <c r="I15" s="15">
        <v>3</v>
      </c>
      <c r="J15" s="83"/>
      <c r="K15" s="82">
        <v>42306</v>
      </c>
    </row>
    <row r="16" spans="1:17">
      <c r="A16" s="80" t="s">
        <v>59</v>
      </c>
      <c r="B16" s="80" t="s">
        <v>60</v>
      </c>
      <c r="C16" s="81" t="s">
        <v>83</v>
      </c>
      <c r="D16" s="83" t="s">
        <v>84</v>
      </c>
      <c r="E16" s="16">
        <v>41943</v>
      </c>
      <c r="F16" s="16">
        <v>41967</v>
      </c>
      <c r="G16" s="16">
        <v>41962</v>
      </c>
      <c r="H16" s="16"/>
      <c r="I16" s="15">
        <v>3</v>
      </c>
      <c r="J16" s="83"/>
      <c r="K16" s="82">
        <v>42306</v>
      </c>
    </row>
    <row r="17" spans="1:11">
      <c r="A17" s="28"/>
      <c r="B17" s="28"/>
      <c r="C17" s="27" t="s">
        <v>15</v>
      </c>
      <c r="D17" s="33">
        <f>SUBTOTAL(3,D8:D16)</f>
        <v>9</v>
      </c>
      <c r="E17" s="33">
        <f>SUBTOTAL(3,[Date de réception convention financière])</f>
        <v>9</v>
      </c>
      <c r="F17" s="33">
        <f>SUBTOTAL(3,[Date de réception AR kit])</f>
        <v>9</v>
      </c>
      <c r="G17" s="33">
        <f>SUBTOTAL(3,[Date de MEP])</f>
        <v>9</v>
      </c>
      <c r="H17" s="84">
        <f>SUBTOTAL(3,[Desistement])</f>
        <v>0</v>
      </c>
      <c r="I17" s="27">
        <f>SUBTOTAL(109,I8:I16)</f>
        <v>21</v>
      </c>
      <c r="J17" s="31"/>
      <c r="K17" s="32"/>
    </row>
    <row r="18" spans="1:11">
      <c r="D18" s="10"/>
      <c r="J18" s="10"/>
    </row>
    <row r="19" spans="1:11">
      <c r="C19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7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2" t="s">
        <v>58</v>
      </c>
      <c r="E4" s="102"/>
      <c r="F4" s="53">
        <f>$U$12</f>
        <v>42306</v>
      </c>
      <c r="G4" s="50"/>
      <c r="H4" s="50"/>
      <c r="I4" s="34"/>
      <c r="J4" s="50"/>
      <c r="K4" s="50"/>
      <c r="L4" s="77" t="s">
        <v>17</v>
      </c>
      <c r="M4" s="63">
        <f>$B$12</f>
        <v>311</v>
      </c>
      <c r="N4" s="103" t="str">
        <f>$C$12</f>
        <v>ARMAGAN Yercanik</v>
      </c>
      <c r="O4" s="103"/>
      <c r="P4" s="103"/>
      <c r="Q4" s="103"/>
      <c r="R4" s="10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6" t="s">
        <v>19</v>
      </c>
      <c r="F7" s="107"/>
      <c r="G7" s="107"/>
      <c r="H7" s="107"/>
      <c r="I7" s="107"/>
      <c r="J7" s="108" t="s">
        <v>20</v>
      </c>
      <c r="K7" s="109"/>
      <c r="L7" s="110" t="s">
        <v>21</v>
      </c>
      <c r="M7" s="110"/>
      <c r="N7" s="111" t="s">
        <v>22</v>
      </c>
      <c r="O7" s="112"/>
      <c r="P7" s="113"/>
      <c r="Q7" s="114" t="s">
        <v>23</v>
      </c>
      <c r="R7" s="112"/>
      <c r="S7" s="113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9" t="s">
        <v>32</v>
      </c>
      <c r="M8" s="79" t="s">
        <v>31</v>
      </c>
      <c r="N8" s="78" t="s">
        <v>33</v>
      </c>
      <c r="O8" s="78" t="s">
        <v>34</v>
      </c>
      <c r="P8" s="7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311</v>
      </c>
      <c r="C10" s="42" t="s">
        <v>72</v>
      </c>
      <c r="D10" s="19">
        <v>1</v>
      </c>
      <c r="E10" s="25">
        <v>41799</v>
      </c>
      <c r="F10" s="25">
        <v>41836</v>
      </c>
      <c r="G10" s="25"/>
      <c r="H10" s="25">
        <v>41836</v>
      </c>
      <c r="I10" s="44" t="s">
        <v>74</v>
      </c>
      <c r="J10" s="25">
        <v>41811</v>
      </c>
      <c r="K10" s="25"/>
      <c r="L10" s="25">
        <v>41870</v>
      </c>
      <c r="M10" s="25"/>
      <c r="N10" s="25">
        <v>41919</v>
      </c>
      <c r="O10" s="25"/>
      <c r="P10" s="25"/>
      <c r="Q10" s="25">
        <v>42164</v>
      </c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6.5" customHeight="1">
      <c r="B11" s="43">
        <v>311</v>
      </c>
      <c r="C11" s="72" t="s">
        <v>72</v>
      </c>
      <c r="D11" s="19">
        <v>2</v>
      </c>
      <c r="E11" s="25">
        <v>41830</v>
      </c>
      <c r="F11" s="25">
        <v>41836</v>
      </c>
      <c r="I11" s="44" t="s">
        <v>57</v>
      </c>
      <c r="J11" s="25">
        <v>41842</v>
      </c>
      <c r="L11" s="25">
        <v>41901</v>
      </c>
      <c r="N11" s="25">
        <v>41950</v>
      </c>
      <c r="Q11" s="25">
        <v>42195</v>
      </c>
      <c r="T11" s="72" t="s">
        <v>71</v>
      </c>
      <c r="U11" s="12">
        <v>42306</v>
      </c>
    </row>
    <row r="12" spans="2:48" ht="15" customHeight="1">
      <c r="B12" s="43">
        <v>311</v>
      </c>
      <c r="C12" s="72" t="s">
        <v>72</v>
      </c>
      <c r="D12" s="19">
        <v>3</v>
      </c>
      <c r="E12" s="25">
        <v>41849</v>
      </c>
      <c r="F12" s="25">
        <v>41858</v>
      </c>
      <c r="I12" s="44" t="s">
        <v>57</v>
      </c>
      <c r="J12" s="25">
        <v>41861</v>
      </c>
      <c r="L12" s="25">
        <v>41920</v>
      </c>
      <c r="N12" s="25">
        <v>41969</v>
      </c>
      <c r="O12" s="25">
        <v>41912</v>
      </c>
      <c r="P12" s="25">
        <v>41918</v>
      </c>
      <c r="Q12" s="25">
        <v>42214</v>
      </c>
      <c r="T12" s="72" t="s">
        <v>71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2" t="s">
        <v>58</v>
      </c>
      <c r="E4" s="102"/>
      <c r="F4" s="53">
        <f>$U$12</f>
        <v>42306</v>
      </c>
      <c r="G4" s="50"/>
      <c r="H4" s="50"/>
      <c r="I4" s="34"/>
      <c r="J4" s="50"/>
      <c r="K4" s="50"/>
      <c r="L4" s="57" t="s">
        <v>17</v>
      </c>
      <c r="M4" s="63">
        <f>$B$12</f>
        <v>143</v>
      </c>
      <c r="N4" s="103" t="str">
        <f>$C$12</f>
        <v>BARTHES ANIDJAR Laura</v>
      </c>
      <c r="O4" s="103"/>
      <c r="P4" s="103"/>
      <c r="Q4" s="103"/>
      <c r="R4" s="10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6" t="s">
        <v>19</v>
      </c>
      <c r="F7" s="107"/>
      <c r="G7" s="107"/>
      <c r="H7" s="107"/>
      <c r="I7" s="107"/>
      <c r="J7" s="108" t="s">
        <v>20</v>
      </c>
      <c r="K7" s="109"/>
      <c r="L7" s="110" t="s">
        <v>21</v>
      </c>
      <c r="M7" s="110"/>
      <c r="N7" s="111" t="s">
        <v>22</v>
      </c>
      <c r="O7" s="112"/>
      <c r="P7" s="113"/>
      <c r="Q7" s="114" t="s">
        <v>23</v>
      </c>
      <c r="R7" s="112"/>
      <c r="S7" s="113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143</v>
      </c>
      <c r="C10" s="42" t="s">
        <v>62</v>
      </c>
      <c r="D10" s="19">
        <v>1</v>
      </c>
      <c r="E10" s="25">
        <v>41761</v>
      </c>
      <c r="F10" s="25">
        <v>41786</v>
      </c>
      <c r="G10" s="25">
        <v>41786</v>
      </c>
      <c r="H10" s="25"/>
      <c r="I10" s="44" t="s">
        <v>57</v>
      </c>
      <c r="J10" s="25">
        <v>41773</v>
      </c>
      <c r="K10" s="25">
        <v>41976</v>
      </c>
      <c r="L10" s="25">
        <v>41832</v>
      </c>
      <c r="M10" s="25">
        <v>41976</v>
      </c>
      <c r="N10" s="25">
        <v>41881</v>
      </c>
      <c r="O10" s="25"/>
      <c r="P10" s="25"/>
      <c r="Q10" s="25">
        <v>42126</v>
      </c>
      <c r="R10" s="25">
        <v>41956</v>
      </c>
      <c r="S10" s="25">
        <v>41976</v>
      </c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4">
        <v>143</v>
      </c>
      <c r="C11" s="75" t="s">
        <v>62</v>
      </c>
      <c r="D11" s="19">
        <v>2</v>
      </c>
      <c r="E11" s="25">
        <v>41800</v>
      </c>
      <c r="F11" s="25">
        <v>41802</v>
      </c>
      <c r="G11" s="25">
        <v>41802</v>
      </c>
      <c r="I11" s="44" t="s">
        <v>57</v>
      </c>
      <c r="J11" s="25">
        <v>41812</v>
      </c>
      <c r="K11" s="25">
        <v>41901</v>
      </c>
      <c r="L11" s="25">
        <v>41871</v>
      </c>
      <c r="M11" s="25">
        <v>41976</v>
      </c>
      <c r="N11" s="25">
        <v>41920</v>
      </c>
      <c r="Q11" s="25">
        <v>42165</v>
      </c>
      <c r="R11" s="25">
        <v>41953</v>
      </c>
      <c r="S11" s="25">
        <v>41976</v>
      </c>
      <c r="T11" s="75" t="s">
        <v>61</v>
      </c>
      <c r="U11" s="12">
        <v>42306</v>
      </c>
    </row>
    <row r="12" spans="2:48" ht="25.5">
      <c r="B12" s="74">
        <v>143</v>
      </c>
      <c r="C12" s="75" t="s">
        <v>62</v>
      </c>
      <c r="D12" s="19">
        <v>3</v>
      </c>
      <c r="E12" s="25">
        <v>41928</v>
      </c>
      <c r="F12" s="25">
        <v>41976</v>
      </c>
      <c r="G12" s="25">
        <v>41976</v>
      </c>
      <c r="I12" s="44" t="s">
        <v>57</v>
      </c>
      <c r="J12" s="25">
        <v>41940</v>
      </c>
      <c r="L12" s="25">
        <v>41999</v>
      </c>
      <c r="N12" s="25">
        <v>42048</v>
      </c>
      <c r="Q12" s="25">
        <v>42293</v>
      </c>
      <c r="T12" s="75" t="s">
        <v>61</v>
      </c>
      <c r="U12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87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2" t="s">
        <v>58</v>
      </c>
      <c r="E4" s="102"/>
      <c r="F4" s="53">
        <f>$U$12</f>
        <v>42306</v>
      </c>
      <c r="G4" s="50"/>
      <c r="H4" s="50"/>
      <c r="I4" s="34"/>
      <c r="J4" s="50"/>
      <c r="K4" s="50"/>
      <c r="L4" s="88" t="s">
        <v>17</v>
      </c>
      <c r="M4" s="63">
        <f>$B$12</f>
        <v>391</v>
      </c>
      <c r="N4" s="103" t="str">
        <f>$C$12</f>
        <v>BASTIEN JACQUIN Marie</v>
      </c>
      <c r="O4" s="103"/>
      <c r="P4" s="103"/>
      <c r="Q4" s="103"/>
      <c r="R4" s="10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6" t="s">
        <v>19</v>
      </c>
      <c r="F7" s="107"/>
      <c r="G7" s="107"/>
      <c r="H7" s="107"/>
      <c r="I7" s="107"/>
      <c r="J7" s="108" t="s">
        <v>20</v>
      </c>
      <c r="K7" s="109"/>
      <c r="L7" s="110" t="s">
        <v>21</v>
      </c>
      <c r="M7" s="110"/>
      <c r="N7" s="111" t="s">
        <v>22</v>
      </c>
      <c r="O7" s="112"/>
      <c r="P7" s="113"/>
      <c r="Q7" s="114" t="s">
        <v>23</v>
      </c>
      <c r="R7" s="112"/>
      <c r="S7" s="113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6" t="s">
        <v>32</v>
      </c>
      <c r="M8" s="86" t="s">
        <v>31</v>
      </c>
      <c r="N8" s="85" t="s">
        <v>33</v>
      </c>
      <c r="O8" s="85" t="s">
        <v>34</v>
      </c>
      <c r="P8" s="85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391</v>
      </c>
      <c r="C10" s="42" t="s">
        <v>81</v>
      </c>
      <c r="D10" s="19">
        <v>1</v>
      </c>
      <c r="E10" s="25">
        <v>41946</v>
      </c>
      <c r="F10" s="25">
        <v>41948</v>
      </c>
      <c r="G10" s="25">
        <v>41948</v>
      </c>
      <c r="H10" s="25">
        <v>41948</v>
      </c>
      <c r="I10" s="44" t="s">
        <v>86</v>
      </c>
      <c r="J10" s="25">
        <v>41958</v>
      </c>
      <c r="K10" s="25"/>
      <c r="L10" s="25">
        <v>42017</v>
      </c>
      <c r="M10" s="25"/>
      <c r="N10" s="25">
        <v>42066</v>
      </c>
      <c r="O10" s="25"/>
      <c r="P10" s="25"/>
      <c r="Q10" s="25">
        <v>42311</v>
      </c>
      <c r="R10" s="25"/>
      <c r="S10" s="25"/>
      <c r="T10" s="42" t="s">
        <v>80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9">
        <v>391</v>
      </c>
      <c r="C11" s="90" t="s">
        <v>81</v>
      </c>
      <c r="D11" s="19">
        <v>2</v>
      </c>
      <c r="E11" s="25">
        <v>41957</v>
      </c>
      <c r="F11" s="25">
        <v>41960</v>
      </c>
      <c r="H11" s="25">
        <v>41985</v>
      </c>
      <c r="I11" s="91" t="s">
        <v>88</v>
      </c>
      <c r="J11" s="25">
        <v>41969</v>
      </c>
      <c r="L11" s="25">
        <v>42028</v>
      </c>
      <c r="N11" s="25">
        <v>42077</v>
      </c>
      <c r="O11" s="25">
        <v>41971</v>
      </c>
      <c r="P11" s="25">
        <v>41974</v>
      </c>
      <c r="Q11" s="25">
        <v>42322</v>
      </c>
      <c r="T11" s="90" t="s">
        <v>80</v>
      </c>
      <c r="U11" s="12">
        <v>42306</v>
      </c>
    </row>
    <row r="12" spans="2:48" ht="25.5">
      <c r="B12" s="89">
        <v>391</v>
      </c>
      <c r="C12" s="90" t="s">
        <v>81</v>
      </c>
      <c r="D12" s="19">
        <v>3</v>
      </c>
      <c r="E12" s="25">
        <v>41958</v>
      </c>
      <c r="F12" s="25">
        <v>41961</v>
      </c>
      <c r="I12" s="91" t="s">
        <v>57</v>
      </c>
      <c r="J12" s="25">
        <v>41970</v>
      </c>
      <c r="L12" s="25">
        <v>42029</v>
      </c>
      <c r="N12" s="25">
        <v>42078</v>
      </c>
      <c r="Q12" s="25">
        <v>42323</v>
      </c>
      <c r="T12" s="90" t="s">
        <v>80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2" t="s">
        <v>58</v>
      </c>
      <c r="E4" s="10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144</v>
      </c>
      <c r="N4" s="103" t="str">
        <f>$C$12</f>
        <v>GENER Gwendeline</v>
      </c>
      <c r="O4" s="103"/>
      <c r="P4" s="103"/>
      <c r="Q4" s="103"/>
      <c r="R4" s="10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6" t="s">
        <v>19</v>
      </c>
      <c r="F7" s="107"/>
      <c r="G7" s="107"/>
      <c r="H7" s="107"/>
      <c r="I7" s="107"/>
      <c r="J7" s="108" t="s">
        <v>20</v>
      </c>
      <c r="K7" s="109"/>
      <c r="L7" s="110" t="s">
        <v>21</v>
      </c>
      <c r="M7" s="110"/>
      <c r="N7" s="111" t="s">
        <v>22</v>
      </c>
      <c r="O7" s="112"/>
      <c r="P7" s="113"/>
      <c r="Q7" s="114" t="s">
        <v>23</v>
      </c>
      <c r="R7" s="112"/>
      <c r="S7" s="113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144</v>
      </c>
      <c r="C10" s="42" t="s">
        <v>64</v>
      </c>
      <c r="D10" s="19">
        <v>1</v>
      </c>
      <c r="E10" s="25">
        <v>41809</v>
      </c>
      <c r="F10" s="25">
        <v>41813</v>
      </c>
      <c r="G10" s="25">
        <v>41813</v>
      </c>
      <c r="H10" s="25"/>
      <c r="I10" s="44" t="s">
        <v>57</v>
      </c>
      <c r="J10" s="25">
        <v>41821</v>
      </c>
      <c r="K10" s="25"/>
      <c r="L10" s="25">
        <v>41880</v>
      </c>
      <c r="M10" s="25"/>
      <c r="N10" s="25">
        <v>41929</v>
      </c>
      <c r="O10" s="25"/>
      <c r="P10" s="25"/>
      <c r="Q10" s="25">
        <v>42174</v>
      </c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4">
        <v>144</v>
      </c>
      <c r="C11" s="75" t="s">
        <v>64</v>
      </c>
      <c r="D11" s="19">
        <v>2</v>
      </c>
      <c r="I11" s="44" t="s">
        <v>57</v>
      </c>
      <c r="T11" s="75" t="s">
        <v>63</v>
      </c>
      <c r="U11" s="12">
        <v>42306</v>
      </c>
    </row>
    <row r="12" spans="2:48" ht="25.5">
      <c r="B12" s="74">
        <v>144</v>
      </c>
      <c r="C12" s="75" t="s">
        <v>64</v>
      </c>
      <c r="D12" s="19">
        <v>3</v>
      </c>
      <c r="I12" s="44" t="s">
        <v>57</v>
      </c>
      <c r="T12" s="75" t="s">
        <v>63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2" t="s">
        <v>58</v>
      </c>
      <c r="E4" s="10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141</v>
      </c>
      <c r="N4" s="103" t="str">
        <f>$C$12</f>
        <v>PERREAU Evelyne</v>
      </c>
      <c r="O4" s="103"/>
      <c r="P4" s="103"/>
      <c r="Q4" s="103"/>
      <c r="R4" s="10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6" t="s">
        <v>19</v>
      </c>
      <c r="F7" s="107"/>
      <c r="G7" s="107"/>
      <c r="H7" s="107"/>
      <c r="I7" s="107"/>
      <c r="J7" s="108" t="s">
        <v>20</v>
      </c>
      <c r="K7" s="109"/>
      <c r="L7" s="110" t="s">
        <v>21</v>
      </c>
      <c r="M7" s="110"/>
      <c r="N7" s="111" t="s">
        <v>22</v>
      </c>
      <c r="O7" s="112"/>
      <c r="P7" s="113"/>
      <c r="Q7" s="114" t="s">
        <v>23</v>
      </c>
      <c r="R7" s="112"/>
      <c r="S7" s="113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141</v>
      </c>
      <c r="C10" s="42" t="s">
        <v>66</v>
      </c>
      <c r="D10" s="19">
        <v>1</v>
      </c>
      <c r="E10" s="25">
        <v>41800</v>
      </c>
      <c r="F10" s="25">
        <v>41807</v>
      </c>
      <c r="G10" s="25">
        <v>41807</v>
      </c>
      <c r="H10" s="25"/>
      <c r="I10" s="44" t="s">
        <v>57</v>
      </c>
      <c r="J10" s="25">
        <v>41812</v>
      </c>
      <c r="K10" s="25">
        <v>41814</v>
      </c>
      <c r="L10" s="25">
        <v>41871</v>
      </c>
      <c r="M10" s="25">
        <v>41883</v>
      </c>
      <c r="N10" s="25">
        <v>41920</v>
      </c>
      <c r="O10" s="25">
        <v>41880</v>
      </c>
      <c r="P10" s="25">
        <v>41885</v>
      </c>
      <c r="Q10" s="25">
        <v>42165</v>
      </c>
      <c r="R10" s="25">
        <v>41977</v>
      </c>
      <c r="S10" s="25">
        <v>42006</v>
      </c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6.5" customHeight="1">
      <c r="B11" s="43">
        <v>141</v>
      </c>
      <c r="C11" s="72" t="s">
        <v>66</v>
      </c>
      <c r="D11" s="19">
        <v>2</v>
      </c>
      <c r="E11" s="25">
        <v>41723</v>
      </c>
      <c r="F11" s="25">
        <v>41752</v>
      </c>
      <c r="G11" s="25">
        <v>41752</v>
      </c>
      <c r="H11" s="25">
        <v>41752</v>
      </c>
      <c r="I11" s="44" t="s">
        <v>74</v>
      </c>
      <c r="J11" s="25">
        <v>41735</v>
      </c>
      <c r="K11" s="25">
        <v>41746</v>
      </c>
      <c r="L11" s="25">
        <v>41794</v>
      </c>
      <c r="M11" s="25">
        <v>41796</v>
      </c>
      <c r="N11" s="25">
        <v>41843</v>
      </c>
      <c r="O11" s="25">
        <v>41744</v>
      </c>
      <c r="P11" s="25">
        <v>41752</v>
      </c>
      <c r="Q11" s="25">
        <v>42088</v>
      </c>
      <c r="R11" s="25">
        <v>41956</v>
      </c>
      <c r="S11" s="25">
        <v>42006</v>
      </c>
      <c r="T11" s="72" t="s">
        <v>65</v>
      </c>
      <c r="U11" s="12">
        <v>42306</v>
      </c>
    </row>
    <row r="12" spans="2:48" ht="15" customHeight="1">
      <c r="B12" s="43">
        <v>141</v>
      </c>
      <c r="C12" s="72" t="s">
        <v>66</v>
      </c>
      <c r="D12" s="19">
        <v>3</v>
      </c>
      <c r="E12" s="25">
        <v>41732</v>
      </c>
      <c r="F12" s="25">
        <v>41752</v>
      </c>
      <c r="G12" s="25">
        <v>41752</v>
      </c>
      <c r="I12" s="44" t="s">
        <v>57</v>
      </c>
      <c r="J12" s="25">
        <v>41744</v>
      </c>
      <c r="K12" s="25">
        <v>41752</v>
      </c>
      <c r="L12" s="25">
        <v>41803</v>
      </c>
      <c r="M12" s="25">
        <v>41800</v>
      </c>
      <c r="N12" s="25">
        <v>41852</v>
      </c>
      <c r="O12" s="25">
        <v>41746</v>
      </c>
      <c r="P12" s="25">
        <v>41752</v>
      </c>
      <c r="Q12" s="25">
        <v>42097</v>
      </c>
      <c r="R12" s="25">
        <v>41921</v>
      </c>
      <c r="S12" s="25">
        <v>42006</v>
      </c>
      <c r="T12" s="72" t="s">
        <v>65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10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9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2" t="s">
        <v>58</v>
      </c>
      <c r="E4" s="102"/>
      <c r="F4" s="53">
        <f>$U$12</f>
        <v>42306</v>
      </c>
      <c r="G4" s="50"/>
      <c r="H4" s="50"/>
      <c r="I4" s="34"/>
      <c r="J4" s="50"/>
      <c r="K4" s="50"/>
      <c r="L4" s="95" t="s">
        <v>17</v>
      </c>
      <c r="M4" s="63">
        <f>$B$12</f>
        <v>435</v>
      </c>
      <c r="N4" s="103" t="str">
        <f>$C$12</f>
        <v>PLAQUET Jean-Luc</v>
      </c>
      <c r="O4" s="103"/>
      <c r="P4" s="103"/>
      <c r="Q4" s="103"/>
      <c r="R4" s="10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6" t="s">
        <v>19</v>
      </c>
      <c r="F7" s="107"/>
      <c r="G7" s="107"/>
      <c r="H7" s="107"/>
      <c r="I7" s="107"/>
      <c r="J7" s="108" t="s">
        <v>20</v>
      </c>
      <c r="K7" s="109"/>
      <c r="L7" s="110" t="s">
        <v>21</v>
      </c>
      <c r="M7" s="110"/>
      <c r="N7" s="111" t="s">
        <v>22</v>
      </c>
      <c r="O7" s="112"/>
      <c r="P7" s="113"/>
      <c r="Q7" s="114" t="s">
        <v>23</v>
      </c>
      <c r="R7" s="112"/>
      <c r="S7" s="113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3" t="s">
        <v>32</v>
      </c>
      <c r="M8" s="93" t="s">
        <v>31</v>
      </c>
      <c r="N8" s="92" t="s">
        <v>33</v>
      </c>
      <c r="O8" s="92" t="s">
        <v>34</v>
      </c>
      <c r="P8" s="9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435</v>
      </c>
      <c r="C10" s="42" t="s">
        <v>82</v>
      </c>
      <c r="D10" s="19">
        <v>1</v>
      </c>
      <c r="E10" s="25"/>
      <c r="F10" s="25"/>
      <c r="G10" s="25"/>
      <c r="H10" s="25"/>
      <c r="I10" s="91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85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6.5" customHeight="1">
      <c r="B11" s="96">
        <v>435</v>
      </c>
      <c r="C11" s="97" t="s">
        <v>82</v>
      </c>
      <c r="D11" s="19">
        <v>2</v>
      </c>
      <c r="I11" s="91" t="s">
        <v>57</v>
      </c>
      <c r="T11" s="97" t="s">
        <v>85</v>
      </c>
      <c r="U11" s="12">
        <v>42306</v>
      </c>
    </row>
    <row r="12" spans="2:48" ht="15" customHeight="1">
      <c r="B12" s="96">
        <v>435</v>
      </c>
      <c r="C12" s="97" t="s">
        <v>82</v>
      </c>
      <c r="D12" s="19">
        <v>3</v>
      </c>
      <c r="I12" s="91" t="s">
        <v>57</v>
      </c>
      <c r="T12" s="97" t="s">
        <v>85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2" t="s">
        <v>58</v>
      </c>
      <c r="E4" s="102"/>
      <c r="F4" s="53">
        <f>$U$12</f>
        <v>42306</v>
      </c>
      <c r="G4" s="50"/>
      <c r="H4" s="50"/>
      <c r="I4" s="34"/>
      <c r="J4" s="50"/>
      <c r="K4" s="50"/>
      <c r="L4" s="69" t="s">
        <v>17</v>
      </c>
      <c r="M4" s="63">
        <f>$B$12</f>
        <v>142</v>
      </c>
      <c r="N4" s="103" t="str">
        <f>$C$12</f>
        <v>ROBBIOLA Odile</v>
      </c>
      <c r="O4" s="103"/>
      <c r="P4" s="103"/>
      <c r="Q4" s="103"/>
      <c r="R4" s="10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6" t="s">
        <v>19</v>
      </c>
      <c r="F7" s="107"/>
      <c r="G7" s="107"/>
      <c r="H7" s="107"/>
      <c r="I7" s="107"/>
      <c r="J7" s="108" t="s">
        <v>20</v>
      </c>
      <c r="K7" s="109"/>
      <c r="L7" s="110" t="s">
        <v>21</v>
      </c>
      <c r="M7" s="110"/>
      <c r="N7" s="111" t="s">
        <v>22</v>
      </c>
      <c r="O7" s="112"/>
      <c r="P7" s="113"/>
      <c r="Q7" s="114" t="s">
        <v>23</v>
      </c>
      <c r="R7" s="112"/>
      <c r="S7" s="113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142</v>
      </c>
      <c r="C10" s="42" t="s">
        <v>69</v>
      </c>
      <c r="D10" s="19">
        <v>1</v>
      </c>
      <c r="E10" s="25">
        <v>41768</v>
      </c>
      <c r="F10" s="25">
        <v>41835</v>
      </c>
      <c r="G10" s="25">
        <v>41835</v>
      </c>
      <c r="H10" s="25">
        <v>41835</v>
      </c>
      <c r="I10" s="44" t="s">
        <v>76</v>
      </c>
      <c r="J10" s="25">
        <v>41780</v>
      </c>
      <c r="K10" s="25">
        <v>41835</v>
      </c>
      <c r="L10" s="25">
        <v>41839</v>
      </c>
      <c r="M10" s="25">
        <v>41883</v>
      </c>
      <c r="N10" s="25">
        <v>41888</v>
      </c>
      <c r="O10" s="25">
        <v>41829</v>
      </c>
      <c r="P10" s="25">
        <v>41835</v>
      </c>
      <c r="Q10" s="25">
        <v>42133</v>
      </c>
      <c r="R10" s="25"/>
      <c r="S10" s="25"/>
      <c r="T10" s="42" t="s">
        <v>70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6.5" customHeight="1">
      <c r="B11" s="74">
        <v>142</v>
      </c>
      <c r="C11" s="75" t="s">
        <v>69</v>
      </c>
      <c r="D11" s="19">
        <v>2</v>
      </c>
      <c r="E11" s="25">
        <v>41771</v>
      </c>
      <c r="F11" s="25">
        <v>41796</v>
      </c>
      <c r="G11" s="25">
        <v>41796</v>
      </c>
      <c r="I11" s="44" t="s">
        <v>57</v>
      </c>
      <c r="J11" s="25">
        <v>41783</v>
      </c>
      <c r="K11" s="25">
        <v>41795</v>
      </c>
      <c r="L11" s="25">
        <v>41842</v>
      </c>
      <c r="N11" s="25">
        <v>41891</v>
      </c>
      <c r="Q11" s="25">
        <v>42136</v>
      </c>
      <c r="T11" s="75" t="s">
        <v>70</v>
      </c>
      <c r="U11" s="12">
        <v>42306</v>
      </c>
    </row>
    <row r="12" spans="2:48" ht="15" customHeight="1">
      <c r="B12" s="74">
        <v>142</v>
      </c>
      <c r="C12" s="75" t="s">
        <v>69</v>
      </c>
      <c r="D12" s="19">
        <v>3</v>
      </c>
      <c r="I12" s="44" t="s">
        <v>57</v>
      </c>
      <c r="T12" s="75" t="s">
        <v>70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8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2" t="s">
        <v>58</v>
      </c>
      <c r="E4" s="10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140</v>
      </c>
      <c r="N4" s="103" t="str">
        <f>$C$12</f>
        <v>SOLYGA Bénédicte</v>
      </c>
      <c r="O4" s="103"/>
      <c r="P4" s="103"/>
      <c r="Q4" s="103"/>
      <c r="R4" s="10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6" t="s">
        <v>19</v>
      </c>
      <c r="F7" s="107"/>
      <c r="G7" s="107"/>
      <c r="H7" s="107"/>
      <c r="I7" s="107"/>
      <c r="J7" s="108" t="s">
        <v>20</v>
      </c>
      <c r="K7" s="109"/>
      <c r="L7" s="110" t="s">
        <v>21</v>
      </c>
      <c r="M7" s="110"/>
      <c r="N7" s="111" t="s">
        <v>22</v>
      </c>
      <c r="O7" s="112"/>
      <c r="P7" s="113"/>
      <c r="Q7" s="114" t="s">
        <v>23</v>
      </c>
      <c r="R7" s="112"/>
      <c r="S7" s="113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140</v>
      </c>
      <c r="C10" s="42" t="s">
        <v>68</v>
      </c>
      <c r="D10" s="19">
        <v>1</v>
      </c>
      <c r="E10" s="25">
        <v>41765</v>
      </c>
      <c r="F10" s="25">
        <v>41771</v>
      </c>
      <c r="G10" s="25">
        <v>41771</v>
      </c>
      <c r="H10" s="25">
        <v>41772</v>
      </c>
      <c r="I10" s="44" t="s">
        <v>75</v>
      </c>
      <c r="J10" s="25">
        <v>41777</v>
      </c>
      <c r="K10" s="25">
        <v>41775</v>
      </c>
      <c r="L10" s="25">
        <v>41836</v>
      </c>
      <c r="M10" s="25">
        <v>41792</v>
      </c>
      <c r="N10" s="25">
        <v>41885</v>
      </c>
      <c r="O10" s="25">
        <v>41897</v>
      </c>
      <c r="P10" s="25">
        <v>41898</v>
      </c>
      <c r="Q10" s="25">
        <v>42130</v>
      </c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6.5" customHeight="1">
      <c r="B11" s="43">
        <v>140</v>
      </c>
      <c r="C11" s="72" t="s">
        <v>68</v>
      </c>
      <c r="D11" s="19">
        <v>2</v>
      </c>
      <c r="E11" s="25">
        <v>41786</v>
      </c>
      <c r="F11" s="25">
        <v>41792</v>
      </c>
      <c r="G11" s="25">
        <v>41792</v>
      </c>
      <c r="I11" s="44" t="s">
        <v>57</v>
      </c>
      <c r="J11" s="25">
        <v>41798</v>
      </c>
      <c r="L11" s="25">
        <v>41857</v>
      </c>
      <c r="N11" s="25">
        <v>41906</v>
      </c>
      <c r="Q11" s="25">
        <v>42151</v>
      </c>
      <c r="R11" s="25">
        <v>41899</v>
      </c>
      <c r="S11" s="25">
        <v>41905</v>
      </c>
      <c r="T11" s="72" t="s">
        <v>67</v>
      </c>
      <c r="U11" s="12">
        <v>42306</v>
      </c>
    </row>
    <row r="12" spans="2:48" ht="15" customHeight="1">
      <c r="B12" s="43">
        <v>140</v>
      </c>
      <c r="C12" s="72" t="s">
        <v>68</v>
      </c>
      <c r="D12" s="19">
        <v>3</v>
      </c>
      <c r="E12" s="25">
        <v>41802</v>
      </c>
      <c r="F12" s="25">
        <v>41808</v>
      </c>
      <c r="G12" s="25">
        <v>41808</v>
      </c>
      <c r="I12" s="44" t="s">
        <v>57</v>
      </c>
      <c r="J12" s="25">
        <v>41814</v>
      </c>
      <c r="K12" s="25">
        <v>41855</v>
      </c>
      <c r="L12" s="25">
        <v>41873</v>
      </c>
      <c r="M12" s="25">
        <v>41855</v>
      </c>
      <c r="N12" s="25">
        <v>41922</v>
      </c>
      <c r="O12" s="25">
        <v>41851</v>
      </c>
      <c r="P12" s="25">
        <v>41856</v>
      </c>
      <c r="Q12" s="25">
        <v>42167</v>
      </c>
      <c r="T12" s="72" t="s">
        <v>67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9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9" t="s">
        <v>16</v>
      </c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1"/>
      <c r="M3" s="101"/>
      <c r="N3" s="101"/>
      <c r="O3" s="9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2" t="s">
        <v>58</v>
      </c>
      <c r="E4" s="102"/>
      <c r="F4" s="53">
        <f>$U$12</f>
        <v>42306</v>
      </c>
      <c r="G4" s="50"/>
      <c r="H4" s="50"/>
      <c r="I4" s="34"/>
      <c r="J4" s="50"/>
      <c r="K4" s="50"/>
      <c r="L4" s="95" t="s">
        <v>17</v>
      </c>
      <c r="M4" s="63">
        <f>$B$12</f>
        <v>434</v>
      </c>
      <c r="N4" s="103" t="str">
        <f>$C$12</f>
        <v>ZEITOUN Michèle</v>
      </c>
      <c r="O4" s="103"/>
      <c r="P4" s="103"/>
      <c r="Q4" s="103"/>
      <c r="R4" s="103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6" t="s">
        <v>19</v>
      </c>
      <c r="F7" s="107"/>
      <c r="G7" s="107"/>
      <c r="H7" s="107"/>
      <c r="I7" s="107"/>
      <c r="J7" s="108" t="s">
        <v>20</v>
      </c>
      <c r="K7" s="109"/>
      <c r="L7" s="110" t="s">
        <v>21</v>
      </c>
      <c r="M7" s="110"/>
      <c r="N7" s="111" t="s">
        <v>22</v>
      </c>
      <c r="O7" s="112"/>
      <c r="P7" s="113"/>
      <c r="Q7" s="114" t="s">
        <v>23</v>
      </c>
      <c r="R7" s="112"/>
      <c r="S7" s="113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3" t="s">
        <v>32</v>
      </c>
      <c r="M8" s="93" t="s">
        <v>31</v>
      </c>
      <c r="N8" s="92" t="s">
        <v>33</v>
      </c>
      <c r="O8" s="92" t="s">
        <v>34</v>
      </c>
      <c r="P8" s="9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434</v>
      </c>
      <c r="C10" s="42" t="s">
        <v>84</v>
      </c>
      <c r="D10" s="19">
        <v>1</v>
      </c>
      <c r="E10" s="25">
        <v>41969</v>
      </c>
      <c r="F10" s="25">
        <v>41971</v>
      </c>
      <c r="G10" s="25">
        <v>41971</v>
      </c>
      <c r="H10" s="25">
        <v>41984</v>
      </c>
      <c r="I10" s="91" t="s">
        <v>89</v>
      </c>
      <c r="J10" s="25">
        <v>41981</v>
      </c>
      <c r="K10" s="25">
        <v>41984</v>
      </c>
      <c r="L10" s="25">
        <v>42040</v>
      </c>
      <c r="M10" s="25">
        <v>42047</v>
      </c>
      <c r="N10" s="25">
        <v>42089</v>
      </c>
      <c r="O10" s="25">
        <v>42039</v>
      </c>
      <c r="P10" s="25">
        <v>42044</v>
      </c>
      <c r="Q10" s="25">
        <v>42334</v>
      </c>
      <c r="R10" s="25">
        <v>42201</v>
      </c>
      <c r="S10" s="25">
        <v>42205</v>
      </c>
      <c r="T10" s="42" t="s">
        <v>83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6.5" customHeight="1">
      <c r="B11" s="96">
        <v>434</v>
      </c>
      <c r="C11" s="97" t="s">
        <v>84</v>
      </c>
      <c r="D11" s="19">
        <v>2</v>
      </c>
      <c r="E11" s="25">
        <v>41974</v>
      </c>
      <c r="F11" s="25">
        <v>41977</v>
      </c>
      <c r="G11" s="25">
        <v>41977</v>
      </c>
      <c r="I11" s="91" t="s">
        <v>57</v>
      </c>
      <c r="J11" s="25">
        <v>41986</v>
      </c>
      <c r="L11" s="25">
        <v>42045</v>
      </c>
      <c r="N11" s="25">
        <v>42094</v>
      </c>
      <c r="Q11" s="25">
        <v>42339</v>
      </c>
      <c r="T11" s="97" t="s">
        <v>83</v>
      </c>
      <c r="U11" s="12">
        <v>42306</v>
      </c>
    </row>
    <row r="12" spans="2:48" ht="15" customHeight="1">
      <c r="B12" s="96">
        <v>434</v>
      </c>
      <c r="C12" s="97" t="s">
        <v>84</v>
      </c>
      <c r="D12" s="19">
        <v>3</v>
      </c>
      <c r="E12" s="25">
        <v>41976</v>
      </c>
      <c r="F12" s="25">
        <v>41977</v>
      </c>
      <c r="G12" s="25">
        <v>41977</v>
      </c>
      <c r="H12" s="25">
        <v>41977</v>
      </c>
      <c r="I12" s="91" t="s">
        <v>87</v>
      </c>
      <c r="J12" s="25">
        <v>41988</v>
      </c>
      <c r="K12" s="25">
        <v>41996</v>
      </c>
      <c r="L12" s="25">
        <v>42047</v>
      </c>
      <c r="M12" s="25">
        <v>42086</v>
      </c>
      <c r="N12" s="25">
        <v>42096</v>
      </c>
      <c r="O12" s="25">
        <v>42067</v>
      </c>
      <c r="P12" s="25">
        <v>42068</v>
      </c>
      <c r="Q12" s="25">
        <v>42341</v>
      </c>
      <c r="T12" s="97" t="s">
        <v>83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Secteur DE0208</vt:lpstr>
      <vt:lpstr>00210180</vt:lpstr>
      <vt:lpstr>01052513</vt:lpstr>
      <vt:lpstr>01144157</vt:lpstr>
      <vt:lpstr>04088537</vt:lpstr>
      <vt:lpstr>07198765</vt:lpstr>
      <vt:lpstr>07387135</vt:lpstr>
      <vt:lpstr>07909703</vt:lpstr>
      <vt:lpstr>08549485</vt:lpstr>
      <vt:lpstr>00865222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2015-10-29T22:02:13Z</dcterms:modified>
</cp:coreProperties>
</file>