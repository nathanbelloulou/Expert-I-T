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/>
  </bookViews>
  <sheets>
    <sheet name="Secteur DE0106" sheetId="1" r:id="rId1"/>
    <sheet name="00741020" sheetId="2" r:id="rId2"/>
    <sheet name="03338991" sheetId="3" r:id="rId3"/>
    <sheet name="02444050" sheetId="4" r:id="rId4"/>
    <sheet name="03272533" sheetId="12" r:id="rId5"/>
    <sheet name="03422545" sheetId="13" r:id="rId6"/>
    <sheet name="03723790" sheetId="5" r:id="rId7"/>
    <sheet name="04444261" sheetId="6" r:id="rId8"/>
    <sheet name="04591186" sheetId="7" r:id="rId9"/>
    <sheet name="05856743" sheetId="8" r:id="rId10"/>
    <sheet name="06535235" sheetId="9" r:id="rId11"/>
    <sheet name="07275643" sheetId="11" r:id="rId12"/>
    <sheet name="07568331" sheetId="10" r:id="rId13"/>
  </sheets>
  <definedNames>
    <definedName name="Lancer_la_requête_à_partir_de_MS_Access_Database" localSheetId="1" hidden="1">'00741020'!$B$9:$U$12</definedName>
    <definedName name="Lancer_la_requête_à_partir_de_MS_Access_Database" localSheetId="3" hidden="1">'02444050'!$B$9:$U$14</definedName>
    <definedName name="Lancer_la_requête_à_partir_de_MS_Access_Database" localSheetId="4" hidden="1">'03272533'!$B$9:$U$12</definedName>
    <definedName name="Lancer_la_requête_à_partir_de_MS_Access_Database" localSheetId="2" hidden="1">'03338991'!$B$9:$U$16</definedName>
    <definedName name="Lancer_la_requête_à_partir_de_MS_Access_Database" localSheetId="5" hidden="1">'03422545'!$B$9:$U$12</definedName>
    <definedName name="Lancer_la_requête_à_partir_de_MS_Access_Database" localSheetId="6" hidden="1">'03723790'!$B$9:$U$12</definedName>
    <definedName name="Lancer_la_requête_à_partir_de_MS_Access_Database" localSheetId="7" hidden="1">'04444261'!$B$9:$U$12</definedName>
    <definedName name="Lancer_la_requête_à_partir_de_MS_Access_Database" localSheetId="8" hidden="1">'04591186'!$B$9:$U$15</definedName>
    <definedName name="Lancer_la_requête_à_partir_de_MS_Access_Database" localSheetId="9" hidden="1">'05856743'!$B$9:$U$12</definedName>
    <definedName name="Lancer_la_requête_à_partir_de_MS_Access_Database" localSheetId="10" hidden="1">'06535235'!$B$9:$U$12</definedName>
    <definedName name="Lancer_la_requête_à_partir_de_MS_Access_Database" localSheetId="11" hidden="1">'07275643'!$B$9:$U$12</definedName>
    <definedName name="Lancer_la_requête_à_partir_de_MS_Access_Database" localSheetId="12" hidden="1">'07568331'!$B$9:$U$16</definedName>
    <definedName name="Lancer_la_requête_à_partir_de_MS_Access_Database_1" localSheetId="0" hidden="1">'Secteur DE0106'!$A$7:$K$19</definedName>
  </definedNames>
  <calcPr calcId="125725"/>
</workbook>
</file>

<file path=xl/calcChain.xml><?xml version="1.0" encoding="utf-8"?>
<calcChain xmlns="http://schemas.openxmlformats.org/spreadsheetml/2006/main">
  <c r="D20" i="1"/>
  <c r="E20"/>
  <c r="F20"/>
  <c r="G20"/>
  <c r="H20"/>
  <c r="I20"/>
  <c r="N4" i="13"/>
  <c r="M4"/>
  <c r="F4"/>
  <c r="N4" i="12"/>
  <c r="M4"/>
  <c r="F4"/>
  <c r="N4" i="11"/>
  <c r="M4"/>
  <c r="F4"/>
  <c r="N4" i="10" l="1"/>
  <c r="M4"/>
  <c r="F4"/>
  <c r="N4" i="9"/>
  <c r="M4"/>
  <c r="F4"/>
  <c r="N4" i="8"/>
  <c r="M4"/>
  <c r="F4"/>
  <c r="N4" i="7"/>
  <c r="M4"/>
  <c r="F4"/>
  <c r="N4" i="6"/>
  <c r="M4"/>
  <c r="F4"/>
  <c r="N4" i="5"/>
  <c r="M4"/>
  <c r="F4"/>
  <c r="N4" i="4"/>
  <c r="M4"/>
  <c r="F4"/>
  <c r="N4" i="3"/>
  <c r="M4"/>
  <c r="F4"/>
  <c r="N4" i="2"/>
  <c r="M4"/>
  <c r="F4"/>
  <c r="G2" i="1"/>
  <c r="F2"/>
  <c r="D3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106')_x000d__x000a_ORDER BY Req_REPORT_SECTEURS_GLOBAL.Medecin"/>
  </connection>
  <connection id="2" name="Lancer la requête à partir de MS Access Database0074102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741020')"/>
  </connection>
  <connection id="3" name="Lancer la requête à partir de MS Access Database0244405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444050')"/>
  </connection>
  <connection id="4" name="Lancer la requête à partir de MS Access Database0327253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272533')"/>
  </connection>
  <connection id="5" name="Lancer la requête à partir de MS Access Database0333899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338991')"/>
  </connection>
  <connection id="6" name="Lancer la requête à partir de MS Access Database0342254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422545')"/>
  </connection>
  <connection id="7" name="Lancer la requête à partir de MS Access Database0372379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723790')"/>
  </connection>
  <connection id="8" name="Lancer la requête à partir de MS Access Database0444426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444261')"/>
  </connection>
  <connection id="9" name="Lancer la requête à partir de MS Access Database0459118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591186')"/>
  </connection>
  <connection id="10" name="Lancer la requête à partir de MS Access Database0585674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856743')"/>
  </connection>
  <connection id="11" name="Lancer la requête à partir de MS Access Database0653523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535235')"/>
  </connection>
  <connection id="12" name="Lancer la requête à partir de MS Access Database0727564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275643')"/>
  </connection>
  <connection id="13" name="Lancer la requête à partir de MS Access Database0756833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568331')"/>
  </connection>
</connections>
</file>

<file path=xl/sharedStrings.xml><?xml version="1.0" encoding="utf-8"?>
<sst xmlns="http://schemas.openxmlformats.org/spreadsheetml/2006/main" count="775" uniqueCount="104">
  <si>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</si>
  <si>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</si>
  <si>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</si>
  <si>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</si>
  <si>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</si>
  <si>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</si>
  <si>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</si>
  <si>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</si>
  <si>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</si>
  <si>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</si>
  <si>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</si>
  <si>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</si>
  <si>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</si>
  <si>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</si>
  <si>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</si>
  <si>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</si>
  <si>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</si>
  <si>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</si>
  <si>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</si>
  <si>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</si>
  <si>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</si>
  <si>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</si>
  <si>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</si>
  <si>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</si>
  <si>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</si>
  <si>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</si>
  <si>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</si>
  <si>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</si>
  <si>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</si>
  <si>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</si>
  <si>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</si>
  <si>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</si>
  <si>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</si>
  <si>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</si>
  <si>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</si>
  <si>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</si>
  <si>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</si>
  <si>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</si>
  <si>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</si>
  <si>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</si>
  <si>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</si>
  <si>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</si>
  <si>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</si>
  <si>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</si>
  <si>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</si>
  <si>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</si>
  <si>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</si>
  <si>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</si>
  <si>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</si>
  <si>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</si>
  <si>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</si>
  <si>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</si>
  <si>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</si>
  <si>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</si>
  <si>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</si>
  <si>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</si>
  <si>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</si>
  <si>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</si>
  <si>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</si>
  <si>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DE0106</t>
  </si>
  <si>
    <t>OUGAZZADEN Fatiha</t>
  </si>
  <si>
    <t>WFRM00741020</t>
  </si>
  <si>
    <t>BERESTYCKI Laurence</t>
  </si>
  <si>
    <t>WFRM03338991</t>
  </si>
  <si>
    <t>BERNARD EXTERMANN Catherine</t>
  </si>
  <si>
    <t>WFRM02444050</t>
  </si>
  <si>
    <t>DANILA Raymonde</t>
  </si>
  <si>
    <t>WFRM03723790</t>
  </si>
  <si>
    <t>GABISON Germaine</t>
  </si>
  <si>
    <t>WFRM04444261</t>
  </si>
  <si>
    <t>HALIOUA Bruno</t>
  </si>
  <si>
    <t>WFRM04591186</t>
  </si>
  <si>
    <t>HEUDES Anne-Marie</t>
  </si>
  <si>
    <t>WFRM05856743</t>
  </si>
  <si>
    <t>LONS-DANIC Dominique</t>
  </si>
  <si>
    <t>WFRM06535235</t>
  </si>
  <si>
    <t>MITZ-RONJAT Marguerite</t>
  </si>
  <si>
    <t>PRUD'HOMME Philippe</t>
  </si>
  <si>
    <t>WFRM07568331</t>
  </si>
  <si>
    <t>WFRM07275643</t>
  </si>
  <si>
    <t>PFISTER Pierre</t>
  </si>
  <si>
    <t>Mail</t>
  </si>
  <si>
    <t>Mail - Courrier - Téléphone</t>
  </si>
  <si>
    <t>SMS</t>
  </si>
  <si>
    <t>Via médecin</t>
  </si>
  <si>
    <t>SMS - Mail - Courrier</t>
  </si>
  <si>
    <t>Courrier</t>
  </si>
  <si>
    <t>Courrier 05/08: demande envoi visite inclusion patient 1</t>
  </si>
  <si>
    <t>Courrier 22août : envoi courrier pour relance à faire patient 2 n'a pas renvoyé son auto-questionnaire 2 mois.</t>
  </si>
  <si>
    <t>19sept:Ne souhaite pas inclure d'autres patients.</t>
  </si>
  <si>
    <t>16oct: se désiste n'a vraiment pas le temps</t>
  </si>
  <si>
    <t>WFRM03272533</t>
  </si>
  <si>
    <t>ELNEKAVE France Léa</t>
  </si>
  <si>
    <t>SMS - Courrier - Téléphone</t>
  </si>
  <si>
    <t>WFRM03422545</t>
  </si>
  <si>
    <t>FAVEREAU Brigitte</t>
  </si>
  <si>
    <t>03nov: Souhaite recevoir 2 nv CRF=&gt; envoi le 12nov</t>
  </si>
  <si>
    <t>05/11: accepte 1 patient supp=&gt; envoi le 26nov</t>
  </si>
  <si>
    <t>05nov: souhaite recevoir 2 cahiers supp=&gt; envoyé le 12nov</t>
  </si>
  <si>
    <t>Courrier - Téléphone</t>
  </si>
  <si>
    <t>Reste 2 patients à inclure</t>
  </si>
  <si>
    <t>Colonne1</t>
  </si>
  <si>
    <t>demande le renvoi visite d'inclusion patient 01</t>
  </si>
  <si>
    <t>Demande le renvoi visite inclusion patient 2 = a retrouvé les papiers va nous renvoyer inclusion + 2 visites de suivi</t>
  </si>
</sst>
</file>

<file path=xl/styles.xml><?xml version="1.0" encoding="utf-8"?>
<styleSheet xmlns="http://schemas.openxmlformats.org/spreadsheetml/2006/main">
  <numFmts count="2">
    <numFmt numFmtId="164" formatCode="dd/mm/yy;@"/>
    <numFmt numFmtId="165" formatCode="dd/mm/yy"/>
  </numFmts>
  <fonts count="30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39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1" fillId="0" borderId="0" xfId="2" applyAlignment="1" applyProtection="1">
      <alignment horizontal="center" vertical="center"/>
    </xf>
    <xf numFmtId="22" fontId="0" fillId="0" borderId="0" xfId="0" applyNumberFormat="1" applyAlignment="1">
      <alignment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22" fontId="0" fillId="0" borderId="0" xfId="0" applyNumberFormat="1" applyAlignment="1">
      <alignment vertical="center"/>
    </xf>
    <xf numFmtId="22" fontId="0" fillId="0" borderId="0" xfId="0" applyNumberFormat="1" applyAlignment="1">
      <alignment vertical="center" wrapText="1"/>
    </xf>
    <xf numFmtId="0" fontId="0" fillId="0" borderId="0" xfId="0" applyNumberFormat="1" applyBorder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0" fontId="5" fillId="2" borderId="0" xfId="1" applyFont="1" applyFill="1" applyAlignment="1">
      <alignment horizontal="left" vertical="center" wrapText="1"/>
    </xf>
    <xf numFmtId="0" fontId="5" fillId="2" borderId="0" xfId="1" applyFont="1" applyFill="1" applyBorder="1" applyAlignment="1">
      <alignment horizontal="left" vertical="center" wrapText="1"/>
    </xf>
    <xf numFmtId="0" fontId="0" fillId="0" borderId="0" xfId="0" applyBorder="1" applyAlignment="1">
      <alignment vertical="center" wrapText="1"/>
    </xf>
    <xf numFmtId="22" fontId="0" fillId="0" borderId="0" xfId="0" applyNumberFormat="1" applyBorder="1" applyAlignment="1">
      <alignment vertical="center" wrapText="1"/>
    </xf>
    <xf numFmtId="0" fontId="0" fillId="0" borderId="0" xfId="0" applyAlignment="1">
      <alignment vertical="center" wrapText="1"/>
    </xf>
    <xf numFmtId="0" fontId="26" fillId="0" borderId="0" xfId="0" applyFont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14" fontId="0" fillId="0" borderId="0" xfId="0" applyNumberFormat="1"/>
    <xf numFmtId="0" fontId="27" fillId="0" borderId="0" xfId="0" applyFont="1" applyAlignment="1">
      <alignment horizontal="center" vertical="center" wrapText="1"/>
    </xf>
    <xf numFmtId="0" fontId="27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28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11" borderId="0" xfId="0" applyFill="1" applyAlignment="1">
      <alignment vertical="center"/>
    </xf>
    <xf numFmtId="0" fontId="11" fillId="11" borderId="0" xfId="2" applyFill="1" applyAlignment="1" applyProtection="1">
      <alignment horizontal="center" vertical="center"/>
    </xf>
    <xf numFmtId="22" fontId="0" fillId="11" borderId="0" xfId="0" applyNumberFormat="1" applyFill="1" applyAlignment="1">
      <alignment vertical="center"/>
    </xf>
    <xf numFmtId="164" fontId="0" fillId="11" borderId="0" xfId="0" applyNumberForma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22" fontId="0" fillId="11" borderId="0" xfId="0" applyNumberFormat="1" applyFill="1" applyAlignment="1">
      <alignment vertical="center" wrapText="1"/>
    </xf>
    <xf numFmtId="164" fontId="0" fillId="11" borderId="0" xfId="0" applyNumberFormat="1" applyFill="1" applyAlignment="1">
      <alignment vertical="center"/>
    </xf>
    <xf numFmtId="0" fontId="29" fillId="12" borderId="5" xfId="0" applyFont="1" applyFill="1" applyBorder="1" applyAlignment="1">
      <alignment wrapText="1"/>
    </xf>
    <xf numFmtId="0" fontId="29" fillId="12" borderId="5" xfId="0" applyFont="1" applyFill="1" applyBorder="1" applyAlignment="1">
      <alignment vertical="center" wrapText="1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283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64" formatCode="dd/mm/yy;@"/>
      <alignment horizontal="general" vertical="center" textRotation="0" wrapText="0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27" formatCode="m/d/yyyy\ h:mm"/>
      <alignment horizontal="general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  <protection locked="1" hidden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alignment horizontal="general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282"/>
      <tableStyleElement type="headerRow" dxfId="281"/>
      <tableStyleElement type="totalRow" dxfId="280"/>
      <tableStyleElement type="firstColumn" dxfId="279"/>
      <tableStyleElement type="lastColumn" dxfId="278"/>
      <tableStyleElement type="firstRowStripe" dxfId="277"/>
      <tableStyleElement type="secondRowStripe" dxfId="276"/>
      <tableStyleElement type="firstColumnStripe" dxfId="275"/>
      <tableStyleElement type="secondColumnStripe" dxfId="274"/>
    </tableStyle>
    <tableStyle name="TableStyleLight8 2" pivot="0" count="9">
      <tableStyleElement type="wholeTable" dxfId="273"/>
      <tableStyleElement type="headerRow" dxfId="272"/>
      <tableStyleElement type="totalRow" dxfId="271"/>
      <tableStyleElement type="firstColumn" dxfId="270"/>
      <tableStyleElement type="lastColumn" dxfId="269"/>
      <tableStyleElement type="firstRowStripe" dxfId="268"/>
      <tableStyleElement type="secondRowStripe" dxfId="267"/>
      <tableStyleElement type="firstColumnStripe" dxfId="266"/>
      <tableStyleElement type="secondColumnStripe" dxfId="265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1.xml><?xml version="1.0" encoding="utf-8"?>
<queryTable xmlns="http://schemas.openxmlformats.org/spreadsheetml/2006/main" name="Lancer la requête à partir de MS Access Database" adjustColumnWidth="0" connectionId="11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2.xml><?xml version="1.0" encoding="utf-8"?>
<queryTable xmlns="http://schemas.openxmlformats.org/spreadsheetml/2006/main" name="Lancer la requête à partir de MS Access Database" adjustColumnWidth="0" connectionId="1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3.xml><?xml version="1.0" encoding="utf-8"?>
<queryTable xmlns="http://schemas.openxmlformats.org/spreadsheetml/2006/main" name="Lancer la requête à partir de MS Access Database" adjustColumnWidth="0" connectionId="1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L20" tableType="queryTable" totalsRowCount="1" headerRowDxfId="264" dataDxfId="263">
  <tableColumns count="12">
    <tableColumn id="1" uniqueName="1" name="Code Secteur" queryTableFieldId="1" dataDxfId="251" totalsRowDxfId="252"/>
    <tableColumn id="2" uniqueName="2" name="VM" queryTableFieldId="2" dataDxfId="250" totalsRowDxfId="253"/>
    <tableColumn id="3" uniqueName="3" name="Code médecin" totalsRowLabel="TOTAL" queryTableFieldId="3" dataDxfId="249" totalsRowDxfId="254" dataCellStyle="Lien hypertexte"/>
    <tableColumn id="4" uniqueName="4" name="Medecin" totalsRowFunction="custom" queryTableFieldId="4" dataDxfId="248" totalsRowDxfId="255">
      <totalsRowFormula>SUBTOTAL(3,D8:D19)</totalsRowFormula>
    </tableColumn>
    <tableColumn id="5" uniqueName="5" name="Date de réception convention financière" totalsRowFunction="custom" queryTableFieldId="5" dataDxfId="247" totalsRowDxfId="256">
      <totalsRowFormula>SUBTOTAL(3,[Date de réception convention financière])</totalsRowFormula>
    </tableColumn>
    <tableColumn id="6" uniqueName="6" name="Date de réception AR kit" totalsRowFunction="custom" queryTableFieldId="6" dataDxfId="246" totalsRowDxfId="257">
      <totalsRowFormula>SUBTOTAL(3,[Date de réception AR kit])</totalsRowFormula>
    </tableColumn>
    <tableColumn id="7" uniqueName="7" name="Date de MEP" totalsRowFunction="custom" queryTableFieldId="7" dataDxfId="245" totalsRowDxfId="258">
      <totalsRowFormula>SUBTOTAL(3,[Date de MEP])</totalsRowFormula>
    </tableColumn>
    <tableColumn id="8" uniqueName="8" name="Desistement" totalsRowFunction="custom" queryTableFieldId="8" dataDxfId="244" totalsRowDxfId="259">
      <totalsRowFormula>SUBTOTAL(3,[Desistement])</totalsRowFormula>
    </tableColumn>
    <tableColumn id="9" uniqueName="9" name="Nb Total Patients inclus" totalsRowFunction="custom" queryTableFieldId="9" dataDxfId="243" totalsRowDxfId="260">
      <totalsRowFormula>SUBTOTAL(109,I8:I19)</totalsRowFormula>
    </tableColumn>
    <tableColumn id="10" uniqueName="10" name="Comptes-rendus contact médecin-GECEM" queryTableFieldId="10" dataDxfId="242" totalsRowDxfId="261"/>
    <tableColumn id="11" uniqueName="11" name="Date" queryTableFieldId="11" dataDxfId="241" totalsRowDxfId="262"/>
    <tableColumn id="12" uniqueName="12" name="Colonne1" queryTableFieldId="12" dataDxfId="240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" name="Tableau_Lancer_la_requête_à_partir_de_MS_Access_Database" displayName="Tableau_Lancer_la_requête_à_partir_de_MS_Access_Database" ref="B9:U12" tableType="queryTable" totalsRowShown="0">
  <autoFilter ref="B9:U12"/>
  <tableColumns count="20">
    <tableColumn id="1" uniqueName="1" name="Num_Centre" queryTableFieldId="1" dataDxfId="239"/>
    <tableColumn id="2" uniqueName="2" name="Investigateur" queryTableFieldId="2" dataDxfId="238"/>
    <tableColumn id="3" uniqueName="3" name="Num_Patient" queryTableFieldId="3" dataDxfId="237"/>
    <tableColumn id="4" uniqueName="4" name="INCLUSION_Visite" queryTableFieldId="4" dataDxfId="236"/>
    <tableColumn id="5" uniqueName="5" name="INCLUSION_Reception" queryTableFieldId="5" dataDxfId="235"/>
    <tableColumn id="6" uniqueName="6" name="AQINCLUSION_Reception" queryTableFieldId="6" dataDxfId="234"/>
    <tableColumn id="7" uniqueName="7" name="CONTACT_Reception" queryTableFieldId="7" dataDxfId="233"/>
    <tableColumn id="8" uniqueName="8" name="TypeRappel" queryTableFieldId="8" dataDxfId="232"/>
    <tableColumn id="9" uniqueName="9" name="AQ7Theo" queryTableFieldId="9" dataDxfId="231"/>
    <tableColumn id="10" uniqueName="10" name="AQJ7_Reception" queryTableFieldId="10" dataDxfId="230"/>
    <tableColumn id="11" uniqueName="11" name="AQ_M2_Theo" queryTableFieldId="11" dataDxfId="229"/>
    <tableColumn id="12" uniqueName="12" name="AQM2_Reception" queryTableFieldId="12" dataDxfId="228"/>
    <tableColumn id="13" uniqueName="13" name="VP_Theo" queryTableFieldId="13" dataDxfId="227"/>
    <tableColumn id="14" uniqueName="14" name="PRECOCE_Visite" queryTableFieldId="14" dataDxfId="226"/>
    <tableColumn id="15" uniqueName="15" name="PRECOCE_Reception" queryTableFieldId="15" dataDxfId="225"/>
    <tableColumn id="16" uniqueName="16" name="VT_Theo" queryTableFieldId="16" dataDxfId="224"/>
    <tableColumn id="17" uniqueName="17" name="TARDIF_Visite" queryTableFieldId="17" dataDxfId="223"/>
    <tableColumn id="18" uniqueName="18" name="TARDIF_Reception" queryTableFieldId="18" dataDxfId="222"/>
    <tableColumn id="19" uniqueName="19" name="Onekey" queryTableFieldId="19" dataDxfId="221"/>
    <tableColumn id="20" uniqueName="20" name="Date" queryTableFieldId="20" dataDxfId="22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3" name="Tableau_Lancer_la_requête_à_partir_de_MS_Access_Database4" displayName="Tableau_Lancer_la_requête_à_partir_de_MS_Access_Database4" ref="B9:U16" tableType="queryTable" totalsRowShown="0">
  <autoFilter ref="B9:U16"/>
  <tableColumns count="20">
    <tableColumn id="1" uniqueName="1" name="Num_Centre" queryTableFieldId="1" dataDxfId="219"/>
    <tableColumn id="2" uniqueName="2" name="Investigateur" queryTableFieldId="2" dataDxfId="218"/>
    <tableColumn id="3" uniqueName="3" name="Num_Patient" queryTableFieldId="3" dataDxfId="217"/>
    <tableColumn id="4" uniqueName="4" name="INCLUSION_Visite" queryTableFieldId="4" dataDxfId="216"/>
    <tableColumn id="5" uniqueName="5" name="INCLUSION_Reception" queryTableFieldId="5" dataDxfId="215"/>
    <tableColumn id="6" uniqueName="6" name="AQINCLUSION_Reception" queryTableFieldId="6" dataDxfId="214"/>
    <tableColumn id="7" uniqueName="7" name="CONTACT_Reception" queryTableFieldId="7" dataDxfId="213"/>
    <tableColumn id="8" uniqueName="8" name="TypeRappel" queryTableFieldId="8" dataDxfId="212"/>
    <tableColumn id="9" uniqueName="9" name="AQ7Theo" queryTableFieldId="9" dataDxfId="211"/>
    <tableColumn id="10" uniqueName="10" name="AQJ7_Reception" queryTableFieldId="10" dataDxfId="210"/>
    <tableColumn id="11" uniqueName="11" name="AQ_M2_Theo" queryTableFieldId="11" dataDxfId="209"/>
    <tableColumn id="12" uniqueName="12" name="AQM2_Reception" queryTableFieldId="12" dataDxfId="208"/>
    <tableColumn id="13" uniqueName="13" name="VP_Theo" queryTableFieldId="13" dataDxfId="207"/>
    <tableColumn id="14" uniqueName="14" name="PRECOCE_Visite" queryTableFieldId="14" dataDxfId="206"/>
    <tableColumn id="15" uniqueName="15" name="PRECOCE_Reception" queryTableFieldId="15" dataDxfId="205"/>
    <tableColumn id="16" uniqueName="16" name="VT_Theo" queryTableFieldId="16" dataDxfId="204"/>
    <tableColumn id="17" uniqueName="17" name="TARDIF_Visite" queryTableFieldId="17" dataDxfId="203"/>
    <tableColumn id="18" uniqueName="18" name="TARDIF_Reception" queryTableFieldId="18" dataDxfId="202"/>
    <tableColumn id="19" uniqueName="19" name="Onekey" queryTableFieldId="19" dataDxfId="201"/>
    <tableColumn id="20" uniqueName="20" name="Date" queryTableFieldId="20" dataDxfId="20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4" name="Tableau_Lancer_la_requête_à_partir_de_MS_Access_Database45" displayName="Tableau_Lancer_la_requête_à_partir_de_MS_Access_Database45" ref="B9:U14" tableType="queryTable" totalsRowShown="0">
  <autoFilter ref="B9:U14"/>
  <tableColumns count="20">
    <tableColumn id="1" uniqueName="1" name="Num_Centre" queryTableFieldId="1" dataDxfId="199"/>
    <tableColumn id="2" uniqueName="2" name="Investigateur" queryTableFieldId="2" dataDxfId="198"/>
    <tableColumn id="3" uniqueName="3" name="Num_Patient" queryTableFieldId="3" dataDxfId="197"/>
    <tableColumn id="4" uniqueName="4" name="INCLUSION_Visite" queryTableFieldId="4" dataDxfId="196"/>
    <tableColumn id="5" uniqueName="5" name="INCLUSION_Reception" queryTableFieldId="5" dataDxfId="195"/>
    <tableColumn id="6" uniqueName="6" name="AQINCLUSION_Reception" queryTableFieldId="6" dataDxfId="194"/>
    <tableColumn id="7" uniqueName="7" name="CONTACT_Reception" queryTableFieldId="7" dataDxfId="193"/>
    <tableColumn id="8" uniqueName="8" name="TypeRappel" queryTableFieldId="8" dataDxfId="192"/>
    <tableColumn id="9" uniqueName="9" name="AQ7Theo" queryTableFieldId="9" dataDxfId="191"/>
    <tableColumn id="10" uniqueName="10" name="AQJ7_Reception" queryTableFieldId="10" dataDxfId="190"/>
    <tableColumn id="11" uniqueName="11" name="AQ_M2_Theo" queryTableFieldId="11" dataDxfId="189"/>
    <tableColumn id="12" uniqueName="12" name="AQM2_Reception" queryTableFieldId="12" dataDxfId="188"/>
    <tableColumn id="13" uniqueName="13" name="VP_Theo" queryTableFieldId="13" dataDxfId="187"/>
    <tableColumn id="14" uniqueName="14" name="PRECOCE_Visite" queryTableFieldId="14" dataDxfId="186"/>
    <tableColumn id="15" uniqueName="15" name="PRECOCE_Reception" queryTableFieldId="15" dataDxfId="185"/>
    <tableColumn id="16" uniqueName="16" name="VT_Theo" queryTableFieldId="16" dataDxfId="184"/>
    <tableColumn id="17" uniqueName="17" name="TARDIF_Visite" queryTableFieldId="17" dataDxfId="183"/>
    <tableColumn id="18" uniqueName="18" name="TARDIF_Reception" queryTableFieldId="18" dataDxfId="182"/>
    <tableColumn id="19" uniqueName="19" name="Onekey" queryTableFieldId="19" dataDxfId="181"/>
    <tableColumn id="20" uniqueName="20" name="Date" queryTableFieldId="20" dataDxfId="18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12" name="Tableau_Lancer_la_requête_à_partir_de_MS_Access_Database45613" displayName="Tableau_Lancer_la_requête_à_partir_de_MS_Access_Database45613" ref="B9:U12" tableType="queryTable" totalsRowShown="0">
  <autoFilter ref="B9:U12"/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13" name="Tableau_Lancer_la_requête_à_partir_de_MS_Access_Database4561314" displayName="Tableau_Lancer_la_requête_à_partir_de_MS_Access_Database4561314" ref="B9:U12" tableType="queryTable" totalsRowShown="0">
  <autoFilter ref="B9:U12"/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5" name="Tableau_Lancer_la_requête_à_partir_de_MS_Access_Database456" displayName="Tableau_Lancer_la_requête_à_partir_de_MS_Access_Database456" ref="B9:U12" tableType="queryTable" totalsRowShown="0">
  <autoFilter ref="B9:U12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2" tableType="queryTable" totalsRowShown="0">
  <autoFilter ref="B9:U12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7" name="Tableau_Lancer_la_requête_à_partir_de_MS_Access_Database45678" displayName="Tableau_Lancer_la_requête_à_partir_de_MS_Access_Database45678" ref="B9:U15" tableType="queryTable" totalsRowShown="0">
  <autoFilter ref="B9:U15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8" name="Tableau_Lancer_la_requête_à_partir_de_MS_Access_Database456789" displayName="Tableau_Lancer_la_requête_à_partir_de_MS_Access_Database456789" ref="B9:U12" tableType="queryTable" totalsRowShown="0">
  <autoFilter ref="B9:U12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11.xml><?xml version="1.0" encoding="utf-8"?>
<table xmlns="http://schemas.openxmlformats.org/spreadsheetml/2006/main" id="9" name="Tableau_Lancer_la_requête_à_partir_de_MS_Access_Database45678910" displayName="Tableau_Lancer_la_requête_à_partir_de_MS_Access_Database45678910" ref="B9:U12" tableType="queryTable" totalsRowShown="0">
  <autoFilter ref="B9:U12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12.xml><?xml version="1.0" encoding="utf-8"?>
<table xmlns="http://schemas.openxmlformats.org/spreadsheetml/2006/main" id="11" name="Tableau_Lancer_la_requête_à_partir_de_MS_Access_Database456789101112" displayName="Tableau_Lancer_la_requête_à_partir_de_MS_Access_Database456789101112" ref="B9:U12" tableType="queryTable" totalsRowShown="0">
  <autoFilter ref="B9:U12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3.xml><?xml version="1.0" encoding="utf-8"?>
<table xmlns="http://schemas.openxmlformats.org/spreadsheetml/2006/main" id="10" name="Tableau_Lancer_la_requête_à_partir_de_MS_Access_Database4567891011" displayName="Tableau_Lancer_la_requête_à_partir_de_MS_Access_Database4567891011" ref="B9:U16" tableType="queryTable" totalsRowShown="0">
  <autoFilter ref="B9:U16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22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style="96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J1" s="92"/>
      <c r="K1" s="2"/>
    </row>
    <row r="2" spans="1:17" s="3" customFormat="1" ht="15.75">
      <c r="C2" s="17"/>
      <c r="D2" s="4"/>
      <c r="E2" s="11" t="s">
        <v>13</v>
      </c>
      <c r="F2" s="30" t="str">
        <f>$A$19</f>
        <v>DE0106</v>
      </c>
      <c r="G2" s="122" t="str">
        <f>$B$19</f>
        <v>OUGAZZADEN Fatiha</v>
      </c>
      <c r="H2" s="122"/>
      <c r="I2" s="122"/>
      <c r="J2" s="92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$K$19</f>
        <v>42306</v>
      </c>
      <c r="E3" s="22"/>
      <c r="F3" s="22"/>
      <c r="G3" s="22"/>
      <c r="H3" s="22"/>
      <c r="I3" s="17"/>
      <c r="J3" s="92"/>
      <c r="K3" s="2"/>
    </row>
    <row r="4" spans="1:17" s="3" customFormat="1">
      <c r="C4" s="17"/>
      <c r="D4" s="4"/>
      <c r="E4" s="22"/>
      <c r="F4" s="22"/>
      <c r="G4" s="22"/>
      <c r="H4" s="22"/>
      <c r="I4" s="17"/>
      <c r="J4" s="92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93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94"/>
    </row>
    <row r="7" spans="1:17" s="15" customFormat="1" ht="45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  <c r="L7" s="15" t="s">
        <v>101</v>
      </c>
    </row>
    <row r="8" spans="1:17" s="79" customFormat="1">
      <c r="A8" s="79" t="s">
        <v>59</v>
      </c>
      <c r="B8" s="79" t="s">
        <v>60</v>
      </c>
      <c r="C8" s="80" t="s">
        <v>61</v>
      </c>
      <c r="D8" s="81" t="s">
        <v>62</v>
      </c>
      <c r="E8" s="82">
        <v>41709</v>
      </c>
      <c r="F8" s="82">
        <v>41753</v>
      </c>
      <c r="G8" s="82">
        <v>41752</v>
      </c>
      <c r="H8" s="82">
        <v>41928</v>
      </c>
      <c r="I8" s="83"/>
      <c r="J8" s="86" t="s">
        <v>90</v>
      </c>
      <c r="K8" s="84">
        <v>42306</v>
      </c>
    </row>
    <row r="9" spans="1:17" s="113" customFormat="1" ht="45">
      <c r="A9" s="113" t="s">
        <v>59</v>
      </c>
      <c r="B9" s="113" t="s">
        <v>60</v>
      </c>
      <c r="C9" s="114" t="s">
        <v>63</v>
      </c>
      <c r="D9" s="115" t="s">
        <v>64</v>
      </c>
      <c r="E9" s="116">
        <v>41716</v>
      </c>
      <c r="F9" s="116">
        <v>41744</v>
      </c>
      <c r="G9" s="116">
        <v>41740</v>
      </c>
      <c r="H9" s="116"/>
      <c r="I9" s="117">
        <v>5</v>
      </c>
      <c r="J9" s="118" t="s">
        <v>96</v>
      </c>
      <c r="K9" s="119">
        <v>42306</v>
      </c>
      <c r="L9" s="120" t="s">
        <v>100</v>
      </c>
    </row>
    <row r="10" spans="1:17" s="113" customFormat="1" ht="45">
      <c r="A10" s="113" t="s">
        <v>59</v>
      </c>
      <c r="B10" s="113" t="s">
        <v>60</v>
      </c>
      <c r="C10" s="114" t="s">
        <v>65</v>
      </c>
      <c r="D10" s="115" t="s">
        <v>66</v>
      </c>
      <c r="E10" s="116">
        <v>41702</v>
      </c>
      <c r="F10" s="116">
        <v>41745</v>
      </c>
      <c r="G10" s="116">
        <v>41739</v>
      </c>
      <c r="H10" s="116"/>
      <c r="I10" s="117">
        <v>3</v>
      </c>
      <c r="J10" s="118"/>
      <c r="K10" s="119">
        <v>42306</v>
      </c>
      <c r="L10" s="121" t="s">
        <v>100</v>
      </c>
    </row>
    <row r="11" spans="1:17" s="79" customFormat="1">
      <c r="A11" s="79" t="s">
        <v>59</v>
      </c>
      <c r="B11" s="79" t="s">
        <v>60</v>
      </c>
      <c r="C11" s="80" t="s">
        <v>91</v>
      </c>
      <c r="D11" s="85" t="s">
        <v>92</v>
      </c>
      <c r="E11" s="82">
        <v>41933</v>
      </c>
      <c r="F11" s="82">
        <v>41983</v>
      </c>
      <c r="G11" s="82">
        <v>41982</v>
      </c>
      <c r="H11" s="82"/>
      <c r="I11" s="83">
        <v>1</v>
      </c>
      <c r="J11" s="86" t="s">
        <v>102</v>
      </c>
      <c r="K11" s="84">
        <v>42306</v>
      </c>
    </row>
    <row r="12" spans="1:17" s="79" customFormat="1">
      <c r="A12" s="79" t="s">
        <v>59</v>
      </c>
      <c r="B12" s="79" t="s">
        <v>60</v>
      </c>
      <c r="C12" s="80" t="s">
        <v>94</v>
      </c>
      <c r="D12" s="81" t="s">
        <v>95</v>
      </c>
      <c r="E12" s="82">
        <v>41964</v>
      </c>
      <c r="F12" s="82">
        <v>41992</v>
      </c>
      <c r="G12" s="82">
        <v>41988</v>
      </c>
      <c r="H12" s="82"/>
      <c r="I12" s="83">
        <v>3</v>
      </c>
      <c r="J12" s="86"/>
      <c r="K12" s="84">
        <v>42306</v>
      </c>
    </row>
    <row r="13" spans="1:17" s="79" customFormat="1" ht="30">
      <c r="A13" s="79" t="s">
        <v>59</v>
      </c>
      <c r="B13" s="79" t="s">
        <v>60</v>
      </c>
      <c r="C13" s="80" t="s">
        <v>67</v>
      </c>
      <c r="D13" s="81" t="s">
        <v>68</v>
      </c>
      <c r="E13" s="82">
        <v>41712</v>
      </c>
      <c r="F13" s="82">
        <v>41744</v>
      </c>
      <c r="G13" s="82">
        <v>41740</v>
      </c>
      <c r="H13" s="82"/>
      <c r="I13" s="83">
        <v>2</v>
      </c>
      <c r="J13" s="86" t="s">
        <v>103</v>
      </c>
      <c r="K13" s="84">
        <v>42306</v>
      </c>
    </row>
    <row r="14" spans="1:17" s="79" customFormat="1">
      <c r="A14" s="79" t="s">
        <v>59</v>
      </c>
      <c r="B14" s="79" t="s">
        <v>60</v>
      </c>
      <c r="C14" s="80" t="s">
        <v>69</v>
      </c>
      <c r="D14" s="81" t="s">
        <v>70</v>
      </c>
      <c r="E14" s="82">
        <v>41696</v>
      </c>
      <c r="F14" s="82">
        <v>41753</v>
      </c>
      <c r="G14" s="82">
        <v>41744</v>
      </c>
      <c r="H14" s="82"/>
      <c r="I14" s="83">
        <v>3</v>
      </c>
      <c r="J14" s="86"/>
      <c r="K14" s="84">
        <v>42306</v>
      </c>
    </row>
    <row r="15" spans="1:17" s="79" customFormat="1">
      <c r="A15" s="79" t="s">
        <v>59</v>
      </c>
      <c r="B15" s="79" t="s">
        <v>60</v>
      </c>
      <c r="C15" s="80" t="s">
        <v>71</v>
      </c>
      <c r="D15" s="81" t="s">
        <v>72</v>
      </c>
      <c r="E15" s="82">
        <v>41701</v>
      </c>
      <c r="F15" s="82">
        <v>41744</v>
      </c>
      <c r="G15" s="82">
        <v>41739</v>
      </c>
      <c r="H15" s="82"/>
      <c r="I15" s="83">
        <v>5</v>
      </c>
      <c r="J15" s="86" t="s">
        <v>97</v>
      </c>
      <c r="K15" s="84">
        <v>42306</v>
      </c>
    </row>
    <row r="16" spans="1:17" s="79" customFormat="1" ht="30">
      <c r="A16" s="79" t="s">
        <v>59</v>
      </c>
      <c r="B16" s="79" t="s">
        <v>60</v>
      </c>
      <c r="C16" s="80" t="s">
        <v>73</v>
      </c>
      <c r="D16" s="85" t="s">
        <v>74</v>
      </c>
      <c r="E16" s="82">
        <v>41717</v>
      </c>
      <c r="F16" s="82">
        <v>41771</v>
      </c>
      <c r="G16" s="82">
        <v>41764</v>
      </c>
      <c r="H16" s="82"/>
      <c r="I16" s="83">
        <v>3</v>
      </c>
      <c r="J16" s="86" t="s">
        <v>88</v>
      </c>
      <c r="K16" s="84">
        <v>42306</v>
      </c>
    </row>
    <row r="17" spans="1:12" s="79" customFormat="1">
      <c r="A17" s="79" t="s">
        <v>59</v>
      </c>
      <c r="B17" s="79" t="s">
        <v>60</v>
      </c>
      <c r="C17" s="80" t="s">
        <v>75</v>
      </c>
      <c r="D17" s="85" t="s">
        <v>76</v>
      </c>
      <c r="E17" s="82">
        <v>41698</v>
      </c>
      <c r="F17" s="82">
        <v>41785</v>
      </c>
      <c r="G17" s="82">
        <v>41780</v>
      </c>
      <c r="H17" s="82"/>
      <c r="I17" s="83">
        <v>3</v>
      </c>
      <c r="J17" s="86" t="s">
        <v>89</v>
      </c>
      <c r="K17" s="84">
        <v>42306</v>
      </c>
    </row>
    <row r="18" spans="1:12">
      <c r="A18" s="79" t="s">
        <v>59</v>
      </c>
      <c r="B18" s="79" t="s">
        <v>60</v>
      </c>
      <c r="C18" s="80" t="s">
        <v>79</v>
      </c>
      <c r="D18" s="85" t="s">
        <v>80</v>
      </c>
      <c r="E18" s="82">
        <v>41780</v>
      </c>
      <c r="F18" s="82">
        <v>41821</v>
      </c>
      <c r="G18" s="82">
        <v>41796</v>
      </c>
      <c r="H18" s="82"/>
      <c r="I18" s="83">
        <v>2</v>
      </c>
      <c r="J18" s="86" t="s">
        <v>87</v>
      </c>
      <c r="K18" s="84">
        <v>42306</v>
      </c>
      <c r="L18" s="79"/>
    </row>
    <row r="19" spans="1:12">
      <c r="A19" s="79" t="s">
        <v>59</v>
      </c>
      <c r="B19" s="79" t="s">
        <v>60</v>
      </c>
      <c r="C19" s="80" t="s">
        <v>78</v>
      </c>
      <c r="D19" s="85" t="s">
        <v>77</v>
      </c>
      <c r="E19" s="82">
        <v>41746</v>
      </c>
      <c r="F19" s="82">
        <v>41771</v>
      </c>
      <c r="G19" s="82">
        <v>41764</v>
      </c>
      <c r="H19" s="82"/>
      <c r="I19" s="83">
        <v>7</v>
      </c>
      <c r="J19" s="86" t="s">
        <v>98</v>
      </c>
      <c r="K19" s="84">
        <v>42306</v>
      </c>
      <c r="L19" s="79"/>
    </row>
    <row r="20" spans="1:12">
      <c r="A20" s="28"/>
      <c r="B20" s="28"/>
      <c r="C20" s="27" t="s">
        <v>15</v>
      </c>
      <c r="D20" s="32">
        <f>SUBTOTAL(3,D8:D19)</f>
        <v>12</v>
      </c>
      <c r="E20" s="32">
        <f>SUBTOTAL(3,[Date de réception convention financière])</f>
        <v>12</v>
      </c>
      <c r="F20" s="32">
        <f>SUBTOTAL(3,[Date de réception AR kit])</f>
        <v>12</v>
      </c>
      <c r="G20" s="32">
        <f>SUBTOTAL(3,[Date de MEP])</f>
        <v>12</v>
      </c>
      <c r="H20" s="87">
        <f>SUBTOTAL(3,[Desistement])</f>
        <v>1</v>
      </c>
      <c r="I20" s="27">
        <f>SUBTOTAL(109,I8:I19)</f>
        <v>37</v>
      </c>
      <c r="J20" s="95"/>
      <c r="K20" s="31"/>
    </row>
    <row r="21" spans="1:12">
      <c r="D21" s="10"/>
      <c r="J21" s="86"/>
    </row>
    <row r="22" spans="1:12">
      <c r="C22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23" t="s">
        <v>16</v>
      </c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25"/>
      <c r="M3" s="125"/>
      <c r="N3" s="125"/>
      <c r="O3" s="55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38" t="s">
        <v>58</v>
      </c>
      <c r="E4" s="138"/>
      <c r="F4" s="52">
        <f>$U$12</f>
        <v>42306</v>
      </c>
      <c r="G4" s="49"/>
      <c r="H4" s="49"/>
      <c r="I4" s="33"/>
      <c r="J4" s="49"/>
      <c r="K4" s="49"/>
      <c r="L4" s="56" t="s">
        <v>17</v>
      </c>
      <c r="M4" s="62">
        <f>$B$12</f>
        <v>79</v>
      </c>
      <c r="N4" s="126" t="str">
        <f>$C$12</f>
        <v>BERESTYCKI Laurence</v>
      </c>
      <c r="O4" s="126"/>
      <c r="P4" s="126"/>
      <c r="Q4" s="126"/>
      <c r="R4" s="126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27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29" t="s">
        <v>19</v>
      </c>
      <c r="F7" s="130"/>
      <c r="G7" s="130"/>
      <c r="H7" s="130"/>
      <c r="I7" s="130"/>
      <c r="J7" s="131" t="s">
        <v>20</v>
      </c>
      <c r="K7" s="132"/>
      <c r="L7" s="133" t="s">
        <v>21</v>
      </c>
      <c r="M7" s="133"/>
      <c r="N7" s="134" t="s">
        <v>22</v>
      </c>
      <c r="O7" s="135"/>
      <c r="P7" s="136"/>
      <c r="Q7" s="137" t="s">
        <v>23</v>
      </c>
      <c r="R7" s="135"/>
      <c r="S7" s="136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59" t="s">
        <v>32</v>
      </c>
      <c r="M8" s="59" t="s">
        <v>31</v>
      </c>
      <c r="N8" s="60" t="s">
        <v>33</v>
      </c>
      <c r="O8" s="60" t="s">
        <v>34</v>
      </c>
      <c r="P8" s="60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79</v>
      </c>
      <c r="C10" s="41" t="s">
        <v>62</v>
      </c>
      <c r="D10" s="19">
        <v>1</v>
      </c>
      <c r="E10" s="25"/>
      <c r="F10" s="25"/>
      <c r="G10" s="25"/>
      <c r="H10" s="25"/>
      <c r="I10" s="43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1" t="s">
        <v>61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25.5">
      <c r="B11" s="72">
        <v>79</v>
      </c>
      <c r="C11" s="73" t="s">
        <v>62</v>
      </c>
      <c r="D11" s="19">
        <v>2</v>
      </c>
      <c r="I11" s="74" t="s">
        <v>57</v>
      </c>
      <c r="T11" s="73" t="s">
        <v>61</v>
      </c>
      <c r="U11" s="12">
        <v>42306</v>
      </c>
    </row>
    <row r="12" spans="2:48" ht="25.5">
      <c r="B12" s="72">
        <v>79</v>
      </c>
      <c r="C12" s="73" t="s">
        <v>62</v>
      </c>
      <c r="D12" s="19">
        <v>3</v>
      </c>
      <c r="I12" s="74" t="s">
        <v>57</v>
      </c>
      <c r="T12" s="73" t="s">
        <v>61</v>
      </c>
      <c r="U12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AV16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23" t="s">
        <v>16</v>
      </c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25"/>
      <c r="M3" s="125"/>
      <c r="N3" s="125"/>
      <c r="O3" s="63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38" t="s">
        <v>58</v>
      </c>
      <c r="E4" s="138"/>
      <c r="F4" s="52">
        <f>$U$16</f>
        <v>42306</v>
      </c>
      <c r="G4" s="49"/>
      <c r="H4" s="49"/>
      <c r="I4" s="33"/>
      <c r="J4" s="49"/>
      <c r="K4" s="49"/>
      <c r="L4" s="64" t="s">
        <v>17</v>
      </c>
      <c r="M4" s="62">
        <f>$B$16</f>
        <v>83</v>
      </c>
      <c r="N4" s="126" t="str">
        <f>$C$16</f>
        <v>BERNARD EXTERMANN Catherine</v>
      </c>
      <c r="O4" s="126"/>
      <c r="P4" s="126"/>
      <c r="Q4" s="126"/>
      <c r="R4" s="126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27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29" t="s">
        <v>19</v>
      </c>
      <c r="F7" s="130"/>
      <c r="G7" s="130"/>
      <c r="H7" s="130"/>
      <c r="I7" s="130"/>
      <c r="J7" s="131" t="s">
        <v>20</v>
      </c>
      <c r="K7" s="132"/>
      <c r="L7" s="133" t="s">
        <v>21</v>
      </c>
      <c r="M7" s="133"/>
      <c r="N7" s="134" t="s">
        <v>22</v>
      </c>
      <c r="O7" s="135"/>
      <c r="P7" s="136"/>
      <c r="Q7" s="137" t="s">
        <v>23</v>
      </c>
      <c r="R7" s="135"/>
      <c r="S7" s="136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66" t="s">
        <v>32</v>
      </c>
      <c r="M8" s="66" t="s">
        <v>31</v>
      </c>
      <c r="N8" s="65" t="s">
        <v>33</v>
      </c>
      <c r="O8" s="65" t="s">
        <v>34</v>
      </c>
      <c r="P8" s="65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83</v>
      </c>
      <c r="C10" s="41" t="s">
        <v>64</v>
      </c>
      <c r="D10" s="19">
        <v>1</v>
      </c>
      <c r="E10" s="25">
        <v>41796</v>
      </c>
      <c r="F10" s="25">
        <v>41810</v>
      </c>
      <c r="G10" s="25">
        <v>41810</v>
      </c>
      <c r="H10" s="25"/>
      <c r="I10" s="43" t="s">
        <v>57</v>
      </c>
      <c r="J10" s="25">
        <v>41808</v>
      </c>
      <c r="K10" s="25"/>
      <c r="L10" s="25">
        <v>41867</v>
      </c>
      <c r="M10" s="25"/>
      <c r="N10" s="25">
        <v>41916</v>
      </c>
      <c r="O10" s="25">
        <v>41810</v>
      </c>
      <c r="P10" s="25">
        <v>41820</v>
      </c>
      <c r="Q10" s="25">
        <v>42161</v>
      </c>
      <c r="R10" s="25"/>
      <c r="S10" s="25"/>
      <c r="T10" s="41" t="s">
        <v>63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18.75" customHeight="1">
      <c r="B11" s="42">
        <v>83</v>
      </c>
      <c r="C11" s="71" t="s">
        <v>64</v>
      </c>
      <c r="D11" s="19">
        <v>2</v>
      </c>
      <c r="E11" s="25">
        <v>41752</v>
      </c>
      <c r="F11" s="25">
        <v>41810</v>
      </c>
      <c r="G11" s="25">
        <v>41810</v>
      </c>
      <c r="I11" s="43" t="s">
        <v>57</v>
      </c>
      <c r="J11" s="25">
        <v>41764</v>
      </c>
      <c r="L11" s="25">
        <v>41823</v>
      </c>
      <c r="N11" s="25">
        <v>41872</v>
      </c>
      <c r="O11" s="25">
        <v>41773</v>
      </c>
      <c r="P11" s="25">
        <v>41810</v>
      </c>
      <c r="Q11" s="25">
        <v>42117</v>
      </c>
      <c r="T11" s="71" t="s">
        <v>63</v>
      </c>
      <c r="U11" s="12">
        <v>42306</v>
      </c>
    </row>
    <row r="12" spans="2:48" ht="18" customHeight="1">
      <c r="B12" s="42">
        <v>83</v>
      </c>
      <c r="C12" s="71" t="s">
        <v>64</v>
      </c>
      <c r="D12" s="19">
        <v>3</v>
      </c>
      <c r="E12" s="25">
        <v>41816</v>
      </c>
      <c r="F12" s="25">
        <v>41831</v>
      </c>
      <c r="G12" s="25">
        <v>41831</v>
      </c>
      <c r="I12" s="99" t="s">
        <v>57</v>
      </c>
      <c r="J12" s="25">
        <v>41828</v>
      </c>
      <c r="L12" s="25">
        <v>41887</v>
      </c>
      <c r="N12" s="25">
        <v>41936</v>
      </c>
      <c r="Q12" s="25">
        <v>42181</v>
      </c>
      <c r="T12" s="71" t="s">
        <v>63</v>
      </c>
      <c r="U12" s="12">
        <v>42306</v>
      </c>
    </row>
    <row r="13" spans="2:48" ht="38.25">
      <c r="B13" s="100">
        <v>83</v>
      </c>
      <c r="C13" s="101" t="s">
        <v>64</v>
      </c>
      <c r="D13" s="19">
        <v>4</v>
      </c>
      <c r="E13" s="25">
        <v>41925</v>
      </c>
      <c r="F13" s="25">
        <v>41935</v>
      </c>
      <c r="G13" s="25">
        <v>41935</v>
      </c>
      <c r="I13" s="99" t="s">
        <v>57</v>
      </c>
      <c r="J13" s="25">
        <v>41937</v>
      </c>
      <c r="L13" s="25">
        <v>41996</v>
      </c>
      <c r="N13" s="25">
        <v>42045</v>
      </c>
      <c r="Q13" s="25">
        <v>42290</v>
      </c>
      <c r="T13" s="101" t="s">
        <v>63</v>
      </c>
      <c r="U13" s="12">
        <v>42306</v>
      </c>
    </row>
    <row r="14" spans="2:48" ht="38.25">
      <c r="B14" s="100">
        <v>83</v>
      </c>
      <c r="C14" s="101" t="s">
        <v>64</v>
      </c>
      <c r="D14" s="19">
        <v>5</v>
      </c>
      <c r="E14" s="25">
        <v>41926</v>
      </c>
      <c r="F14" s="25">
        <v>41935</v>
      </c>
      <c r="G14" s="25">
        <v>41935</v>
      </c>
      <c r="I14" s="99" t="s">
        <v>57</v>
      </c>
      <c r="J14" s="25">
        <v>41938</v>
      </c>
      <c r="L14" s="25">
        <v>41997</v>
      </c>
      <c r="N14" s="25">
        <v>42046</v>
      </c>
      <c r="Q14" s="25">
        <v>42291</v>
      </c>
      <c r="T14" s="101" t="s">
        <v>63</v>
      </c>
      <c r="U14" s="12">
        <v>42306</v>
      </c>
    </row>
    <row r="15" spans="2:48" ht="38.25">
      <c r="B15" s="106">
        <v>83</v>
      </c>
      <c r="C15" s="107" t="s">
        <v>64</v>
      </c>
      <c r="D15" s="19">
        <v>6</v>
      </c>
      <c r="I15" s="99" t="s">
        <v>57</v>
      </c>
      <c r="T15" s="107" t="s">
        <v>63</v>
      </c>
      <c r="U15" s="12">
        <v>42306</v>
      </c>
    </row>
    <row r="16" spans="2:48" ht="38.25">
      <c r="B16" s="106">
        <v>83</v>
      </c>
      <c r="C16" s="107" t="s">
        <v>64</v>
      </c>
      <c r="D16" s="19">
        <v>7</v>
      </c>
      <c r="I16" s="99" t="s">
        <v>57</v>
      </c>
      <c r="T16" s="107" t="s">
        <v>63</v>
      </c>
      <c r="U16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B1:AV14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23" t="s">
        <v>16</v>
      </c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25"/>
      <c r="M3" s="125"/>
      <c r="N3" s="125"/>
      <c r="O3" s="63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38" t="s">
        <v>58</v>
      </c>
      <c r="E4" s="138"/>
      <c r="F4" s="52">
        <f>$U$14</f>
        <v>42306</v>
      </c>
      <c r="G4" s="49"/>
      <c r="H4" s="49"/>
      <c r="I4" s="33"/>
      <c r="J4" s="49"/>
      <c r="K4" s="49"/>
      <c r="L4" s="64" t="s">
        <v>17</v>
      </c>
      <c r="M4" s="62">
        <f>$B$14</f>
        <v>75</v>
      </c>
      <c r="N4" s="126" t="str">
        <f>$C$14</f>
        <v>DANILA Raymonde</v>
      </c>
      <c r="O4" s="126"/>
      <c r="P4" s="126"/>
      <c r="Q4" s="126"/>
      <c r="R4" s="126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27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29" t="s">
        <v>19</v>
      </c>
      <c r="F7" s="130"/>
      <c r="G7" s="130"/>
      <c r="H7" s="130"/>
      <c r="I7" s="130"/>
      <c r="J7" s="131" t="s">
        <v>20</v>
      </c>
      <c r="K7" s="132"/>
      <c r="L7" s="133" t="s">
        <v>21</v>
      </c>
      <c r="M7" s="133"/>
      <c r="N7" s="134" t="s">
        <v>22</v>
      </c>
      <c r="O7" s="135"/>
      <c r="P7" s="136"/>
      <c r="Q7" s="137" t="s">
        <v>23</v>
      </c>
      <c r="R7" s="135"/>
      <c r="S7" s="136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66" t="s">
        <v>32</v>
      </c>
      <c r="M8" s="66" t="s">
        <v>31</v>
      </c>
      <c r="N8" s="65" t="s">
        <v>33</v>
      </c>
      <c r="O8" s="65" t="s">
        <v>34</v>
      </c>
      <c r="P8" s="65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75</v>
      </c>
      <c r="C10" s="41" t="s">
        <v>66</v>
      </c>
      <c r="D10" s="19">
        <v>1</v>
      </c>
      <c r="E10" s="25">
        <v>41739</v>
      </c>
      <c r="F10" s="25">
        <v>41743</v>
      </c>
      <c r="G10" s="25"/>
      <c r="H10" s="25">
        <v>41743</v>
      </c>
      <c r="I10" s="43" t="s">
        <v>81</v>
      </c>
      <c r="J10" s="25">
        <v>41751</v>
      </c>
      <c r="K10" s="25">
        <v>41766</v>
      </c>
      <c r="L10" s="25">
        <v>41810</v>
      </c>
      <c r="M10" s="25">
        <v>41810</v>
      </c>
      <c r="N10" s="25">
        <v>41859</v>
      </c>
      <c r="O10" s="25">
        <v>41807</v>
      </c>
      <c r="P10" s="25">
        <v>41810</v>
      </c>
      <c r="Q10" s="25">
        <v>42104</v>
      </c>
      <c r="R10" s="25">
        <v>41898</v>
      </c>
      <c r="S10" s="25">
        <v>41900</v>
      </c>
      <c r="T10" s="41" t="s">
        <v>65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18.75" customHeight="1">
      <c r="B11" s="42">
        <v>75</v>
      </c>
      <c r="C11" s="71" t="s">
        <v>66</v>
      </c>
      <c r="D11" s="19">
        <v>2</v>
      </c>
      <c r="E11" s="25">
        <v>41758</v>
      </c>
      <c r="F11" s="25">
        <v>41761</v>
      </c>
      <c r="H11" s="25">
        <v>41761</v>
      </c>
      <c r="I11" s="43" t="s">
        <v>82</v>
      </c>
      <c r="J11" s="25">
        <v>41770</v>
      </c>
      <c r="K11" s="25">
        <v>41807</v>
      </c>
      <c r="L11" s="25">
        <v>41829</v>
      </c>
      <c r="M11" s="25">
        <v>41842</v>
      </c>
      <c r="N11" s="25">
        <v>41878</v>
      </c>
      <c r="Q11" s="25">
        <v>42123</v>
      </c>
      <c r="T11" s="71" t="s">
        <v>65</v>
      </c>
      <c r="U11" s="12">
        <v>42306</v>
      </c>
    </row>
    <row r="12" spans="2:48" ht="18" customHeight="1">
      <c r="B12" s="42">
        <v>75</v>
      </c>
      <c r="C12" s="71" t="s">
        <v>66</v>
      </c>
      <c r="D12" s="19">
        <v>3</v>
      </c>
      <c r="E12" s="25">
        <v>41773</v>
      </c>
      <c r="F12" s="25">
        <v>41775</v>
      </c>
      <c r="G12" s="25">
        <v>41775</v>
      </c>
      <c r="H12" s="25">
        <v>41775</v>
      </c>
      <c r="I12" s="99" t="s">
        <v>83</v>
      </c>
      <c r="J12" s="25">
        <v>41785</v>
      </c>
      <c r="K12" s="25">
        <v>41792</v>
      </c>
      <c r="L12" s="25">
        <v>41844</v>
      </c>
      <c r="M12" s="25">
        <v>41864</v>
      </c>
      <c r="N12" s="25">
        <v>41893</v>
      </c>
      <c r="O12" s="25">
        <v>41871</v>
      </c>
      <c r="P12" s="25">
        <v>41872</v>
      </c>
      <c r="Q12" s="25">
        <v>42138</v>
      </c>
      <c r="T12" s="71" t="s">
        <v>65</v>
      </c>
      <c r="U12" s="12">
        <v>42306</v>
      </c>
    </row>
    <row r="13" spans="2:48" ht="25.5">
      <c r="B13" s="100">
        <v>75</v>
      </c>
      <c r="C13" s="101" t="s">
        <v>66</v>
      </c>
      <c r="D13" s="19">
        <v>4</v>
      </c>
      <c r="I13" s="99" t="s">
        <v>57</v>
      </c>
      <c r="T13" s="101" t="s">
        <v>65</v>
      </c>
      <c r="U13" s="12">
        <v>42306</v>
      </c>
    </row>
    <row r="14" spans="2:48" ht="25.5">
      <c r="B14" s="100">
        <v>75</v>
      </c>
      <c r="C14" s="101" t="s">
        <v>66</v>
      </c>
      <c r="D14" s="19">
        <v>5</v>
      </c>
      <c r="I14" s="99" t="s">
        <v>57</v>
      </c>
      <c r="T14" s="101" t="s">
        <v>65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B1:AV12"/>
  <sheetViews>
    <sheetView workbookViewId="0">
      <selection activeCell="H22" sqref="H22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23" t="s">
        <v>16</v>
      </c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25"/>
      <c r="M3" s="125"/>
      <c r="N3" s="125"/>
      <c r="O3" s="102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38" t="s">
        <v>58</v>
      </c>
      <c r="E4" s="138"/>
      <c r="F4" s="52">
        <f>$U$12</f>
        <v>42306</v>
      </c>
      <c r="G4" s="49"/>
      <c r="H4" s="49"/>
      <c r="I4" s="33"/>
      <c r="J4" s="49"/>
      <c r="K4" s="49"/>
      <c r="L4" s="103" t="s">
        <v>17</v>
      </c>
      <c r="M4" s="62">
        <f>$B$12</f>
        <v>425</v>
      </c>
      <c r="N4" s="126" t="str">
        <f>$C$12</f>
        <v>ELNEKAVE France Léa</v>
      </c>
      <c r="O4" s="126"/>
      <c r="P4" s="126"/>
      <c r="Q4" s="126"/>
      <c r="R4" s="126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27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29" t="s">
        <v>19</v>
      </c>
      <c r="F7" s="130"/>
      <c r="G7" s="130"/>
      <c r="H7" s="130"/>
      <c r="I7" s="130"/>
      <c r="J7" s="131" t="s">
        <v>20</v>
      </c>
      <c r="K7" s="132"/>
      <c r="L7" s="133" t="s">
        <v>21</v>
      </c>
      <c r="M7" s="133"/>
      <c r="N7" s="134" t="s">
        <v>22</v>
      </c>
      <c r="O7" s="135"/>
      <c r="P7" s="136"/>
      <c r="Q7" s="137" t="s">
        <v>23</v>
      </c>
      <c r="R7" s="135"/>
      <c r="S7" s="136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105" t="s">
        <v>32</v>
      </c>
      <c r="M8" s="105" t="s">
        <v>31</v>
      </c>
      <c r="N8" s="104" t="s">
        <v>33</v>
      </c>
      <c r="O8" s="104" t="s">
        <v>34</v>
      </c>
      <c r="P8" s="104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425</v>
      </c>
      <c r="C10" s="41" t="s">
        <v>92</v>
      </c>
      <c r="D10" s="19">
        <v>1</v>
      </c>
      <c r="E10" s="25">
        <v>41926</v>
      </c>
      <c r="F10" s="25">
        <v>42038</v>
      </c>
      <c r="G10" s="25">
        <v>41995</v>
      </c>
      <c r="H10" s="25">
        <v>41995</v>
      </c>
      <c r="I10" s="99" t="s">
        <v>99</v>
      </c>
      <c r="J10" s="25">
        <v>41938</v>
      </c>
      <c r="K10" s="25">
        <v>41992</v>
      </c>
      <c r="L10" s="25">
        <v>41997</v>
      </c>
      <c r="M10" s="25">
        <v>41992</v>
      </c>
      <c r="N10" s="25">
        <v>42046</v>
      </c>
      <c r="O10" s="25"/>
      <c r="P10" s="25"/>
      <c r="Q10" s="25">
        <v>42291</v>
      </c>
      <c r="R10" s="25"/>
      <c r="S10" s="25"/>
      <c r="T10" s="41" t="s">
        <v>91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18.75" customHeight="1">
      <c r="B11" s="106">
        <v>425</v>
      </c>
      <c r="C11" s="107" t="s">
        <v>92</v>
      </c>
      <c r="D11" s="19">
        <v>2</v>
      </c>
      <c r="I11" s="99" t="s">
        <v>57</v>
      </c>
      <c r="T11" s="107" t="s">
        <v>91</v>
      </c>
      <c r="U11" s="12">
        <v>42306</v>
      </c>
    </row>
    <row r="12" spans="2:48" ht="18" customHeight="1">
      <c r="B12" s="106">
        <v>425</v>
      </c>
      <c r="C12" s="107" t="s">
        <v>92</v>
      </c>
      <c r="D12" s="19">
        <v>3</v>
      </c>
      <c r="I12" s="99" t="s">
        <v>57</v>
      </c>
      <c r="T12" s="107" t="s">
        <v>91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13"/>
  <dimension ref="B1:AV12"/>
  <sheetViews>
    <sheetView workbookViewId="0">
      <selection activeCell="H21" sqref="H21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23" t="s">
        <v>16</v>
      </c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25"/>
      <c r="M3" s="125"/>
      <c r="N3" s="125"/>
      <c r="O3" s="108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38" t="s">
        <v>58</v>
      </c>
      <c r="E4" s="138"/>
      <c r="F4" s="52">
        <f>$U$12</f>
        <v>42306</v>
      </c>
      <c r="G4" s="49"/>
      <c r="H4" s="49"/>
      <c r="I4" s="33"/>
      <c r="J4" s="49"/>
      <c r="K4" s="49"/>
      <c r="L4" s="109" t="s">
        <v>17</v>
      </c>
      <c r="M4" s="62">
        <f>$B$12</f>
        <v>443</v>
      </c>
      <c r="N4" s="126" t="str">
        <f>$C$12</f>
        <v>FAVEREAU Brigitte</v>
      </c>
      <c r="O4" s="126"/>
      <c r="P4" s="126"/>
      <c r="Q4" s="126"/>
      <c r="R4" s="126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27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29" t="s">
        <v>19</v>
      </c>
      <c r="F7" s="130"/>
      <c r="G7" s="130"/>
      <c r="H7" s="130"/>
      <c r="I7" s="130"/>
      <c r="J7" s="131" t="s">
        <v>20</v>
      </c>
      <c r="K7" s="132"/>
      <c r="L7" s="133" t="s">
        <v>21</v>
      </c>
      <c r="M7" s="133"/>
      <c r="N7" s="134" t="s">
        <v>22</v>
      </c>
      <c r="O7" s="135"/>
      <c r="P7" s="136"/>
      <c r="Q7" s="137" t="s">
        <v>23</v>
      </c>
      <c r="R7" s="135"/>
      <c r="S7" s="136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111" t="s">
        <v>32</v>
      </c>
      <c r="M8" s="111" t="s">
        <v>31</v>
      </c>
      <c r="N8" s="110" t="s">
        <v>33</v>
      </c>
      <c r="O8" s="110" t="s">
        <v>34</v>
      </c>
      <c r="P8" s="110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443</v>
      </c>
      <c r="C10" s="41" t="s">
        <v>95</v>
      </c>
      <c r="D10" s="19">
        <v>1</v>
      </c>
      <c r="E10" s="25">
        <v>41990</v>
      </c>
      <c r="F10" s="25">
        <v>41992</v>
      </c>
      <c r="G10" s="25">
        <v>41996</v>
      </c>
      <c r="H10" s="25">
        <v>41992</v>
      </c>
      <c r="I10" s="99" t="s">
        <v>81</v>
      </c>
      <c r="J10" s="25">
        <v>42002</v>
      </c>
      <c r="K10" s="25">
        <v>42011</v>
      </c>
      <c r="L10" s="25">
        <v>42061</v>
      </c>
      <c r="M10" s="25">
        <v>42073</v>
      </c>
      <c r="N10" s="25">
        <v>42110</v>
      </c>
      <c r="O10" s="25">
        <v>42096</v>
      </c>
      <c r="P10" s="25">
        <v>42101</v>
      </c>
      <c r="Q10" s="25">
        <v>42355</v>
      </c>
      <c r="R10" s="25">
        <v>42209</v>
      </c>
      <c r="S10" s="25">
        <v>42212</v>
      </c>
      <c r="T10" s="41" t="s">
        <v>94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18.75" customHeight="1">
      <c r="B11" s="42">
        <v>443</v>
      </c>
      <c r="C11" s="71" t="s">
        <v>95</v>
      </c>
      <c r="D11" s="19">
        <v>2</v>
      </c>
      <c r="E11" s="25">
        <v>41992</v>
      </c>
      <c r="F11" s="25">
        <v>41996</v>
      </c>
      <c r="G11" s="25">
        <v>41996</v>
      </c>
      <c r="H11" s="25">
        <v>42003</v>
      </c>
      <c r="I11" s="99" t="s">
        <v>81</v>
      </c>
      <c r="J11" s="25">
        <v>42004</v>
      </c>
      <c r="K11" s="25">
        <v>42010</v>
      </c>
      <c r="L11" s="25">
        <v>42063</v>
      </c>
      <c r="M11" s="25">
        <v>42065</v>
      </c>
      <c r="N11" s="25">
        <v>42112</v>
      </c>
      <c r="O11" s="25">
        <v>42062</v>
      </c>
      <c r="P11" s="25">
        <v>42065</v>
      </c>
      <c r="Q11" s="25">
        <v>42357</v>
      </c>
      <c r="R11" s="25">
        <v>42279</v>
      </c>
      <c r="S11" s="25">
        <v>42289</v>
      </c>
      <c r="T11" s="71" t="s">
        <v>94</v>
      </c>
      <c r="U11" s="12">
        <v>42306</v>
      </c>
    </row>
    <row r="12" spans="2:48" ht="18" customHeight="1">
      <c r="B12" s="42">
        <v>443</v>
      </c>
      <c r="C12" s="71" t="s">
        <v>95</v>
      </c>
      <c r="D12" s="19">
        <v>3</v>
      </c>
      <c r="E12" s="25">
        <v>41992</v>
      </c>
      <c r="F12" s="25">
        <v>42002</v>
      </c>
      <c r="G12" s="25">
        <v>42002</v>
      </c>
      <c r="H12" s="25">
        <v>41996</v>
      </c>
      <c r="I12" s="99" t="s">
        <v>83</v>
      </c>
      <c r="J12" s="25">
        <v>42004</v>
      </c>
      <c r="K12" s="25">
        <v>42009</v>
      </c>
      <c r="L12" s="25">
        <v>42063</v>
      </c>
      <c r="M12" s="25">
        <v>42058</v>
      </c>
      <c r="N12" s="25">
        <v>42112</v>
      </c>
      <c r="O12" s="25">
        <v>42062</v>
      </c>
      <c r="P12" s="25">
        <v>42066</v>
      </c>
      <c r="Q12" s="25">
        <v>42357</v>
      </c>
      <c r="T12" s="71" t="s">
        <v>94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6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23" t="s">
        <v>16</v>
      </c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25"/>
      <c r="M3" s="125"/>
      <c r="N3" s="125"/>
      <c r="O3" s="63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38" t="s">
        <v>58</v>
      </c>
      <c r="E4" s="138"/>
      <c r="F4" s="52">
        <f>$U$12</f>
        <v>42306</v>
      </c>
      <c r="G4" s="49"/>
      <c r="H4" s="49"/>
      <c r="I4" s="33"/>
      <c r="J4" s="49"/>
      <c r="K4" s="49"/>
      <c r="L4" s="64" t="s">
        <v>17</v>
      </c>
      <c r="M4" s="62">
        <f>$B$12</f>
        <v>77</v>
      </c>
      <c r="N4" s="126" t="str">
        <f>$C$12</f>
        <v>GABISON Germaine</v>
      </c>
      <c r="O4" s="126"/>
      <c r="P4" s="126"/>
      <c r="Q4" s="126"/>
      <c r="R4" s="126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27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29" t="s">
        <v>19</v>
      </c>
      <c r="F7" s="130"/>
      <c r="G7" s="130"/>
      <c r="H7" s="130"/>
      <c r="I7" s="130"/>
      <c r="J7" s="131" t="s">
        <v>20</v>
      </c>
      <c r="K7" s="132"/>
      <c r="L7" s="133" t="s">
        <v>21</v>
      </c>
      <c r="M7" s="133"/>
      <c r="N7" s="134" t="s">
        <v>22</v>
      </c>
      <c r="O7" s="135"/>
      <c r="P7" s="136"/>
      <c r="Q7" s="137" t="s">
        <v>23</v>
      </c>
      <c r="R7" s="135"/>
      <c r="S7" s="136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66" t="s">
        <v>32</v>
      </c>
      <c r="M8" s="66" t="s">
        <v>31</v>
      </c>
      <c r="N8" s="65" t="s">
        <v>33</v>
      </c>
      <c r="O8" s="65" t="s">
        <v>34</v>
      </c>
      <c r="P8" s="65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77</v>
      </c>
      <c r="C10" s="41" t="s">
        <v>68</v>
      </c>
      <c r="D10" s="19">
        <v>1</v>
      </c>
      <c r="E10" s="25"/>
      <c r="F10" s="25"/>
      <c r="G10" s="25"/>
      <c r="H10" s="25"/>
      <c r="I10" s="43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1" t="s">
        <v>67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18.75" customHeight="1">
      <c r="B11" s="42">
        <v>77</v>
      </c>
      <c r="C11" s="71" t="s">
        <v>68</v>
      </c>
      <c r="D11" s="19">
        <v>2</v>
      </c>
      <c r="E11" s="25">
        <v>41764</v>
      </c>
      <c r="F11" s="25">
        <v>42054</v>
      </c>
      <c r="G11" s="25">
        <v>42054</v>
      </c>
      <c r="I11" s="43" t="s">
        <v>57</v>
      </c>
      <c r="J11" s="25">
        <v>41776</v>
      </c>
      <c r="K11" s="25">
        <v>41773</v>
      </c>
      <c r="L11" s="25">
        <v>41835</v>
      </c>
      <c r="M11" s="25">
        <v>41802</v>
      </c>
      <c r="N11" s="25">
        <v>41884</v>
      </c>
      <c r="O11" s="25">
        <v>41796</v>
      </c>
      <c r="P11" s="25">
        <v>42054</v>
      </c>
      <c r="Q11" s="25">
        <v>42129</v>
      </c>
      <c r="R11" s="25">
        <v>42010</v>
      </c>
      <c r="S11" s="25">
        <v>42054</v>
      </c>
      <c r="T11" s="71" t="s">
        <v>67</v>
      </c>
      <c r="U11" s="12">
        <v>42306</v>
      </c>
    </row>
    <row r="12" spans="2:48" ht="18" customHeight="1">
      <c r="B12" s="42">
        <v>77</v>
      </c>
      <c r="C12" s="71" t="s">
        <v>68</v>
      </c>
      <c r="D12" s="19">
        <v>3</v>
      </c>
      <c r="E12" s="25">
        <v>41785</v>
      </c>
      <c r="F12" s="25">
        <v>41806</v>
      </c>
      <c r="I12" s="43" t="s">
        <v>57</v>
      </c>
      <c r="J12" s="25">
        <v>41797</v>
      </c>
      <c r="L12" s="25">
        <v>41856</v>
      </c>
      <c r="N12" s="25">
        <v>41905</v>
      </c>
      <c r="O12" s="25">
        <v>41813</v>
      </c>
      <c r="P12" s="25">
        <v>42054</v>
      </c>
      <c r="Q12" s="25">
        <v>42150</v>
      </c>
      <c r="R12" s="25">
        <v>42010</v>
      </c>
      <c r="S12" s="25">
        <v>42054</v>
      </c>
      <c r="T12" s="71" t="s">
        <v>67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7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23" t="s">
        <v>16</v>
      </c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25"/>
      <c r="M3" s="125"/>
      <c r="N3" s="125"/>
      <c r="O3" s="63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38" t="s">
        <v>58</v>
      </c>
      <c r="E4" s="138"/>
      <c r="F4" s="52">
        <f>$U$12</f>
        <v>42306</v>
      </c>
      <c r="G4" s="49"/>
      <c r="H4" s="49"/>
      <c r="I4" s="33"/>
      <c r="J4" s="49"/>
      <c r="K4" s="49"/>
      <c r="L4" s="64" t="s">
        <v>17</v>
      </c>
      <c r="M4" s="62">
        <f>$B$12</f>
        <v>78</v>
      </c>
      <c r="N4" s="126" t="str">
        <f>$C$12</f>
        <v>HALIOUA Bruno</v>
      </c>
      <c r="O4" s="126"/>
      <c r="P4" s="126"/>
      <c r="Q4" s="126"/>
      <c r="R4" s="126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27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29" t="s">
        <v>19</v>
      </c>
      <c r="F7" s="130"/>
      <c r="G7" s="130"/>
      <c r="H7" s="130"/>
      <c r="I7" s="130"/>
      <c r="J7" s="131" t="s">
        <v>20</v>
      </c>
      <c r="K7" s="132"/>
      <c r="L7" s="133" t="s">
        <v>21</v>
      </c>
      <c r="M7" s="133"/>
      <c r="N7" s="134" t="s">
        <v>22</v>
      </c>
      <c r="O7" s="135"/>
      <c r="P7" s="136"/>
      <c r="Q7" s="137" t="s">
        <v>23</v>
      </c>
      <c r="R7" s="135"/>
      <c r="S7" s="136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66" t="s">
        <v>32</v>
      </c>
      <c r="M8" s="66" t="s">
        <v>31</v>
      </c>
      <c r="N8" s="65" t="s">
        <v>33</v>
      </c>
      <c r="O8" s="65" t="s">
        <v>34</v>
      </c>
      <c r="P8" s="65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78</v>
      </c>
      <c r="C10" s="41" t="s">
        <v>70</v>
      </c>
      <c r="D10" s="19">
        <v>1</v>
      </c>
      <c r="E10" s="25">
        <v>41745</v>
      </c>
      <c r="F10" s="25">
        <v>41747</v>
      </c>
      <c r="G10" s="25">
        <v>41747</v>
      </c>
      <c r="H10" s="25"/>
      <c r="I10" s="43" t="s">
        <v>57</v>
      </c>
      <c r="J10" s="25">
        <v>41757</v>
      </c>
      <c r="K10" s="25">
        <v>41757</v>
      </c>
      <c r="L10" s="25">
        <v>41816</v>
      </c>
      <c r="M10" s="25">
        <v>41809</v>
      </c>
      <c r="N10" s="25">
        <v>41865</v>
      </c>
      <c r="O10" s="25"/>
      <c r="P10" s="25"/>
      <c r="Q10" s="25">
        <v>42110</v>
      </c>
      <c r="R10" s="25">
        <v>41808</v>
      </c>
      <c r="S10" s="25">
        <v>41813</v>
      </c>
      <c r="T10" s="41" t="s">
        <v>69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18.75" customHeight="1">
      <c r="B11" s="72">
        <v>78</v>
      </c>
      <c r="C11" s="73" t="s">
        <v>70</v>
      </c>
      <c r="D11" s="19">
        <v>2</v>
      </c>
      <c r="E11" s="25">
        <v>41787</v>
      </c>
      <c r="F11" s="25">
        <v>41792</v>
      </c>
      <c r="G11" s="25">
        <v>41792</v>
      </c>
      <c r="I11" s="74" t="s">
        <v>57</v>
      </c>
      <c r="J11" s="25">
        <v>41799</v>
      </c>
      <c r="L11" s="25">
        <v>41858</v>
      </c>
      <c r="N11" s="25">
        <v>41907</v>
      </c>
      <c r="Q11" s="25">
        <v>42152</v>
      </c>
      <c r="T11" s="73" t="s">
        <v>69</v>
      </c>
      <c r="U11" s="12">
        <v>42306</v>
      </c>
    </row>
    <row r="12" spans="2:48" ht="18" customHeight="1">
      <c r="B12" s="72">
        <v>78</v>
      </c>
      <c r="C12" s="73" t="s">
        <v>70</v>
      </c>
      <c r="D12" s="19">
        <v>3</v>
      </c>
      <c r="E12" s="25">
        <v>41789</v>
      </c>
      <c r="F12" s="25">
        <v>41792</v>
      </c>
      <c r="G12" s="25">
        <v>41792</v>
      </c>
      <c r="I12" s="74" t="s">
        <v>57</v>
      </c>
      <c r="J12" s="25">
        <v>41801</v>
      </c>
      <c r="L12" s="25">
        <v>41860</v>
      </c>
      <c r="N12" s="25">
        <v>41909</v>
      </c>
      <c r="Q12" s="25">
        <v>42154</v>
      </c>
      <c r="T12" s="73" t="s">
        <v>69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8"/>
  <dimension ref="B1:AV15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23" t="s">
        <v>16</v>
      </c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25"/>
      <c r="M3" s="125"/>
      <c r="N3" s="125"/>
      <c r="O3" s="63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38" t="s">
        <v>58</v>
      </c>
      <c r="E4" s="138"/>
      <c r="F4" s="52">
        <f>$U$15</f>
        <v>42306</v>
      </c>
      <c r="G4" s="49"/>
      <c r="H4" s="49"/>
      <c r="I4" s="33"/>
      <c r="J4" s="49"/>
      <c r="K4" s="49"/>
      <c r="L4" s="64" t="s">
        <v>17</v>
      </c>
      <c r="M4" s="62">
        <f>$B$15</f>
        <v>76</v>
      </c>
      <c r="N4" s="126" t="str">
        <f>$C$15</f>
        <v>HEUDES Anne-Marie</v>
      </c>
      <c r="O4" s="126"/>
      <c r="P4" s="126"/>
      <c r="Q4" s="126"/>
      <c r="R4" s="126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27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29" t="s">
        <v>19</v>
      </c>
      <c r="F7" s="130"/>
      <c r="G7" s="130"/>
      <c r="H7" s="130"/>
      <c r="I7" s="130"/>
      <c r="J7" s="131" t="s">
        <v>20</v>
      </c>
      <c r="K7" s="132"/>
      <c r="L7" s="133" t="s">
        <v>21</v>
      </c>
      <c r="M7" s="133"/>
      <c r="N7" s="134" t="s">
        <v>22</v>
      </c>
      <c r="O7" s="135"/>
      <c r="P7" s="136"/>
      <c r="Q7" s="137" t="s">
        <v>23</v>
      </c>
      <c r="R7" s="135"/>
      <c r="S7" s="136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66" t="s">
        <v>32</v>
      </c>
      <c r="M8" s="66" t="s">
        <v>31</v>
      </c>
      <c r="N8" s="65" t="s">
        <v>33</v>
      </c>
      <c r="O8" s="65" t="s">
        <v>34</v>
      </c>
      <c r="P8" s="65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76</v>
      </c>
      <c r="C10" s="41" t="s">
        <v>72</v>
      </c>
      <c r="D10" s="19">
        <v>1</v>
      </c>
      <c r="E10" s="25">
        <v>41753</v>
      </c>
      <c r="F10" s="25">
        <v>41757</v>
      </c>
      <c r="G10" s="25">
        <v>41757</v>
      </c>
      <c r="H10" s="25">
        <v>41757</v>
      </c>
      <c r="I10" s="43" t="s">
        <v>84</v>
      </c>
      <c r="J10" s="25">
        <v>41765</v>
      </c>
      <c r="K10" s="25">
        <v>41764</v>
      </c>
      <c r="L10" s="25">
        <v>41824</v>
      </c>
      <c r="M10" s="25">
        <v>41809</v>
      </c>
      <c r="N10" s="25">
        <v>41873</v>
      </c>
      <c r="O10" s="25">
        <v>41759</v>
      </c>
      <c r="P10" s="25">
        <v>41764</v>
      </c>
      <c r="Q10" s="25">
        <v>42118</v>
      </c>
      <c r="R10" s="25">
        <v>41807</v>
      </c>
      <c r="S10" s="25">
        <v>41809</v>
      </c>
      <c r="T10" s="41" t="s">
        <v>71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18.75" customHeight="1">
      <c r="B11" s="42">
        <v>76</v>
      </c>
      <c r="C11" s="71" t="s">
        <v>72</v>
      </c>
      <c r="D11" s="19">
        <v>2</v>
      </c>
      <c r="E11" s="25">
        <v>41755</v>
      </c>
      <c r="F11" s="25">
        <v>41758</v>
      </c>
      <c r="G11" s="25">
        <v>41758</v>
      </c>
      <c r="H11" s="25">
        <v>41758</v>
      </c>
      <c r="I11" s="43" t="s">
        <v>84</v>
      </c>
      <c r="J11" s="25">
        <v>41767</v>
      </c>
      <c r="K11" s="25">
        <v>41765</v>
      </c>
      <c r="L11" s="25">
        <v>41826</v>
      </c>
      <c r="M11" s="25">
        <v>41814</v>
      </c>
      <c r="N11" s="25">
        <v>41875</v>
      </c>
      <c r="O11" s="25">
        <v>41764</v>
      </c>
      <c r="P11" s="25">
        <v>41766</v>
      </c>
      <c r="Q11" s="25">
        <v>42120</v>
      </c>
      <c r="R11" s="25">
        <v>41811</v>
      </c>
      <c r="S11" s="25">
        <v>41814</v>
      </c>
      <c r="T11" s="71" t="s">
        <v>71</v>
      </c>
      <c r="U11" s="12">
        <v>42306</v>
      </c>
    </row>
    <row r="12" spans="2:48" ht="18" customHeight="1">
      <c r="B12" s="42">
        <v>76</v>
      </c>
      <c r="C12" s="71" t="s">
        <v>72</v>
      </c>
      <c r="D12" s="19">
        <v>3</v>
      </c>
      <c r="E12" s="25">
        <v>41813</v>
      </c>
      <c r="F12" s="25">
        <v>41816</v>
      </c>
      <c r="G12" s="25">
        <v>41816</v>
      </c>
      <c r="H12" s="25">
        <v>41816</v>
      </c>
      <c r="I12" s="74" t="s">
        <v>84</v>
      </c>
      <c r="J12" s="25">
        <v>41825</v>
      </c>
      <c r="K12" s="25">
        <v>41824</v>
      </c>
      <c r="L12" s="25">
        <v>41884</v>
      </c>
      <c r="M12" s="25">
        <v>41893</v>
      </c>
      <c r="N12" s="25">
        <v>41933</v>
      </c>
      <c r="O12" s="25">
        <v>41822</v>
      </c>
      <c r="P12" s="25">
        <v>41824</v>
      </c>
      <c r="Q12" s="25">
        <v>42178</v>
      </c>
      <c r="R12" s="25">
        <v>41891</v>
      </c>
      <c r="S12" s="25">
        <v>41893</v>
      </c>
      <c r="T12" s="71" t="s">
        <v>71</v>
      </c>
      <c r="U12" s="12">
        <v>42306</v>
      </c>
    </row>
    <row r="13" spans="2:48" ht="25.5">
      <c r="B13" s="97">
        <v>76</v>
      </c>
      <c r="C13" s="98" t="s">
        <v>72</v>
      </c>
      <c r="D13" s="19">
        <v>4</v>
      </c>
      <c r="E13" s="25">
        <v>41851</v>
      </c>
      <c r="F13" s="25">
        <v>41855</v>
      </c>
      <c r="G13" s="25">
        <v>41855</v>
      </c>
      <c r="H13" s="25">
        <v>41855</v>
      </c>
      <c r="I13" s="99" t="s">
        <v>84</v>
      </c>
      <c r="J13" s="25">
        <v>41863</v>
      </c>
      <c r="K13" s="25">
        <v>41859</v>
      </c>
      <c r="L13" s="25">
        <v>41922</v>
      </c>
      <c r="M13" s="25">
        <v>41915</v>
      </c>
      <c r="N13" s="25">
        <v>41971</v>
      </c>
      <c r="O13" s="25">
        <v>41855</v>
      </c>
      <c r="P13" s="25">
        <v>41859</v>
      </c>
      <c r="Q13" s="25">
        <v>42216</v>
      </c>
      <c r="R13" s="25">
        <v>41913</v>
      </c>
      <c r="S13" s="25">
        <v>41915</v>
      </c>
      <c r="T13" s="98" t="s">
        <v>71</v>
      </c>
      <c r="U13" s="12">
        <v>42306</v>
      </c>
    </row>
    <row r="14" spans="2:48" ht="25.5">
      <c r="B14" s="97">
        <v>76</v>
      </c>
      <c r="C14" s="98" t="s">
        <v>72</v>
      </c>
      <c r="D14" s="19">
        <v>5</v>
      </c>
      <c r="E14" s="25">
        <v>41920</v>
      </c>
      <c r="F14" s="25">
        <v>41922</v>
      </c>
      <c r="G14" s="25">
        <v>41922</v>
      </c>
      <c r="H14" s="25">
        <v>41922</v>
      </c>
      <c r="I14" s="99" t="s">
        <v>84</v>
      </c>
      <c r="J14" s="25">
        <v>41932</v>
      </c>
      <c r="L14" s="25">
        <v>41991</v>
      </c>
      <c r="M14" s="25">
        <v>41971</v>
      </c>
      <c r="N14" s="25">
        <v>42040</v>
      </c>
      <c r="O14" s="25">
        <v>41968</v>
      </c>
      <c r="P14" s="25">
        <v>41971</v>
      </c>
      <c r="Q14" s="25">
        <v>42285</v>
      </c>
      <c r="R14" s="25">
        <v>42011</v>
      </c>
      <c r="S14" s="25">
        <v>42016</v>
      </c>
      <c r="T14" s="98" t="s">
        <v>71</v>
      </c>
      <c r="U14" s="12">
        <v>42306</v>
      </c>
    </row>
    <row r="15" spans="2:48" ht="25.5">
      <c r="B15" s="106">
        <v>76</v>
      </c>
      <c r="C15" s="107" t="s">
        <v>72</v>
      </c>
      <c r="D15" s="19">
        <v>6</v>
      </c>
      <c r="I15" s="112" t="s">
        <v>57</v>
      </c>
      <c r="T15" s="107" t="s">
        <v>71</v>
      </c>
      <c r="U15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9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23" t="s">
        <v>16</v>
      </c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25"/>
      <c r="M3" s="125"/>
      <c r="N3" s="125"/>
      <c r="O3" s="63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38" t="s">
        <v>58</v>
      </c>
      <c r="E4" s="138"/>
      <c r="F4" s="52">
        <f>$U$12</f>
        <v>42306</v>
      </c>
      <c r="G4" s="49"/>
      <c r="H4" s="49"/>
      <c r="I4" s="33"/>
      <c r="J4" s="49"/>
      <c r="K4" s="49"/>
      <c r="L4" s="64" t="s">
        <v>17</v>
      </c>
      <c r="M4" s="62">
        <f>$B$12</f>
        <v>81</v>
      </c>
      <c r="N4" s="126" t="str">
        <f>$C$12</f>
        <v>LONS-DANIC Dominique</v>
      </c>
      <c r="O4" s="126"/>
      <c r="P4" s="126"/>
      <c r="Q4" s="126"/>
      <c r="R4" s="126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27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29" t="s">
        <v>19</v>
      </c>
      <c r="F7" s="130"/>
      <c r="G7" s="130"/>
      <c r="H7" s="130"/>
      <c r="I7" s="130"/>
      <c r="J7" s="131" t="s">
        <v>20</v>
      </c>
      <c r="K7" s="132"/>
      <c r="L7" s="133" t="s">
        <v>21</v>
      </c>
      <c r="M7" s="133"/>
      <c r="N7" s="134" t="s">
        <v>22</v>
      </c>
      <c r="O7" s="135"/>
      <c r="P7" s="136"/>
      <c r="Q7" s="137" t="s">
        <v>23</v>
      </c>
      <c r="R7" s="135"/>
      <c r="S7" s="136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66" t="s">
        <v>32</v>
      </c>
      <c r="M8" s="66" t="s">
        <v>31</v>
      </c>
      <c r="N8" s="65" t="s">
        <v>33</v>
      </c>
      <c r="O8" s="65" t="s">
        <v>34</v>
      </c>
      <c r="P8" s="65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81</v>
      </c>
      <c r="C10" s="41" t="s">
        <v>74</v>
      </c>
      <c r="D10" s="19">
        <v>1</v>
      </c>
      <c r="E10" s="25">
        <v>41772</v>
      </c>
      <c r="F10" s="25">
        <v>41775</v>
      </c>
      <c r="G10" s="25"/>
      <c r="H10" s="25">
        <v>41775</v>
      </c>
      <c r="I10" s="43" t="s">
        <v>84</v>
      </c>
      <c r="J10" s="25">
        <v>41784</v>
      </c>
      <c r="K10" s="25">
        <v>41793</v>
      </c>
      <c r="L10" s="25">
        <v>41843</v>
      </c>
      <c r="M10" s="25"/>
      <c r="N10" s="25">
        <v>41892</v>
      </c>
      <c r="O10" s="25">
        <v>41827</v>
      </c>
      <c r="P10" s="25">
        <v>41828</v>
      </c>
      <c r="Q10" s="25">
        <v>42137</v>
      </c>
      <c r="R10" s="25"/>
      <c r="S10" s="25"/>
      <c r="T10" s="41" t="s">
        <v>73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18.75" customHeight="1">
      <c r="B11" s="72">
        <v>81</v>
      </c>
      <c r="C11" s="73" t="s">
        <v>74</v>
      </c>
      <c r="D11" s="19">
        <v>2</v>
      </c>
      <c r="E11" s="25">
        <v>41785</v>
      </c>
      <c r="F11" s="25">
        <v>41786</v>
      </c>
      <c r="G11" s="25">
        <v>41786</v>
      </c>
      <c r="H11" s="25">
        <v>41786</v>
      </c>
      <c r="I11" s="74" t="s">
        <v>84</v>
      </c>
      <c r="J11" s="25">
        <v>41797</v>
      </c>
      <c r="K11" s="25">
        <v>41801</v>
      </c>
      <c r="L11" s="25">
        <v>41856</v>
      </c>
      <c r="N11" s="25">
        <v>41905</v>
      </c>
      <c r="O11" s="25">
        <v>41813</v>
      </c>
      <c r="P11" s="25">
        <v>41814</v>
      </c>
      <c r="Q11" s="25">
        <v>42150</v>
      </c>
      <c r="R11" s="25">
        <v>41967</v>
      </c>
      <c r="S11" s="25">
        <v>41968</v>
      </c>
      <c r="T11" s="73" t="s">
        <v>73</v>
      </c>
      <c r="U11" s="12">
        <v>42306</v>
      </c>
    </row>
    <row r="12" spans="2:48" ht="18" customHeight="1">
      <c r="B12" s="72">
        <v>81</v>
      </c>
      <c r="C12" s="73" t="s">
        <v>74</v>
      </c>
      <c r="D12" s="19">
        <v>3</v>
      </c>
      <c r="E12" s="25">
        <v>41823</v>
      </c>
      <c r="F12" s="25">
        <v>41824</v>
      </c>
      <c r="H12" s="25">
        <v>41824</v>
      </c>
      <c r="I12" s="74" t="s">
        <v>84</v>
      </c>
      <c r="J12" s="25">
        <v>41835</v>
      </c>
      <c r="K12" s="25">
        <v>41837</v>
      </c>
      <c r="L12" s="25">
        <v>41894</v>
      </c>
      <c r="M12" s="25">
        <v>41887</v>
      </c>
      <c r="N12" s="25">
        <v>41943</v>
      </c>
      <c r="O12" s="25">
        <v>41893</v>
      </c>
      <c r="P12" s="25">
        <v>41894</v>
      </c>
      <c r="Q12" s="25">
        <v>42188</v>
      </c>
      <c r="T12" s="73" t="s">
        <v>73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10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23" t="s">
        <v>16</v>
      </c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25"/>
      <c r="M3" s="125"/>
      <c r="N3" s="125"/>
      <c r="O3" s="63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38" t="s">
        <v>58</v>
      </c>
      <c r="E4" s="138"/>
      <c r="F4" s="52">
        <f>$U$12</f>
        <v>42306</v>
      </c>
      <c r="G4" s="49"/>
      <c r="H4" s="49"/>
      <c r="I4" s="33"/>
      <c r="J4" s="49"/>
      <c r="K4" s="49"/>
      <c r="L4" s="64" t="s">
        <v>17</v>
      </c>
      <c r="M4" s="62">
        <f>$B$12</f>
        <v>82</v>
      </c>
      <c r="N4" s="126" t="str">
        <f>$C$12</f>
        <v>MITZ-RONJAT Marguerite</v>
      </c>
      <c r="O4" s="126"/>
      <c r="P4" s="126"/>
      <c r="Q4" s="126"/>
      <c r="R4" s="126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27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29" t="s">
        <v>19</v>
      </c>
      <c r="F7" s="130"/>
      <c r="G7" s="130"/>
      <c r="H7" s="130"/>
      <c r="I7" s="130"/>
      <c r="J7" s="131" t="s">
        <v>20</v>
      </c>
      <c r="K7" s="132"/>
      <c r="L7" s="133" t="s">
        <v>21</v>
      </c>
      <c r="M7" s="133"/>
      <c r="N7" s="134" t="s">
        <v>22</v>
      </c>
      <c r="O7" s="135"/>
      <c r="P7" s="136"/>
      <c r="Q7" s="137" t="s">
        <v>23</v>
      </c>
      <c r="R7" s="135"/>
      <c r="S7" s="136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66" t="s">
        <v>32</v>
      </c>
      <c r="M8" s="66" t="s">
        <v>31</v>
      </c>
      <c r="N8" s="65" t="s">
        <v>33</v>
      </c>
      <c r="O8" s="65" t="s">
        <v>34</v>
      </c>
      <c r="P8" s="65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82</v>
      </c>
      <c r="C10" s="41" t="s">
        <v>76</v>
      </c>
      <c r="D10" s="19">
        <v>1</v>
      </c>
      <c r="E10" s="25">
        <v>41764</v>
      </c>
      <c r="F10" s="25">
        <v>41810</v>
      </c>
      <c r="G10" s="25">
        <v>41810</v>
      </c>
      <c r="H10" s="25">
        <v>41810</v>
      </c>
      <c r="I10" s="43" t="s">
        <v>84</v>
      </c>
      <c r="J10" s="25">
        <v>41776</v>
      </c>
      <c r="K10" s="25">
        <v>41810</v>
      </c>
      <c r="L10" s="25">
        <v>41835</v>
      </c>
      <c r="M10" s="25">
        <v>41835</v>
      </c>
      <c r="N10" s="25">
        <v>41884</v>
      </c>
      <c r="O10" s="25">
        <v>41800</v>
      </c>
      <c r="P10" s="25">
        <v>41810</v>
      </c>
      <c r="Q10" s="25">
        <v>42129</v>
      </c>
      <c r="R10" s="25">
        <v>41920</v>
      </c>
      <c r="S10" s="25">
        <v>41925</v>
      </c>
      <c r="T10" s="41" t="s">
        <v>75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18.75" customHeight="1">
      <c r="B11" s="72">
        <v>82</v>
      </c>
      <c r="C11" s="73" t="s">
        <v>76</v>
      </c>
      <c r="D11" s="19">
        <v>2</v>
      </c>
      <c r="E11" s="25">
        <v>41808</v>
      </c>
      <c r="F11" s="25">
        <v>41810</v>
      </c>
      <c r="G11" s="25">
        <v>41810</v>
      </c>
      <c r="H11" s="25">
        <v>41810</v>
      </c>
      <c r="I11" s="43" t="s">
        <v>84</v>
      </c>
      <c r="J11" s="25">
        <v>41820</v>
      </c>
      <c r="K11" s="25">
        <v>41824</v>
      </c>
      <c r="L11" s="25">
        <v>41879</v>
      </c>
      <c r="M11" s="25">
        <v>41891</v>
      </c>
      <c r="N11" s="25">
        <v>41928</v>
      </c>
      <c r="O11" s="25">
        <v>41823</v>
      </c>
      <c r="P11" s="25">
        <v>41824</v>
      </c>
      <c r="Q11" s="25">
        <v>42173</v>
      </c>
      <c r="R11" s="25">
        <v>41967</v>
      </c>
      <c r="S11" s="25">
        <v>41971</v>
      </c>
      <c r="T11" s="73" t="s">
        <v>75</v>
      </c>
      <c r="U11" s="12">
        <v>42306</v>
      </c>
    </row>
    <row r="12" spans="2:48" ht="18" customHeight="1">
      <c r="B12" s="72">
        <v>82</v>
      </c>
      <c r="C12" s="73" t="s">
        <v>76</v>
      </c>
      <c r="D12" s="19">
        <v>3</v>
      </c>
      <c r="E12" s="25">
        <v>41808</v>
      </c>
      <c r="F12" s="25">
        <v>41813</v>
      </c>
      <c r="G12" s="25">
        <v>41813</v>
      </c>
      <c r="H12" s="25">
        <v>41813</v>
      </c>
      <c r="I12" s="43" t="s">
        <v>84</v>
      </c>
      <c r="J12" s="25">
        <v>41820</v>
      </c>
      <c r="K12" s="25">
        <v>41820</v>
      </c>
      <c r="L12" s="25">
        <v>41879</v>
      </c>
      <c r="M12" s="25">
        <v>41891</v>
      </c>
      <c r="N12" s="25">
        <v>41928</v>
      </c>
      <c r="O12" s="25">
        <v>41817</v>
      </c>
      <c r="P12" s="25">
        <v>41820</v>
      </c>
      <c r="Q12" s="25">
        <v>42173</v>
      </c>
      <c r="R12" s="25">
        <v>41970</v>
      </c>
      <c r="S12" s="25">
        <v>41971</v>
      </c>
      <c r="T12" s="73" t="s">
        <v>75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Feuil11"/>
  <dimension ref="B1:AV12"/>
  <sheetViews>
    <sheetView workbookViewId="0">
      <selection activeCell="J24" sqref="J24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23" t="s">
        <v>16</v>
      </c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25"/>
      <c r="M3" s="125"/>
      <c r="N3" s="125"/>
      <c r="O3" s="75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38" t="s">
        <v>58</v>
      </c>
      <c r="E4" s="138"/>
      <c r="F4" s="52">
        <f>$U$12</f>
        <v>42306</v>
      </c>
      <c r="G4" s="49"/>
      <c r="H4" s="49"/>
      <c r="I4" s="33"/>
      <c r="J4" s="49"/>
      <c r="K4" s="49"/>
      <c r="L4" s="76" t="s">
        <v>17</v>
      </c>
      <c r="M4" s="62">
        <f>$B$12</f>
        <v>305</v>
      </c>
      <c r="N4" s="126" t="str">
        <f>$C$12</f>
        <v>PFISTER Pierre</v>
      </c>
      <c r="O4" s="126"/>
      <c r="P4" s="126"/>
      <c r="Q4" s="126"/>
      <c r="R4" s="126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27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29" t="s">
        <v>19</v>
      </c>
      <c r="F7" s="130"/>
      <c r="G7" s="130"/>
      <c r="H7" s="130"/>
      <c r="I7" s="130"/>
      <c r="J7" s="131" t="s">
        <v>20</v>
      </c>
      <c r="K7" s="132"/>
      <c r="L7" s="133" t="s">
        <v>21</v>
      </c>
      <c r="M7" s="133"/>
      <c r="N7" s="134" t="s">
        <v>22</v>
      </c>
      <c r="O7" s="135"/>
      <c r="P7" s="136"/>
      <c r="Q7" s="137" t="s">
        <v>23</v>
      </c>
      <c r="R7" s="135"/>
      <c r="S7" s="136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78" t="s">
        <v>32</v>
      </c>
      <c r="M8" s="78" t="s">
        <v>31</v>
      </c>
      <c r="N8" s="77" t="s">
        <v>33</v>
      </c>
      <c r="O8" s="77" t="s">
        <v>34</v>
      </c>
      <c r="P8" s="77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305</v>
      </c>
      <c r="C10" s="41" t="s">
        <v>80</v>
      </c>
      <c r="D10" s="19">
        <v>1</v>
      </c>
      <c r="E10" s="25">
        <v>41816</v>
      </c>
      <c r="F10" s="25">
        <v>41892</v>
      </c>
      <c r="G10" s="25">
        <v>41892</v>
      </c>
      <c r="H10" s="25">
        <v>41820</v>
      </c>
      <c r="I10" s="74" t="s">
        <v>83</v>
      </c>
      <c r="J10" s="25">
        <v>41828</v>
      </c>
      <c r="K10" s="25">
        <v>41827</v>
      </c>
      <c r="L10" s="25">
        <v>41887</v>
      </c>
      <c r="M10" s="25">
        <v>41884</v>
      </c>
      <c r="N10" s="25">
        <v>41936</v>
      </c>
      <c r="O10" s="25"/>
      <c r="P10" s="25"/>
      <c r="Q10" s="25">
        <v>42181</v>
      </c>
      <c r="R10" s="25"/>
      <c r="S10" s="25"/>
      <c r="T10" s="41" t="s">
        <v>79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18.75" customHeight="1">
      <c r="B11" s="90">
        <v>305</v>
      </c>
      <c r="C11" s="91" t="s">
        <v>80</v>
      </c>
      <c r="D11" s="19">
        <v>2</v>
      </c>
      <c r="E11" s="25">
        <v>41948</v>
      </c>
      <c r="F11" s="25">
        <v>41950</v>
      </c>
      <c r="G11" s="25">
        <v>41950</v>
      </c>
      <c r="H11" s="25">
        <v>41956</v>
      </c>
      <c r="I11" s="74" t="s">
        <v>93</v>
      </c>
      <c r="J11" s="25">
        <v>41960</v>
      </c>
      <c r="K11" s="25">
        <v>41968</v>
      </c>
      <c r="L11" s="25">
        <v>42019</v>
      </c>
      <c r="M11" s="25">
        <v>42020</v>
      </c>
      <c r="N11" s="25">
        <v>42068</v>
      </c>
      <c r="O11" s="25">
        <v>41942</v>
      </c>
      <c r="P11" s="25">
        <v>41950</v>
      </c>
      <c r="Q11" s="25">
        <v>42313</v>
      </c>
      <c r="R11" s="25">
        <v>41996</v>
      </c>
      <c r="S11" s="25">
        <v>42002</v>
      </c>
      <c r="T11" s="91" t="s">
        <v>79</v>
      </c>
      <c r="U11" s="12">
        <v>42306</v>
      </c>
    </row>
    <row r="12" spans="2:48" ht="18" customHeight="1">
      <c r="B12" s="90">
        <v>305</v>
      </c>
      <c r="C12" s="91" t="s">
        <v>80</v>
      </c>
      <c r="D12" s="19">
        <v>3</v>
      </c>
      <c r="I12" s="74" t="s">
        <v>57</v>
      </c>
      <c r="T12" s="91" t="s">
        <v>79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Feuil12"/>
  <dimension ref="B1:AV16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3"/>
      <c r="D1" s="53"/>
      <c r="E1" s="49"/>
      <c r="F1" s="49"/>
      <c r="G1" s="49"/>
      <c r="H1" s="49"/>
      <c r="I1" s="33"/>
      <c r="J1" s="49"/>
      <c r="K1" s="49"/>
      <c r="L1" s="49"/>
      <c r="M1" s="49"/>
      <c r="N1" s="49"/>
      <c r="O1" s="49"/>
      <c r="P1" s="49"/>
      <c r="Q1" s="49"/>
      <c r="R1" s="49"/>
      <c r="S1" s="49"/>
      <c r="T1" s="33"/>
      <c r="U1" s="44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</row>
    <row r="2" spans="2:48" ht="27">
      <c r="C2" s="33"/>
      <c r="D2" s="20" t="s">
        <v>0</v>
      </c>
      <c r="E2" s="50"/>
      <c r="F2" s="51"/>
      <c r="G2" s="123" t="s">
        <v>16</v>
      </c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33"/>
      <c r="U2" s="44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</row>
    <row r="3" spans="2:48" ht="27">
      <c r="C3" s="33"/>
      <c r="D3" s="54"/>
      <c r="E3" s="51"/>
      <c r="F3" s="51"/>
      <c r="G3" s="49"/>
      <c r="H3" s="49"/>
      <c r="I3" s="33"/>
      <c r="J3" s="49"/>
      <c r="K3" s="49"/>
      <c r="L3" s="125"/>
      <c r="M3" s="125"/>
      <c r="N3" s="125"/>
      <c r="O3" s="67"/>
      <c r="P3" s="49"/>
      <c r="Q3" s="49"/>
      <c r="R3" s="49"/>
      <c r="S3" s="49"/>
      <c r="T3" s="33"/>
      <c r="U3" s="44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</row>
    <row r="4" spans="2:48" ht="24" customHeight="1">
      <c r="C4" s="33"/>
      <c r="D4" s="138" t="s">
        <v>58</v>
      </c>
      <c r="E4" s="138"/>
      <c r="F4" s="52">
        <f>$U$16</f>
        <v>42306</v>
      </c>
      <c r="G4" s="49"/>
      <c r="H4" s="49"/>
      <c r="I4" s="33"/>
      <c r="J4" s="49"/>
      <c r="K4" s="49"/>
      <c r="L4" s="68" t="s">
        <v>17</v>
      </c>
      <c r="M4" s="62">
        <f>$B$16</f>
        <v>80</v>
      </c>
      <c r="N4" s="126" t="str">
        <f>$C$16</f>
        <v>PRUD'HOMME Philippe</v>
      </c>
      <c r="O4" s="126"/>
      <c r="P4" s="126"/>
      <c r="Q4" s="126"/>
      <c r="R4" s="126"/>
      <c r="S4" s="49"/>
      <c r="T4" s="33"/>
      <c r="U4" s="44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</row>
    <row r="5" spans="2:48">
      <c r="C5" s="33"/>
      <c r="D5" s="53"/>
      <c r="E5" s="49"/>
      <c r="F5" s="49"/>
      <c r="G5" s="49"/>
      <c r="H5" s="49"/>
      <c r="I5" s="33"/>
      <c r="J5" s="49"/>
      <c r="K5" s="49"/>
      <c r="L5" s="49"/>
      <c r="M5" s="49"/>
      <c r="N5" s="49"/>
      <c r="O5" s="49"/>
      <c r="P5" s="49"/>
      <c r="Q5" s="49"/>
      <c r="R5" s="57" t="s">
        <v>18</v>
      </c>
      <c r="S5" s="49"/>
      <c r="T5" s="33"/>
      <c r="U5" s="44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</row>
    <row r="6" spans="2:48" s="35" customFormat="1" ht="19.5" customHeight="1">
      <c r="C6" s="34"/>
      <c r="D6" s="127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34"/>
      <c r="U6" s="45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</row>
    <row r="7" spans="2:48" s="35" customFormat="1" ht="39.75" customHeight="1">
      <c r="C7" s="34"/>
      <c r="D7" s="36"/>
      <c r="E7" s="129" t="s">
        <v>19</v>
      </c>
      <c r="F7" s="130"/>
      <c r="G7" s="130"/>
      <c r="H7" s="130"/>
      <c r="I7" s="130"/>
      <c r="J7" s="131" t="s">
        <v>20</v>
      </c>
      <c r="K7" s="132"/>
      <c r="L7" s="133" t="s">
        <v>21</v>
      </c>
      <c r="M7" s="133"/>
      <c r="N7" s="134" t="s">
        <v>22</v>
      </c>
      <c r="O7" s="135"/>
      <c r="P7" s="136"/>
      <c r="Q7" s="137" t="s">
        <v>23</v>
      </c>
      <c r="R7" s="135"/>
      <c r="S7" s="136"/>
      <c r="T7" s="34"/>
      <c r="U7" s="45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</row>
    <row r="8" spans="2:48" s="40" customFormat="1" ht="76.5">
      <c r="C8" s="37"/>
      <c r="D8" s="38" t="s">
        <v>24</v>
      </c>
      <c r="E8" s="48" t="s">
        <v>25</v>
      </c>
      <c r="F8" s="48" t="s">
        <v>26</v>
      </c>
      <c r="G8" s="48" t="s">
        <v>27</v>
      </c>
      <c r="H8" s="48" t="s">
        <v>28</v>
      </c>
      <c r="I8" s="39" t="s">
        <v>29</v>
      </c>
      <c r="J8" s="58" t="s">
        <v>30</v>
      </c>
      <c r="K8" s="58" t="s">
        <v>31</v>
      </c>
      <c r="L8" s="70" t="s">
        <v>32</v>
      </c>
      <c r="M8" s="70" t="s">
        <v>31</v>
      </c>
      <c r="N8" s="69" t="s">
        <v>33</v>
      </c>
      <c r="O8" s="69" t="s">
        <v>34</v>
      </c>
      <c r="P8" s="69" t="s">
        <v>35</v>
      </c>
      <c r="Q8" s="61" t="s">
        <v>36</v>
      </c>
      <c r="R8" s="61" t="s">
        <v>34</v>
      </c>
      <c r="S8" s="61" t="s">
        <v>37</v>
      </c>
      <c r="T8" s="37"/>
      <c r="U8" s="46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</row>
    <row r="9" spans="2:48" s="42" customFormat="1" hidden="1">
      <c r="B9" s="42" t="s">
        <v>38</v>
      </c>
      <c r="C9" s="41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1" t="s">
        <v>56</v>
      </c>
      <c r="U9" s="47" t="s">
        <v>11</v>
      </c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</row>
    <row r="10" spans="2:48" s="42" customFormat="1" ht="17.25" customHeight="1">
      <c r="B10" s="42">
        <v>80</v>
      </c>
      <c r="C10" s="41" t="s">
        <v>77</v>
      </c>
      <c r="D10" s="19">
        <v>1</v>
      </c>
      <c r="E10" s="25">
        <v>41708</v>
      </c>
      <c r="F10" s="25">
        <v>41773</v>
      </c>
      <c r="G10" s="25">
        <v>41772</v>
      </c>
      <c r="H10" s="25">
        <v>41772</v>
      </c>
      <c r="I10" s="43" t="s">
        <v>85</v>
      </c>
      <c r="J10" s="25">
        <v>41720</v>
      </c>
      <c r="K10" s="25">
        <v>41772</v>
      </c>
      <c r="L10" s="25">
        <v>41779</v>
      </c>
      <c r="M10" s="25">
        <v>41772</v>
      </c>
      <c r="N10" s="25">
        <v>41828</v>
      </c>
      <c r="O10" s="25">
        <v>41771</v>
      </c>
      <c r="P10" s="25">
        <v>41773</v>
      </c>
      <c r="Q10" s="25">
        <v>42073</v>
      </c>
      <c r="R10" s="25">
        <v>41926</v>
      </c>
      <c r="S10" s="25">
        <v>41926</v>
      </c>
      <c r="T10" s="41" t="s">
        <v>78</v>
      </c>
      <c r="U10" s="12">
        <v>42306</v>
      </c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</row>
    <row r="11" spans="2:48" ht="18.75" customHeight="1">
      <c r="B11" s="72">
        <v>80</v>
      </c>
      <c r="C11" s="73" t="s">
        <v>77</v>
      </c>
      <c r="D11" s="19">
        <v>2</v>
      </c>
      <c r="E11" s="25">
        <v>41783</v>
      </c>
      <c r="F11" s="25">
        <v>41786</v>
      </c>
      <c r="G11" s="25">
        <v>41892</v>
      </c>
      <c r="H11" s="25">
        <v>41786</v>
      </c>
      <c r="I11" s="43" t="s">
        <v>84</v>
      </c>
      <c r="J11" s="25">
        <v>41795</v>
      </c>
      <c r="K11" s="25">
        <v>41794</v>
      </c>
      <c r="L11" s="25">
        <v>41854</v>
      </c>
      <c r="M11" s="25">
        <v>41892</v>
      </c>
      <c r="N11" s="25">
        <v>41903</v>
      </c>
      <c r="O11" s="25">
        <v>41813</v>
      </c>
      <c r="P11" s="25">
        <v>41892</v>
      </c>
      <c r="Q11" s="25">
        <v>42148</v>
      </c>
      <c r="R11" s="25">
        <v>41926</v>
      </c>
      <c r="S11" s="25">
        <v>41926</v>
      </c>
      <c r="T11" s="73" t="s">
        <v>78</v>
      </c>
      <c r="U11" s="12">
        <v>42306</v>
      </c>
    </row>
    <row r="12" spans="2:48" ht="18" customHeight="1">
      <c r="B12" s="72">
        <v>80</v>
      </c>
      <c r="C12" s="73" t="s">
        <v>77</v>
      </c>
      <c r="D12" s="19">
        <v>3</v>
      </c>
      <c r="E12" s="25">
        <v>41789</v>
      </c>
      <c r="F12" s="25">
        <v>41794</v>
      </c>
      <c r="H12" s="25">
        <v>41807</v>
      </c>
      <c r="I12" s="74" t="s">
        <v>86</v>
      </c>
      <c r="J12" s="25">
        <v>41801</v>
      </c>
      <c r="L12" s="25">
        <v>41860</v>
      </c>
      <c r="N12" s="25">
        <v>41909</v>
      </c>
      <c r="Q12" s="25">
        <v>42154</v>
      </c>
      <c r="T12" s="73" t="s">
        <v>78</v>
      </c>
      <c r="U12" s="12">
        <v>42306</v>
      </c>
    </row>
    <row r="13" spans="2:48" ht="25.5">
      <c r="B13" s="88">
        <v>80</v>
      </c>
      <c r="C13" s="89" t="s">
        <v>77</v>
      </c>
      <c r="D13" s="19">
        <v>4</v>
      </c>
      <c r="E13" s="25">
        <v>41810</v>
      </c>
      <c r="F13" s="25">
        <v>41892</v>
      </c>
      <c r="G13" s="25">
        <v>41817</v>
      </c>
      <c r="H13" s="25">
        <v>41817</v>
      </c>
      <c r="I13" s="74" t="s">
        <v>83</v>
      </c>
      <c r="J13" s="25">
        <v>41822</v>
      </c>
      <c r="L13" s="25">
        <v>41881</v>
      </c>
      <c r="N13" s="25">
        <v>41930</v>
      </c>
      <c r="Q13" s="25">
        <v>42175</v>
      </c>
      <c r="T13" s="89" t="s">
        <v>78</v>
      </c>
      <c r="U13" s="12">
        <v>42306</v>
      </c>
    </row>
    <row r="14" spans="2:48" ht="25.5">
      <c r="B14" s="88">
        <v>80</v>
      </c>
      <c r="C14" s="89" t="s">
        <v>77</v>
      </c>
      <c r="D14" s="19">
        <v>5</v>
      </c>
      <c r="E14" s="25">
        <v>41810</v>
      </c>
      <c r="F14" s="25">
        <v>41926</v>
      </c>
      <c r="G14" s="25">
        <v>41892</v>
      </c>
      <c r="H14" s="25">
        <v>41892</v>
      </c>
      <c r="I14" s="99" t="s">
        <v>81</v>
      </c>
      <c r="J14" s="25">
        <v>41822</v>
      </c>
      <c r="K14" s="25">
        <v>41884</v>
      </c>
      <c r="L14" s="25">
        <v>41881</v>
      </c>
      <c r="M14" s="25">
        <v>41884</v>
      </c>
      <c r="N14" s="25">
        <v>41930</v>
      </c>
      <c r="O14" s="25">
        <v>41887</v>
      </c>
      <c r="P14" s="25">
        <v>41892</v>
      </c>
      <c r="Q14" s="25">
        <v>42175</v>
      </c>
      <c r="T14" s="89" t="s">
        <v>78</v>
      </c>
      <c r="U14" s="12">
        <v>42306</v>
      </c>
    </row>
    <row r="15" spans="2:48" ht="25.5">
      <c r="B15" s="106">
        <v>80</v>
      </c>
      <c r="C15" s="107" t="s">
        <v>77</v>
      </c>
      <c r="D15" s="19">
        <v>6</v>
      </c>
      <c r="E15" s="25">
        <v>41957</v>
      </c>
      <c r="F15" s="25">
        <v>41961</v>
      </c>
      <c r="G15" s="25">
        <v>42047</v>
      </c>
      <c r="H15" s="25">
        <v>42047</v>
      </c>
      <c r="I15" s="99" t="s">
        <v>84</v>
      </c>
      <c r="J15" s="25">
        <v>41969</v>
      </c>
      <c r="K15" s="25">
        <v>42047</v>
      </c>
      <c r="L15" s="25">
        <v>42028</v>
      </c>
      <c r="M15" s="25">
        <v>42047</v>
      </c>
      <c r="N15" s="25">
        <v>42077</v>
      </c>
      <c r="Q15" s="25">
        <v>42322</v>
      </c>
      <c r="T15" s="107" t="s">
        <v>78</v>
      </c>
      <c r="U15" s="12">
        <v>42306</v>
      </c>
    </row>
    <row r="16" spans="2:48" ht="25.5">
      <c r="B16" s="106">
        <v>80</v>
      </c>
      <c r="C16" s="107" t="s">
        <v>77</v>
      </c>
      <c r="D16" s="19">
        <v>7</v>
      </c>
      <c r="F16" s="25">
        <v>41975</v>
      </c>
      <c r="H16" s="25">
        <v>41984</v>
      </c>
      <c r="I16" s="99" t="s">
        <v>81</v>
      </c>
      <c r="K16" s="25">
        <v>41992</v>
      </c>
      <c r="M16" s="25">
        <v>42059</v>
      </c>
      <c r="T16" s="107" t="s">
        <v>78</v>
      </c>
      <c r="U16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Secteur DE0106</vt:lpstr>
      <vt:lpstr>00741020</vt:lpstr>
      <vt:lpstr>03338991</vt:lpstr>
      <vt:lpstr>02444050</vt:lpstr>
      <vt:lpstr>03272533</vt:lpstr>
      <vt:lpstr>03422545</vt:lpstr>
      <vt:lpstr>03723790</vt:lpstr>
      <vt:lpstr>04444261</vt:lpstr>
      <vt:lpstr>04591186</vt:lpstr>
      <vt:lpstr>05856743</vt:lpstr>
      <vt:lpstr>06535235</vt:lpstr>
      <vt:lpstr>07275643</vt:lpstr>
      <vt:lpstr>07568331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2015-10-29T22:01:30Z</dcterms:modified>
</cp:coreProperties>
</file>