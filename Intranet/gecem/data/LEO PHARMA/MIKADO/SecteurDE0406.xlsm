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 tabRatio="548"/>
  </bookViews>
  <sheets>
    <sheet name="Secteur DE0406" sheetId="1" r:id="rId1"/>
    <sheet name="00972265" sheetId="2" r:id="rId2"/>
    <sheet name="01436944" sheetId="9" r:id="rId3"/>
    <sheet name="05053645" sheetId="10" r:id="rId4"/>
    <sheet name="02370835" sheetId="8" r:id="rId5"/>
    <sheet name="05124210" sheetId="3" r:id="rId6"/>
    <sheet name="05655425" sheetId="7" r:id="rId7"/>
    <sheet name="05636104" sheetId="4" r:id="rId8"/>
    <sheet name="05898394" sheetId="6" r:id="rId9"/>
    <sheet name="08289470" sheetId="5" r:id="rId10"/>
  </sheets>
  <definedNames>
    <definedName name="Lancer_la_requête_à_partir_de_MS_Access_Database" localSheetId="1" hidden="1">'00972265'!$B$9:$U$12</definedName>
    <definedName name="Lancer_la_requête_à_partir_de_MS_Access_Database" localSheetId="2" hidden="1">'01436944'!$B$9:$U$14</definedName>
    <definedName name="Lancer_la_requête_à_partir_de_MS_Access_Database" localSheetId="4" hidden="1">'02370835'!$B$9:$U$14</definedName>
    <definedName name="Lancer_la_requête_à_partir_de_MS_Access_Database" localSheetId="3" hidden="1">'05053645'!$B$9:$U$19</definedName>
    <definedName name="Lancer_la_requête_à_partir_de_MS_Access_Database" localSheetId="5" hidden="1">'05124210'!$B$9:$U$14</definedName>
    <definedName name="Lancer_la_requête_à_partir_de_MS_Access_Database" localSheetId="7" hidden="1">'05636104'!$B$9:$U$14</definedName>
    <definedName name="Lancer_la_requête_à_partir_de_MS_Access_Database" localSheetId="6" hidden="1">'05655425'!$B$9:$U$12</definedName>
    <definedName name="Lancer_la_requête_à_partir_de_MS_Access_Database" localSheetId="8" hidden="1">'05898394'!$B$9:$U$14</definedName>
    <definedName name="Lancer_la_requête_à_partir_de_MS_Access_Database" localSheetId="9" hidden="1">'08289470'!$B$9:$U$12</definedName>
    <definedName name="Lancer_la_requête_à_partir_de_MS_Access_Database_1" localSheetId="0" hidden="1">'Secteur DE0406'!$A$7:$K$16</definedName>
  </definedNames>
  <calcPr calcId="125725"/>
</workbook>
</file>

<file path=xl/calcChain.xml><?xml version="1.0" encoding="utf-8"?>
<calcChain xmlns="http://schemas.openxmlformats.org/spreadsheetml/2006/main">
  <c r="D17" i="1"/>
  <c r="E17"/>
  <c r="F17"/>
  <c r="G17"/>
  <c r="H17"/>
  <c r="I17"/>
  <c r="N4" i="10"/>
  <c r="M4"/>
  <c r="F4"/>
  <c r="N4" i="9"/>
  <c r="M4"/>
  <c r="F4"/>
  <c r="N4" i="8"/>
  <c r="M4"/>
  <c r="F4"/>
  <c r="N4" i="7" l="1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406')_x000d__x000a_ORDER BY Req_REPORT_SECTEURS_GLOBAL.Medecin"/>
  </connection>
  <connection id="2" name="Lancer la requête à partir de MS Access Database0097226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972265')"/>
  </connection>
  <connection id="3" name="Lancer la requête à partir de MS Access Database0143694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436944')"/>
  </connection>
  <connection id="4" name="Lancer la requête à partir de MS Access Database0237083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370835')"/>
  </connection>
  <connection id="5" name="Lancer la requête à partir de MS Access Database050536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053645')"/>
  </connection>
  <connection id="6" name="Lancer la requête à partir de MS Access Database0512421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124210')"/>
  </connection>
  <connection id="7" name="Lancer la requête à partir de MS Access Database0563610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636104')"/>
  </connection>
  <connection id="8" name="Lancer la requête à partir de MS Access Database0565542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655425')"/>
  </connection>
  <connection id="9" name="Lancer la requête à partir de MS Access Database0589839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898394')"/>
  </connection>
  <connection id="10" name="Lancer la requête à partir de MS Access Database0828947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289470')"/>
  </connection>
</connections>
</file>

<file path=xl/sharedStrings.xml><?xml version="1.0" encoding="utf-8"?>
<sst xmlns="http://schemas.openxmlformats.org/spreadsheetml/2006/main" count="610" uniqueCount="98">
  <si>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</si>
  <si>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</si>
  <si>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</si>
  <si>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</si>
  <si>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</si>
  <si>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</si>
  <si>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</si>
  <si>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</si>
  <si>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</si>
  <si>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</si>
  <si>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</si>
  <si>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</si>
  <si>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</si>
  <si>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</si>
  <si>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</si>
  <si>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</si>
  <si>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</si>
  <si>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</si>
  <si>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</si>
  <si>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</si>
  <si>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</si>
  <si>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</si>
  <si>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</si>
  <si>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</si>
  <si>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</si>
  <si>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</si>
  <si>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</si>
  <si>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</si>
  <si>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</si>
  <si>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</si>
  <si>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</si>
  <si>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</si>
  <si>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</si>
  <si>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</si>
  <si>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</si>
  <si>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</si>
  <si>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</si>
  <si>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</si>
  <si>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</si>
  <si>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</si>
  <si>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</si>
  <si>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</si>
  <si>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</si>
  <si>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</si>
  <si>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</si>
  <si>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</si>
  <si>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</si>
  <si>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</si>
  <si>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</si>
  <si>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</si>
  <si>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</si>
  <si>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</si>
  <si>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</si>
  <si>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</si>
  <si>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</si>
  <si>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</si>
  <si>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</si>
  <si>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</si>
  <si>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</si>
  <si>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DE0406</t>
  </si>
  <si>
    <t>ROUQUETTE Bertrand</t>
  </si>
  <si>
    <t>WFRM00972265</t>
  </si>
  <si>
    <t>BLATIERE Véronique</t>
  </si>
  <si>
    <t>WFRM05124210</t>
  </si>
  <si>
    <t>FLAUD Marie-Christine</t>
  </si>
  <si>
    <t>WFRM05636104</t>
  </si>
  <si>
    <t>LELLOUCHE Didier</t>
  </si>
  <si>
    <t>WFRM08289470</t>
  </si>
  <si>
    <t>SAUSSAYE Yannick</t>
  </si>
  <si>
    <t>LUBET Claire</t>
  </si>
  <si>
    <t>WFRM05898394</t>
  </si>
  <si>
    <t>WFRM05655425</t>
  </si>
  <si>
    <t>LABAU-DONNET Diane</t>
  </si>
  <si>
    <t>WFRM02370835</t>
  </si>
  <si>
    <t>CROZET Isabelle</t>
  </si>
  <si>
    <t>WFRM01436944</t>
  </si>
  <si>
    <t>BRUN Didier</t>
  </si>
  <si>
    <t>WFRM05053645</t>
  </si>
  <si>
    <t>CHTOUROU MASSIAS Myriam</t>
  </si>
  <si>
    <t>Via médecin</t>
  </si>
  <si>
    <t>Mail - Courrier</t>
  </si>
  <si>
    <t>SMS - Téléphone</t>
  </si>
  <si>
    <t>SMS</t>
  </si>
  <si>
    <t>Mail</t>
  </si>
  <si>
    <t>Courrier 05/08: demande envoi visite inclusion patients 1 et 2</t>
  </si>
  <si>
    <t>Téléphone</t>
  </si>
  <si>
    <t>Courrier 26août : envoi courrier pour relance à faire patient 1 n'a pas renvoyé son auto-questionnaire 2 mois.</t>
  </si>
  <si>
    <t>05sept: a inclus 1 patient va faire les 5 patients d'ici la fin octobre</t>
  </si>
  <si>
    <t>08sept: Le Dr va essayer d'inclure d'autres patients dans la mesure du possible.</t>
  </si>
  <si>
    <t>19sept: souhaite faire 2 autres patients, va nous renvoyer le patient 1 et la page manquante du patient 3</t>
  </si>
  <si>
    <t>SMS - Mail</t>
  </si>
  <si>
    <t>15oct: souhaite avoir 2 nouveaux cahiers</t>
  </si>
  <si>
    <t>15oct: ne souhaite plus participer, n'a plus de temps à y consacrer</t>
  </si>
  <si>
    <t>Courrier</t>
  </si>
  <si>
    <t>Reste 2 patients à inclure</t>
  </si>
  <si>
    <t>Colonne1</t>
  </si>
  <si>
    <t>Reste 3 patients à inclure</t>
  </si>
  <si>
    <t>Reste 4 patients à inclure</t>
  </si>
</sst>
</file>

<file path=xl/styles.xml><?xml version="1.0" encoding="utf-8"?>
<styleSheet xmlns="http://schemas.openxmlformats.org/spreadsheetml/2006/main">
  <numFmts count="1">
    <numFmt numFmtId="164" formatCode="dd/mm/yy;@"/>
  </numFmts>
  <fonts count="30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33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2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0" fillId="11" borderId="0" xfId="0" applyFill="1"/>
    <xf numFmtId="0" fontId="29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2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22"/>
      <tableStyleElement type="headerRow" dxfId="221"/>
      <tableStyleElement type="totalRow" dxfId="220"/>
      <tableStyleElement type="firstColumn" dxfId="219"/>
      <tableStyleElement type="lastColumn" dxfId="218"/>
      <tableStyleElement type="firstRowStripe" dxfId="217"/>
      <tableStyleElement type="secondRowStripe" dxfId="216"/>
      <tableStyleElement type="firstColumnStripe" dxfId="215"/>
      <tableStyleElement type="secondColumnStripe" dxfId="214"/>
    </tableStyle>
    <tableStyle name="TableStyleLight8 2" pivot="0" count="9">
      <tableStyleElement type="wholeTable" dxfId="213"/>
      <tableStyleElement type="headerRow" dxfId="212"/>
      <tableStyleElement type="totalRow" dxfId="211"/>
      <tableStyleElement type="firstColumn" dxfId="210"/>
      <tableStyleElement type="lastColumn" dxfId="209"/>
      <tableStyleElement type="firstRowStripe" dxfId="208"/>
      <tableStyleElement type="secondRowStripe" dxfId="207"/>
      <tableStyleElement type="firstColumnStripe" dxfId="206"/>
      <tableStyleElement type="secondColumnStripe" dxfId="20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17" tableType="queryTable" totalsRowCount="1" headerRowDxfId="204" dataDxfId="203">
  <tableColumns count="12">
    <tableColumn id="1" uniqueName="1" name="Code Secteur" queryTableFieldId="1" dataDxfId="191" totalsRowDxfId="192"/>
    <tableColumn id="2" uniqueName="2" name="VM" queryTableFieldId="2" dataDxfId="190" totalsRowDxfId="193"/>
    <tableColumn id="3" uniqueName="3" name="Code médecin" totalsRowLabel="TOTAL" queryTableFieldId="3" dataDxfId="189" totalsRowDxfId="194" dataCellStyle="Lien hypertexte"/>
    <tableColumn id="4" uniqueName="4" name="Medecin" totalsRowFunction="custom" queryTableFieldId="4" dataDxfId="188" totalsRowDxfId="195">
      <totalsRowFormula>SUBTOTAL(3,D8:D16)</totalsRowFormula>
    </tableColumn>
    <tableColumn id="5" uniqueName="5" name="Date de réception convention financière" totalsRowFunction="custom" queryTableFieldId="5" dataDxfId="187" totalsRowDxfId="196">
      <totalsRowFormula>SUBTOTAL(3,[Date de réception convention financière])</totalsRowFormula>
    </tableColumn>
    <tableColumn id="6" uniqueName="6" name="Date de réception AR kit" totalsRowFunction="custom" queryTableFieldId="6" dataDxfId="186" totalsRowDxfId="197">
      <totalsRowFormula>SUBTOTAL(3,[Date de réception AR kit])</totalsRowFormula>
    </tableColumn>
    <tableColumn id="7" uniqueName="7" name="Date de MEP" totalsRowFunction="custom" queryTableFieldId="7" dataDxfId="185" totalsRowDxfId="198">
      <totalsRowFormula>SUBTOTAL(3,[Date de MEP])</totalsRowFormula>
    </tableColumn>
    <tableColumn id="8" uniqueName="8" name="Desistement" totalsRowFunction="custom" queryTableFieldId="8" dataDxfId="184" totalsRowDxfId="199">
      <totalsRowFormula>SUBTOTAL(3,[Desistement])</totalsRowFormula>
    </tableColumn>
    <tableColumn id="9" uniqueName="9" name="Nb Total Patients inclus" totalsRowFunction="custom" queryTableFieldId="9" dataDxfId="183" totalsRowDxfId="200">
      <totalsRowFormula>SUBTOTAL(109,I8:I16)</totalsRowFormula>
    </tableColumn>
    <tableColumn id="10" uniqueName="10" name="Comptes-rendus contact médecin-GECEM" queryTableFieldId="10" dataDxfId="182" totalsRowDxfId="201"/>
    <tableColumn id="11" uniqueName="11" name="Date" queryTableFieldId="11" dataDxfId="181" totalsRowDxfId="202"/>
    <tableColumn id="12" uniqueName="12" name="Colonne1" queryTableFieldId="12" dataDxfId="18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9" name="Tableau_Lancer_la_requête_à_partir_de_MS_Access_Database10" displayName="Tableau_Lancer_la_requête_à_partir_de_MS_Access_Database10" ref="B9:U14" tableType="queryTable" totalsRowShown="0"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0" name="Tableau_Lancer_la_requête_à_partir_de_MS_Access_Database45611" displayName="Tableau_Lancer_la_requête_à_partir_de_MS_Access_Database45611" ref="B9:U19" tableType="queryTable" totalsRowShown="0"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8" name="Tableau_Lancer_la_requête_à_partir_de_MS_Access_Database4569" displayName="Tableau_Lancer_la_requête_à_partir_de_MS_Access_Database4569" ref="B9:U14" tableType="queryTable" totalsRowShown="0"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3" name="Tableau_Lancer_la_requête_à_partir_de_MS_Access_Database4" displayName="Tableau_Lancer_la_requête_à_partir_de_MS_Access_Database4" ref="B9:U14" tableType="queryTable" totalsRowShown="0"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7" name="Tableau_Lancer_la_requête_à_partir_de_MS_Access_Database4568" displayName="Tableau_Lancer_la_requête_à_partir_de_MS_Access_Database4568" ref="B9:U12" tableType="queryTable" totalsRowShown="0"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4" name="Tableau_Lancer_la_requête_à_partir_de_MS_Access_Database45" displayName="Tableau_Lancer_la_requête_à_partir_de_MS_Access_Database45" ref="B9:U14" tableType="queryTable" totalsRowShown="0"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4" tableType="queryTable" totalsRowShown="0"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5" name="Tableau_Lancer_la_requête_à_partir_de_MS_Access_Database456" displayName="Tableau_Lancer_la_requête_à_partir_de_MS_Access_Database456" ref="B9:U12" tableType="queryTable" totalsRowShown="0"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9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$A$16</f>
        <v>DE0406</v>
      </c>
      <c r="G2" s="116" t="str">
        <f>$B$16</f>
        <v>ROUQUETTE Bertrand</v>
      </c>
      <c r="H2" s="116"/>
      <c r="I2" s="116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$K$16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95</v>
      </c>
    </row>
    <row r="8" spans="1:17" s="86" customFormat="1">
      <c r="A8" s="86" t="s">
        <v>59</v>
      </c>
      <c r="B8" s="86" t="s">
        <v>60</v>
      </c>
      <c r="C8" s="87" t="s">
        <v>61</v>
      </c>
      <c r="D8" s="88" t="s">
        <v>62</v>
      </c>
      <c r="E8" s="16">
        <v>41722</v>
      </c>
      <c r="F8" s="16">
        <v>41801</v>
      </c>
      <c r="G8" s="16">
        <v>41793</v>
      </c>
      <c r="H8" s="16"/>
      <c r="I8" s="15">
        <v>3</v>
      </c>
      <c r="J8" s="88" t="s">
        <v>84</v>
      </c>
      <c r="K8" s="89">
        <v>42306</v>
      </c>
    </row>
    <row r="9" spans="1:17" s="108" customFormat="1" ht="45">
      <c r="A9" s="108" t="s">
        <v>59</v>
      </c>
      <c r="B9" s="108" t="s">
        <v>60</v>
      </c>
      <c r="C9" s="109" t="s">
        <v>75</v>
      </c>
      <c r="D9" s="110" t="s">
        <v>76</v>
      </c>
      <c r="E9" s="111">
        <v>41816</v>
      </c>
      <c r="F9" s="111">
        <v>41827</v>
      </c>
      <c r="G9" s="111">
        <v>41824</v>
      </c>
      <c r="H9" s="111"/>
      <c r="I9" s="112">
        <v>2</v>
      </c>
      <c r="J9" s="110" t="s">
        <v>87</v>
      </c>
      <c r="K9" s="113">
        <v>42306</v>
      </c>
      <c r="L9" s="115" t="s">
        <v>96</v>
      </c>
    </row>
    <row r="10" spans="1:17" s="108" customFormat="1" ht="45">
      <c r="A10" s="108" t="s">
        <v>59</v>
      </c>
      <c r="B10" s="108" t="s">
        <v>60</v>
      </c>
      <c r="C10" s="109" t="s">
        <v>77</v>
      </c>
      <c r="D10" s="110" t="s">
        <v>78</v>
      </c>
      <c r="E10" s="111">
        <v>41822</v>
      </c>
      <c r="F10" s="111">
        <v>41827</v>
      </c>
      <c r="G10" s="111">
        <v>41824</v>
      </c>
      <c r="H10" s="111"/>
      <c r="I10" s="112">
        <v>6</v>
      </c>
      <c r="J10" s="110"/>
      <c r="K10" s="113">
        <v>42306</v>
      </c>
      <c r="L10" s="115" t="s">
        <v>97</v>
      </c>
    </row>
    <row r="11" spans="1:17" s="86" customFormat="1">
      <c r="A11" s="86" t="s">
        <v>59</v>
      </c>
      <c r="B11" s="86" t="s">
        <v>60</v>
      </c>
      <c r="C11" s="87" t="s">
        <v>73</v>
      </c>
      <c r="D11" s="88" t="s">
        <v>74</v>
      </c>
      <c r="E11" s="16">
        <v>41785</v>
      </c>
      <c r="F11" s="16">
        <v>41803</v>
      </c>
      <c r="G11" s="16">
        <v>41802</v>
      </c>
      <c r="H11" s="16"/>
      <c r="I11" s="15">
        <v>5</v>
      </c>
      <c r="J11" s="88" t="s">
        <v>91</v>
      </c>
      <c r="K11" s="89">
        <v>42306</v>
      </c>
    </row>
    <row r="12" spans="1:17" s="86" customFormat="1" ht="30">
      <c r="A12" s="86" t="s">
        <v>59</v>
      </c>
      <c r="B12" s="86" t="s">
        <v>60</v>
      </c>
      <c r="C12" s="87" t="s">
        <v>63</v>
      </c>
      <c r="D12" s="90" t="s">
        <v>64</v>
      </c>
      <c r="E12" s="16">
        <v>41710</v>
      </c>
      <c r="F12" s="16">
        <v>41746</v>
      </c>
      <c r="G12" s="16">
        <v>41744</v>
      </c>
      <c r="H12" s="16"/>
      <c r="I12" s="15">
        <v>5</v>
      </c>
      <c r="J12" s="90" t="s">
        <v>86</v>
      </c>
      <c r="K12" s="89">
        <v>42306</v>
      </c>
    </row>
    <row r="13" spans="1:17" s="86" customFormat="1" ht="30">
      <c r="A13" s="86" t="s">
        <v>59</v>
      </c>
      <c r="B13" s="86" t="s">
        <v>60</v>
      </c>
      <c r="C13" s="87" t="s">
        <v>71</v>
      </c>
      <c r="D13" s="88" t="s">
        <v>72</v>
      </c>
      <c r="E13" s="16">
        <v>41779</v>
      </c>
      <c r="F13" s="16">
        <v>41801</v>
      </c>
      <c r="G13" s="16">
        <v>41796</v>
      </c>
      <c r="H13" s="16">
        <v>41927</v>
      </c>
      <c r="I13" s="15"/>
      <c r="J13" s="88" t="s">
        <v>92</v>
      </c>
      <c r="K13" s="89">
        <v>42306</v>
      </c>
    </row>
    <row r="14" spans="1:17" s="86" customFormat="1" ht="30">
      <c r="A14" s="86" t="s">
        <v>59</v>
      </c>
      <c r="B14" s="86" t="s">
        <v>60</v>
      </c>
      <c r="C14" s="87" t="s">
        <v>65</v>
      </c>
      <c r="D14" s="90" t="s">
        <v>66</v>
      </c>
      <c r="E14" s="16">
        <v>41708</v>
      </c>
      <c r="F14" s="16">
        <v>41746</v>
      </c>
      <c r="G14" s="16">
        <v>41740</v>
      </c>
      <c r="H14" s="16"/>
      <c r="I14" s="15">
        <v>5</v>
      </c>
      <c r="J14" s="90" t="s">
        <v>89</v>
      </c>
      <c r="K14" s="89">
        <v>42306</v>
      </c>
    </row>
    <row r="15" spans="1:17" s="114" customFormat="1" ht="45">
      <c r="A15" s="108" t="s">
        <v>59</v>
      </c>
      <c r="B15" s="108" t="s">
        <v>60</v>
      </c>
      <c r="C15" s="109" t="s">
        <v>70</v>
      </c>
      <c r="D15" s="110" t="s">
        <v>69</v>
      </c>
      <c r="E15" s="111">
        <v>41754</v>
      </c>
      <c r="F15" s="111">
        <v>41772</v>
      </c>
      <c r="G15" s="111">
        <v>41771</v>
      </c>
      <c r="H15" s="111"/>
      <c r="I15" s="112">
        <v>4</v>
      </c>
      <c r="J15" s="110" t="s">
        <v>91</v>
      </c>
      <c r="K15" s="113">
        <v>42306</v>
      </c>
      <c r="L15" s="115" t="s">
        <v>94</v>
      </c>
    </row>
    <row r="16" spans="1:17" ht="30">
      <c r="A16" s="86" t="s">
        <v>59</v>
      </c>
      <c r="B16" s="86" t="s">
        <v>60</v>
      </c>
      <c r="C16" s="87" t="s">
        <v>67</v>
      </c>
      <c r="D16" s="90" t="s">
        <v>68</v>
      </c>
      <c r="E16" s="16">
        <v>41743</v>
      </c>
      <c r="F16" s="16">
        <v>41743</v>
      </c>
      <c r="G16" s="16">
        <v>41740</v>
      </c>
      <c r="H16" s="16"/>
      <c r="I16" s="15">
        <v>1</v>
      </c>
      <c r="J16" s="90" t="s">
        <v>88</v>
      </c>
      <c r="K16" s="89">
        <v>42306</v>
      </c>
      <c r="L16" s="86"/>
    </row>
    <row r="17" spans="1:11">
      <c r="A17" s="28"/>
      <c r="B17" s="28"/>
      <c r="C17" s="27" t="s">
        <v>15</v>
      </c>
      <c r="D17" s="33">
        <f>SUBTOTAL(3,D8:D16)</f>
        <v>9</v>
      </c>
      <c r="E17" s="33">
        <f>SUBTOTAL(3,[Date de réception convention financière])</f>
        <v>9</v>
      </c>
      <c r="F17" s="33">
        <f>SUBTOTAL(3,[Date de réception AR kit])</f>
        <v>9</v>
      </c>
      <c r="G17" s="33">
        <f>SUBTOTAL(3,[Date de MEP])</f>
        <v>9</v>
      </c>
      <c r="H17" s="91">
        <f>SUBTOTAL(3,[Desistement])</f>
        <v>1</v>
      </c>
      <c r="I17" s="27">
        <f>SUBTOTAL(109,I8:I16)</f>
        <v>31</v>
      </c>
      <c r="J17" s="31"/>
      <c r="K17" s="32"/>
    </row>
    <row r="18" spans="1:11">
      <c r="D18" s="10"/>
      <c r="J18" s="10"/>
    </row>
    <row r="19" spans="1:11">
      <c r="C19" s="26" t="s">
        <v>14</v>
      </c>
    </row>
  </sheetData>
  <mergeCells count="1">
    <mergeCell ref="G2:I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57" t="s">
        <v>17</v>
      </c>
      <c r="M4" s="63">
        <f>$B$12</f>
        <v>303</v>
      </c>
      <c r="N4" s="120" t="str">
        <f>$C$12</f>
        <v>BLATIERE Véronique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303</v>
      </c>
      <c r="C10" s="42" t="s">
        <v>62</v>
      </c>
      <c r="D10" s="19">
        <v>1</v>
      </c>
      <c r="E10" s="25">
        <v>41793</v>
      </c>
      <c r="F10" s="25">
        <v>41918</v>
      </c>
      <c r="G10" s="25"/>
      <c r="H10" s="25">
        <v>41795</v>
      </c>
      <c r="I10" s="44" t="s">
        <v>82</v>
      </c>
      <c r="J10" s="25">
        <v>41805</v>
      </c>
      <c r="K10" s="25">
        <v>41806</v>
      </c>
      <c r="L10" s="25">
        <v>41864</v>
      </c>
      <c r="M10" s="25"/>
      <c r="N10" s="25">
        <v>41913</v>
      </c>
      <c r="O10" s="25"/>
      <c r="P10" s="25">
        <v>41813</v>
      </c>
      <c r="Q10" s="25">
        <v>42158</v>
      </c>
      <c r="R10" s="25"/>
      <c r="S10" s="25"/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303</v>
      </c>
      <c r="C11" s="78" t="s">
        <v>62</v>
      </c>
      <c r="D11" s="19">
        <v>2</v>
      </c>
      <c r="E11" s="25">
        <v>41828</v>
      </c>
      <c r="F11" s="25">
        <v>41921</v>
      </c>
      <c r="H11" s="25">
        <v>41835</v>
      </c>
      <c r="I11" s="44" t="s">
        <v>82</v>
      </c>
      <c r="J11" s="25">
        <v>41840</v>
      </c>
      <c r="K11" s="25">
        <v>41845</v>
      </c>
      <c r="L11" s="25">
        <v>41899</v>
      </c>
      <c r="M11" s="25">
        <v>41904</v>
      </c>
      <c r="N11" s="25">
        <v>41948</v>
      </c>
      <c r="O11" s="25">
        <v>41849</v>
      </c>
      <c r="P11" s="25">
        <v>41852</v>
      </c>
      <c r="Q11" s="25">
        <v>42193</v>
      </c>
      <c r="R11" s="25">
        <v>41939</v>
      </c>
      <c r="S11" s="25">
        <v>41941</v>
      </c>
      <c r="T11" s="78" t="s">
        <v>61</v>
      </c>
      <c r="U11" s="12">
        <v>42306</v>
      </c>
    </row>
    <row r="12" spans="2:48" ht="25.5">
      <c r="B12" s="43">
        <v>303</v>
      </c>
      <c r="C12" s="78" t="s">
        <v>62</v>
      </c>
      <c r="D12" s="19">
        <v>3</v>
      </c>
      <c r="E12" s="25">
        <v>41887</v>
      </c>
      <c r="F12" s="25">
        <v>41921</v>
      </c>
      <c r="H12" s="25">
        <v>41915</v>
      </c>
      <c r="I12" s="44" t="s">
        <v>90</v>
      </c>
      <c r="J12" s="25">
        <v>41899</v>
      </c>
      <c r="L12" s="25">
        <v>41958</v>
      </c>
      <c r="M12" s="25">
        <v>41941</v>
      </c>
      <c r="N12" s="25">
        <v>42007</v>
      </c>
      <c r="Q12" s="25">
        <v>42252</v>
      </c>
      <c r="T12" s="78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G21" sqref="G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9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$U$14</f>
        <v>42306</v>
      </c>
      <c r="G4" s="50"/>
      <c r="H4" s="50"/>
      <c r="I4" s="34"/>
      <c r="J4" s="50"/>
      <c r="K4" s="50"/>
      <c r="L4" s="95" t="s">
        <v>17</v>
      </c>
      <c r="M4" s="63">
        <f>$B$14</f>
        <v>368</v>
      </c>
      <c r="N4" s="120" t="str">
        <f>$C$14</f>
        <v>BRUN Didier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7" t="s">
        <v>32</v>
      </c>
      <c r="M8" s="97" t="s">
        <v>31</v>
      </c>
      <c r="N8" s="96" t="s">
        <v>33</v>
      </c>
      <c r="O8" s="96" t="s">
        <v>34</v>
      </c>
      <c r="P8" s="9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368</v>
      </c>
      <c r="C10" s="42" t="s">
        <v>76</v>
      </c>
      <c r="D10" s="19">
        <v>1</v>
      </c>
      <c r="E10" s="25">
        <v>41929</v>
      </c>
      <c r="F10" s="25">
        <v>41955</v>
      </c>
      <c r="G10" s="25"/>
      <c r="H10" s="25">
        <v>41955</v>
      </c>
      <c r="I10" s="79" t="s">
        <v>93</v>
      </c>
      <c r="J10" s="25">
        <v>41941</v>
      </c>
      <c r="K10" s="25"/>
      <c r="L10" s="25">
        <v>42000</v>
      </c>
      <c r="M10" s="25"/>
      <c r="N10" s="25">
        <v>42049</v>
      </c>
      <c r="O10" s="25">
        <v>41947</v>
      </c>
      <c r="P10" s="25">
        <v>41955</v>
      </c>
      <c r="Q10" s="25">
        <v>42294</v>
      </c>
      <c r="R10" s="25"/>
      <c r="S10" s="25"/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102">
        <v>368</v>
      </c>
      <c r="C11" s="103" t="s">
        <v>76</v>
      </c>
      <c r="D11" s="19">
        <v>2</v>
      </c>
      <c r="E11" s="25">
        <v>41978</v>
      </c>
      <c r="F11" s="25">
        <v>41981</v>
      </c>
      <c r="H11" s="25">
        <v>41983</v>
      </c>
      <c r="I11" s="79" t="s">
        <v>83</v>
      </c>
      <c r="J11" s="25">
        <v>41990</v>
      </c>
      <c r="K11" s="25">
        <v>42039</v>
      </c>
      <c r="L11" s="25">
        <v>42049</v>
      </c>
      <c r="M11" s="25">
        <v>42089</v>
      </c>
      <c r="N11" s="25">
        <v>42098</v>
      </c>
      <c r="Q11" s="25">
        <v>42343</v>
      </c>
      <c r="T11" s="103" t="s">
        <v>75</v>
      </c>
      <c r="U11" s="12">
        <v>42306</v>
      </c>
    </row>
    <row r="12" spans="2:48" ht="25.5">
      <c r="B12" s="102">
        <v>368</v>
      </c>
      <c r="C12" s="103" t="s">
        <v>76</v>
      </c>
      <c r="D12" s="19">
        <v>3</v>
      </c>
      <c r="I12" s="79" t="s">
        <v>57</v>
      </c>
      <c r="T12" s="103" t="s">
        <v>75</v>
      </c>
      <c r="U12" s="12">
        <v>42306</v>
      </c>
    </row>
    <row r="13" spans="2:48" ht="25.5">
      <c r="B13" s="43">
        <v>368</v>
      </c>
      <c r="C13" s="78" t="s">
        <v>76</v>
      </c>
      <c r="D13" s="19">
        <v>4</v>
      </c>
      <c r="I13" s="79" t="s">
        <v>57</v>
      </c>
      <c r="T13" s="78" t="s">
        <v>75</v>
      </c>
      <c r="U13" s="12">
        <v>42306</v>
      </c>
    </row>
    <row r="14" spans="2:48" ht="25.5">
      <c r="B14" s="43">
        <v>368</v>
      </c>
      <c r="C14" s="78" t="s">
        <v>76</v>
      </c>
      <c r="D14" s="19">
        <v>5</v>
      </c>
      <c r="I14" s="79" t="s">
        <v>57</v>
      </c>
      <c r="T14" s="78" t="s">
        <v>75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B1:AV19"/>
  <sheetViews>
    <sheetView workbookViewId="0">
      <selection activeCell="F15" sqref="F1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9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$U$19</f>
        <v>42306</v>
      </c>
      <c r="G4" s="50"/>
      <c r="H4" s="50"/>
      <c r="I4" s="34"/>
      <c r="J4" s="50"/>
      <c r="K4" s="50"/>
      <c r="L4" s="99" t="s">
        <v>17</v>
      </c>
      <c r="M4" s="63">
        <f>$B$19</f>
        <v>378</v>
      </c>
      <c r="N4" s="120" t="str">
        <f>$C$19</f>
        <v>CHTOUROU MASSIAS Myriam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1" t="s">
        <v>32</v>
      </c>
      <c r="M8" s="101" t="s">
        <v>31</v>
      </c>
      <c r="N8" s="100" t="s">
        <v>33</v>
      </c>
      <c r="O8" s="100" t="s">
        <v>34</v>
      </c>
      <c r="P8" s="10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378</v>
      </c>
      <c r="C10" s="42" t="s">
        <v>78</v>
      </c>
      <c r="D10" s="19">
        <v>1</v>
      </c>
      <c r="E10" s="25">
        <v>41827</v>
      </c>
      <c r="F10" s="25">
        <v>41829</v>
      </c>
      <c r="G10" s="25">
        <v>41829</v>
      </c>
      <c r="H10" s="25">
        <v>41829</v>
      </c>
      <c r="I10" s="79" t="s">
        <v>82</v>
      </c>
      <c r="J10" s="25">
        <v>41839</v>
      </c>
      <c r="K10" s="25"/>
      <c r="L10" s="25">
        <v>41898</v>
      </c>
      <c r="M10" s="25"/>
      <c r="N10" s="25">
        <v>41947</v>
      </c>
      <c r="O10" s="25"/>
      <c r="P10" s="25"/>
      <c r="Q10" s="25">
        <v>42192</v>
      </c>
      <c r="R10" s="25"/>
      <c r="S10" s="25"/>
      <c r="T10" s="42" t="s">
        <v>77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72">
        <v>378</v>
      </c>
      <c r="C11" s="73" t="s">
        <v>78</v>
      </c>
      <c r="D11" s="19">
        <v>2</v>
      </c>
      <c r="E11" s="25">
        <v>41828</v>
      </c>
      <c r="F11" s="25">
        <v>41830</v>
      </c>
      <c r="G11" s="25">
        <v>41830</v>
      </c>
      <c r="H11" s="25">
        <v>41830</v>
      </c>
      <c r="I11" s="79" t="s">
        <v>79</v>
      </c>
      <c r="J11" s="25">
        <v>41840</v>
      </c>
      <c r="K11" s="25">
        <v>41841</v>
      </c>
      <c r="L11" s="25">
        <v>41899</v>
      </c>
      <c r="M11" s="25">
        <v>41920</v>
      </c>
      <c r="N11" s="25">
        <v>41948</v>
      </c>
      <c r="O11" s="25">
        <v>41835</v>
      </c>
      <c r="P11" s="25">
        <v>41841</v>
      </c>
      <c r="Q11" s="25">
        <v>42193</v>
      </c>
      <c r="T11" s="73" t="s">
        <v>77</v>
      </c>
      <c r="U11" s="12">
        <v>42306</v>
      </c>
    </row>
    <row r="12" spans="2:48" ht="18.75" customHeight="1">
      <c r="B12" s="72">
        <v>378</v>
      </c>
      <c r="C12" s="73" t="s">
        <v>78</v>
      </c>
      <c r="D12" s="19">
        <v>3</v>
      </c>
      <c r="E12" s="25">
        <v>41829</v>
      </c>
      <c r="F12" s="25">
        <v>41835</v>
      </c>
      <c r="G12" s="25">
        <v>41835</v>
      </c>
      <c r="H12" s="25">
        <v>41835</v>
      </c>
      <c r="I12" s="79" t="s">
        <v>83</v>
      </c>
      <c r="J12" s="25">
        <v>41841</v>
      </c>
      <c r="K12" s="25">
        <v>41842</v>
      </c>
      <c r="L12" s="25">
        <v>41900</v>
      </c>
      <c r="M12" s="25">
        <v>41883</v>
      </c>
      <c r="N12" s="25">
        <v>41949</v>
      </c>
      <c r="O12" s="25">
        <v>41880</v>
      </c>
      <c r="P12" s="25">
        <v>41883</v>
      </c>
      <c r="Q12" s="25">
        <v>42194</v>
      </c>
      <c r="T12" s="73" t="s">
        <v>77</v>
      </c>
      <c r="U12" s="12">
        <v>42306</v>
      </c>
    </row>
    <row r="13" spans="2:48" ht="25.5">
      <c r="B13" s="104">
        <v>378</v>
      </c>
      <c r="C13" s="105" t="s">
        <v>78</v>
      </c>
      <c r="D13" s="19">
        <v>4</v>
      </c>
      <c r="E13" s="25">
        <v>41879</v>
      </c>
      <c r="F13" s="25">
        <v>41883</v>
      </c>
      <c r="G13" s="25">
        <v>41883</v>
      </c>
      <c r="H13" s="25">
        <v>41883</v>
      </c>
      <c r="I13" s="79" t="s">
        <v>93</v>
      </c>
      <c r="J13" s="25">
        <v>41891</v>
      </c>
      <c r="K13" s="25">
        <v>41891</v>
      </c>
      <c r="L13" s="25">
        <v>41950</v>
      </c>
      <c r="M13" s="25">
        <v>41955</v>
      </c>
      <c r="N13" s="25">
        <v>41999</v>
      </c>
      <c r="O13" s="25">
        <v>41898</v>
      </c>
      <c r="P13" s="25">
        <v>41901</v>
      </c>
      <c r="Q13" s="25">
        <v>42244</v>
      </c>
      <c r="T13" s="105" t="s">
        <v>77</v>
      </c>
      <c r="U13" s="12">
        <v>42306</v>
      </c>
    </row>
    <row r="14" spans="2:48" ht="25.5">
      <c r="B14" s="104">
        <v>378</v>
      </c>
      <c r="C14" s="105" t="s">
        <v>78</v>
      </c>
      <c r="D14" s="19">
        <v>5</v>
      </c>
      <c r="E14" s="25">
        <v>41893</v>
      </c>
      <c r="F14" s="25">
        <v>41927</v>
      </c>
      <c r="G14" s="25">
        <v>41898</v>
      </c>
      <c r="H14" s="25">
        <v>41898</v>
      </c>
      <c r="I14" s="79" t="s">
        <v>93</v>
      </c>
      <c r="J14" s="25">
        <v>41905</v>
      </c>
      <c r="L14" s="25">
        <v>41964</v>
      </c>
      <c r="N14" s="25">
        <v>42013</v>
      </c>
      <c r="Q14" s="25">
        <v>42258</v>
      </c>
      <c r="T14" s="105" t="s">
        <v>77</v>
      </c>
      <c r="U14" s="12">
        <v>42306</v>
      </c>
    </row>
    <row r="15" spans="2:48" ht="25.5">
      <c r="B15" s="106">
        <v>378</v>
      </c>
      <c r="C15" s="107" t="s">
        <v>78</v>
      </c>
      <c r="D15" s="19">
        <v>6</v>
      </c>
      <c r="E15" s="25">
        <v>41991</v>
      </c>
      <c r="F15" s="25">
        <v>42002</v>
      </c>
      <c r="G15" s="25">
        <v>42006</v>
      </c>
      <c r="H15" s="25">
        <v>41995</v>
      </c>
      <c r="I15" s="79" t="s">
        <v>93</v>
      </c>
      <c r="J15" s="25">
        <v>42003</v>
      </c>
      <c r="K15" s="25">
        <v>42069</v>
      </c>
      <c r="L15" s="25">
        <v>42062</v>
      </c>
      <c r="M15" s="25">
        <v>42069</v>
      </c>
      <c r="N15" s="25">
        <v>42111</v>
      </c>
      <c r="O15" s="25">
        <v>42017</v>
      </c>
      <c r="P15" s="25">
        <v>42024</v>
      </c>
      <c r="Q15" s="25">
        <v>42356</v>
      </c>
      <c r="T15" s="107" t="s">
        <v>77</v>
      </c>
      <c r="U15" s="12">
        <v>42306</v>
      </c>
    </row>
    <row r="16" spans="2:48" ht="25.5">
      <c r="B16" s="106">
        <v>378</v>
      </c>
      <c r="C16" s="107" t="s">
        <v>78</v>
      </c>
      <c r="D16" s="19">
        <v>7</v>
      </c>
      <c r="I16" s="79" t="s">
        <v>57</v>
      </c>
      <c r="T16" s="107" t="s">
        <v>77</v>
      </c>
      <c r="U16" s="12">
        <v>42306</v>
      </c>
    </row>
    <row r="17" spans="2:21" ht="25.5">
      <c r="B17" s="106">
        <v>378</v>
      </c>
      <c r="C17" s="107" t="s">
        <v>78</v>
      </c>
      <c r="D17" s="19">
        <v>8</v>
      </c>
      <c r="I17" s="79" t="s">
        <v>57</v>
      </c>
      <c r="T17" s="107" t="s">
        <v>77</v>
      </c>
      <c r="U17" s="12">
        <v>42306</v>
      </c>
    </row>
    <row r="18" spans="2:21" ht="25.5">
      <c r="B18" s="106">
        <v>378</v>
      </c>
      <c r="C18" s="107" t="s">
        <v>78</v>
      </c>
      <c r="D18" s="19">
        <v>9</v>
      </c>
      <c r="I18" s="79" t="s">
        <v>57</v>
      </c>
      <c r="T18" s="107" t="s">
        <v>77</v>
      </c>
      <c r="U18" s="12">
        <v>42306</v>
      </c>
    </row>
    <row r="19" spans="2:21" ht="25.5">
      <c r="B19" s="106">
        <v>378</v>
      </c>
      <c r="C19" s="107" t="s">
        <v>78</v>
      </c>
      <c r="D19" s="19">
        <v>10</v>
      </c>
      <c r="I19" s="79" t="s">
        <v>57</v>
      </c>
      <c r="T19" s="107" t="s">
        <v>77</v>
      </c>
      <c r="U19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J22" sqref="J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82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$U$14</f>
        <v>42306</v>
      </c>
      <c r="G4" s="50"/>
      <c r="H4" s="50"/>
      <c r="I4" s="34"/>
      <c r="J4" s="50"/>
      <c r="K4" s="50"/>
      <c r="L4" s="83" t="s">
        <v>17</v>
      </c>
      <c r="M4" s="63">
        <f>$B$14</f>
        <v>269</v>
      </c>
      <c r="N4" s="120" t="str">
        <f>$C$14</f>
        <v>CROZET Isabelle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5" t="s">
        <v>32</v>
      </c>
      <c r="M8" s="85" t="s">
        <v>31</v>
      </c>
      <c r="N8" s="84" t="s">
        <v>33</v>
      </c>
      <c r="O8" s="84" t="s">
        <v>34</v>
      </c>
      <c r="P8" s="84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269</v>
      </c>
      <c r="C10" s="42" t="s">
        <v>74</v>
      </c>
      <c r="D10" s="19">
        <v>1</v>
      </c>
      <c r="E10" s="25">
        <v>41802</v>
      </c>
      <c r="F10" s="25">
        <v>41806</v>
      </c>
      <c r="G10" s="25"/>
      <c r="H10" s="25">
        <v>41806</v>
      </c>
      <c r="I10" s="79" t="s">
        <v>79</v>
      </c>
      <c r="J10" s="25">
        <v>41814</v>
      </c>
      <c r="K10" s="25">
        <v>41911</v>
      </c>
      <c r="L10" s="25">
        <v>41873</v>
      </c>
      <c r="M10" s="25">
        <v>41928</v>
      </c>
      <c r="N10" s="25">
        <v>41922</v>
      </c>
      <c r="O10" s="25">
        <v>41925</v>
      </c>
      <c r="P10" s="25">
        <v>41928</v>
      </c>
      <c r="Q10" s="25">
        <v>42167</v>
      </c>
      <c r="R10" s="25">
        <v>42045</v>
      </c>
      <c r="S10" s="25">
        <v>42055</v>
      </c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92">
        <v>269</v>
      </c>
      <c r="C11" s="93" t="s">
        <v>74</v>
      </c>
      <c r="D11" s="19">
        <v>2</v>
      </c>
      <c r="E11" s="25">
        <v>41813</v>
      </c>
      <c r="F11" s="25">
        <v>41816</v>
      </c>
      <c r="H11" s="25">
        <v>41816</v>
      </c>
      <c r="I11" s="79" t="s">
        <v>79</v>
      </c>
      <c r="J11" s="25">
        <v>41825</v>
      </c>
      <c r="K11" s="25">
        <v>41822</v>
      </c>
      <c r="L11" s="25">
        <v>41884</v>
      </c>
      <c r="M11" s="25">
        <v>41907</v>
      </c>
      <c r="N11" s="25">
        <v>41933</v>
      </c>
      <c r="O11" s="25">
        <v>41904</v>
      </c>
      <c r="P11" s="25">
        <v>41907</v>
      </c>
      <c r="Q11" s="25">
        <v>42178</v>
      </c>
      <c r="R11" s="25">
        <v>42052</v>
      </c>
      <c r="S11" s="25">
        <v>42055</v>
      </c>
      <c r="T11" s="93" t="s">
        <v>73</v>
      </c>
      <c r="U11" s="12">
        <v>42306</v>
      </c>
    </row>
    <row r="12" spans="2:48" ht="18.75" customHeight="1">
      <c r="B12" s="92">
        <v>269</v>
      </c>
      <c r="C12" s="93" t="s">
        <v>74</v>
      </c>
      <c r="D12" s="19">
        <v>3</v>
      </c>
      <c r="E12" s="25">
        <v>41905</v>
      </c>
      <c r="F12" s="25">
        <v>41968</v>
      </c>
      <c r="G12" s="25">
        <v>41907</v>
      </c>
      <c r="H12" s="25">
        <v>41907</v>
      </c>
      <c r="I12" s="79" t="s">
        <v>79</v>
      </c>
      <c r="J12" s="25">
        <v>41917</v>
      </c>
      <c r="K12" s="25">
        <v>41922</v>
      </c>
      <c r="L12" s="25">
        <v>41976</v>
      </c>
      <c r="M12" s="25">
        <v>41978</v>
      </c>
      <c r="N12" s="25">
        <v>42025</v>
      </c>
      <c r="O12" s="25">
        <v>41919</v>
      </c>
      <c r="P12" s="25">
        <v>41922</v>
      </c>
      <c r="Q12" s="25">
        <v>42270</v>
      </c>
      <c r="R12" s="25">
        <v>42051</v>
      </c>
      <c r="S12" s="25">
        <v>42055</v>
      </c>
      <c r="T12" s="93" t="s">
        <v>73</v>
      </c>
      <c r="U12" s="12">
        <v>42306</v>
      </c>
    </row>
    <row r="13" spans="2:48" ht="25.5">
      <c r="B13" s="106">
        <v>269</v>
      </c>
      <c r="C13" s="107" t="s">
        <v>74</v>
      </c>
      <c r="D13" s="19">
        <v>4</v>
      </c>
      <c r="E13" s="25">
        <v>41919</v>
      </c>
      <c r="F13" s="25">
        <v>41957</v>
      </c>
      <c r="H13" s="25">
        <v>41957</v>
      </c>
      <c r="I13" s="79" t="s">
        <v>79</v>
      </c>
      <c r="J13" s="25">
        <v>41931</v>
      </c>
      <c r="K13" s="25">
        <v>41957</v>
      </c>
      <c r="L13" s="25">
        <v>41990</v>
      </c>
      <c r="M13" s="25">
        <v>42044</v>
      </c>
      <c r="N13" s="25">
        <v>42039</v>
      </c>
      <c r="O13" s="25">
        <v>41950</v>
      </c>
      <c r="P13" s="25">
        <v>41957</v>
      </c>
      <c r="Q13" s="25">
        <v>42284</v>
      </c>
      <c r="R13" s="25">
        <v>41991</v>
      </c>
      <c r="S13" s="25">
        <v>42044</v>
      </c>
      <c r="T13" s="107" t="s">
        <v>73</v>
      </c>
      <c r="U13" s="12">
        <v>42306</v>
      </c>
    </row>
    <row r="14" spans="2:48" ht="25.5">
      <c r="B14" s="106">
        <v>269</v>
      </c>
      <c r="C14" s="107" t="s">
        <v>74</v>
      </c>
      <c r="D14" s="19">
        <v>5</v>
      </c>
      <c r="E14" s="25">
        <v>41960</v>
      </c>
      <c r="F14" s="25">
        <v>41968</v>
      </c>
      <c r="H14" s="25">
        <v>41968</v>
      </c>
      <c r="I14" s="79" t="s">
        <v>79</v>
      </c>
      <c r="J14" s="25">
        <v>41972</v>
      </c>
      <c r="K14" s="25">
        <v>41978</v>
      </c>
      <c r="L14" s="25">
        <v>42031</v>
      </c>
      <c r="M14" s="25">
        <v>42039</v>
      </c>
      <c r="N14" s="25">
        <v>42080</v>
      </c>
      <c r="O14" s="25">
        <v>42051</v>
      </c>
      <c r="P14" s="25">
        <v>42055</v>
      </c>
      <c r="Q14" s="25">
        <v>42325</v>
      </c>
      <c r="T14" s="107" t="s">
        <v>73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240</v>
      </c>
      <c r="N4" s="120" t="str">
        <f>$C$14</f>
        <v>FLAUD Marie-Christine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240</v>
      </c>
      <c r="C10" s="42" t="s">
        <v>64</v>
      </c>
      <c r="D10" s="19">
        <v>1</v>
      </c>
      <c r="E10" s="25">
        <v>41795</v>
      </c>
      <c r="F10" s="25">
        <v>41813</v>
      </c>
      <c r="G10" s="25">
        <v>41813</v>
      </c>
      <c r="H10" s="25">
        <v>41813</v>
      </c>
      <c r="I10" s="44" t="s">
        <v>79</v>
      </c>
      <c r="J10" s="25">
        <v>41807</v>
      </c>
      <c r="K10" s="25">
        <v>41813</v>
      </c>
      <c r="L10" s="25">
        <v>41866</v>
      </c>
      <c r="M10" s="25">
        <v>41911</v>
      </c>
      <c r="N10" s="25">
        <v>41915</v>
      </c>
      <c r="O10" s="25">
        <v>41802</v>
      </c>
      <c r="P10" s="25">
        <v>41813</v>
      </c>
      <c r="Q10" s="25">
        <v>42160</v>
      </c>
      <c r="R10" s="25">
        <v>41908</v>
      </c>
      <c r="S10" s="25">
        <v>41911</v>
      </c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240</v>
      </c>
      <c r="C11" s="78" t="s">
        <v>64</v>
      </c>
      <c r="D11" s="19">
        <v>2</v>
      </c>
      <c r="E11" s="25">
        <v>41794</v>
      </c>
      <c r="F11" s="25">
        <v>41813</v>
      </c>
      <c r="G11" s="25">
        <v>41813</v>
      </c>
      <c r="I11" s="79" t="s">
        <v>57</v>
      </c>
      <c r="J11" s="25">
        <v>41806</v>
      </c>
      <c r="K11" s="25">
        <v>41813</v>
      </c>
      <c r="L11" s="25">
        <v>41865</v>
      </c>
      <c r="M11" s="25">
        <v>41911</v>
      </c>
      <c r="N11" s="25">
        <v>41914</v>
      </c>
      <c r="O11" s="25">
        <v>41802</v>
      </c>
      <c r="P11" s="25">
        <v>41813</v>
      </c>
      <c r="Q11" s="25">
        <v>42159</v>
      </c>
      <c r="R11" s="25">
        <v>41906</v>
      </c>
      <c r="S11" s="25">
        <v>41911</v>
      </c>
      <c r="T11" s="78" t="s">
        <v>63</v>
      </c>
      <c r="U11" s="12">
        <v>42306</v>
      </c>
    </row>
    <row r="12" spans="2:48" ht="25.5">
      <c r="B12" s="43">
        <v>240</v>
      </c>
      <c r="C12" s="78" t="s">
        <v>64</v>
      </c>
      <c r="D12" s="19">
        <v>3</v>
      </c>
      <c r="E12" s="25">
        <v>41795</v>
      </c>
      <c r="F12" s="25">
        <v>41813</v>
      </c>
      <c r="I12" s="79" t="s">
        <v>57</v>
      </c>
      <c r="J12" s="25">
        <v>41807</v>
      </c>
      <c r="K12" s="25">
        <v>41813</v>
      </c>
      <c r="L12" s="25">
        <v>41866</v>
      </c>
      <c r="M12" s="25">
        <v>41911</v>
      </c>
      <c r="N12" s="25">
        <v>41915</v>
      </c>
      <c r="O12" s="25">
        <v>41803</v>
      </c>
      <c r="P12" s="25">
        <v>41813</v>
      </c>
      <c r="Q12" s="25">
        <v>42160</v>
      </c>
      <c r="R12" s="25">
        <v>41905</v>
      </c>
      <c r="S12" s="25">
        <v>41911</v>
      </c>
      <c r="T12" s="78" t="s">
        <v>63</v>
      </c>
      <c r="U12" s="12">
        <v>42306</v>
      </c>
    </row>
    <row r="13" spans="2:48" ht="25.5">
      <c r="B13" s="102">
        <v>240</v>
      </c>
      <c r="C13" s="103" t="s">
        <v>64</v>
      </c>
      <c r="D13" s="19">
        <v>4</v>
      </c>
      <c r="E13" s="25">
        <v>41835</v>
      </c>
      <c r="F13" s="25">
        <v>41855</v>
      </c>
      <c r="G13" s="25">
        <v>41855</v>
      </c>
      <c r="H13" s="25">
        <v>41855</v>
      </c>
      <c r="I13" s="79" t="s">
        <v>83</v>
      </c>
      <c r="J13" s="25">
        <v>41847</v>
      </c>
      <c r="K13" s="25">
        <v>41855</v>
      </c>
      <c r="L13" s="25">
        <v>41906</v>
      </c>
      <c r="M13" s="25">
        <v>41921</v>
      </c>
      <c r="N13" s="25">
        <v>41955</v>
      </c>
      <c r="O13" s="25">
        <v>41849</v>
      </c>
      <c r="P13" s="25">
        <v>41855</v>
      </c>
      <c r="Q13" s="25">
        <v>42200</v>
      </c>
      <c r="R13" s="25">
        <v>41918</v>
      </c>
      <c r="S13" s="25">
        <v>41921</v>
      </c>
      <c r="T13" s="103" t="s">
        <v>63</v>
      </c>
      <c r="U13" s="12">
        <v>42306</v>
      </c>
    </row>
    <row r="14" spans="2:48" ht="25.5">
      <c r="B14" s="102">
        <v>240</v>
      </c>
      <c r="C14" s="103" t="s">
        <v>64</v>
      </c>
      <c r="D14" s="19">
        <v>5</v>
      </c>
      <c r="E14" s="25">
        <v>41837</v>
      </c>
      <c r="F14" s="25">
        <v>41855</v>
      </c>
      <c r="G14" s="25">
        <v>41855</v>
      </c>
      <c r="H14" s="25">
        <v>41855</v>
      </c>
      <c r="I14" s="79" t="s">
        <v>85</v>
      </c>
      <c r="J14" s="25">
        <v>41849</v>
      </c>
      <c r="K14" s="25">
        <v>41855</v>
      </c>
      <c r="L14" s="25">
        <v>41908</v>
      </c>
      <c r="M14" s="25">
        <v>41921</v>
      </c>
      <c r="N14" s="25">
        <v>41957</v>
      </c>
      <c r="O14" s="25">
        <v>41851</v>
      </c>
      <c r="P14" s="25">
        <v>41855</v>
      </c>
      <c r="Q14" s="25">
        <v>42202</v>
      </c>
      <c r="R14" s="25">
        <v>41918</v>
      </c>
      <c r="S14" s="25">
        <v>41921</v>
      </c>
      <c r="T14" s="103" t="s">
        <v>63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I21" sqref="I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7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75" t="s">
        <v>17</v>
      </c>
      <c r="M4" s="63">
        <f>$B$12</f>
        <v>318</v>
      </c>
      <c r="N4" s="120" t="str">
        <f>$C$12</f>
        <v>LABAU-DONNET Diane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7" t="s">
        <v>32</v>
      </c>
      <c r="M8" s="77" t="s">
        <v>31</v>
      </c>
      <c r="N8" s="76" t="s">
        <v>33</v>
      </c>
      <c r="O8" s="76" t="s">
        <v>34</v>
      </c>
      <c r="P8" s="7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318</v>
      </c>
      <c r="C10" s="42" t="s">
        <v>72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43">
        <v>318</v>
      </c>
      <c r="C11" s="78" t="s">
        <v>72</v>
      </c>
      <c r="D11" s="19">
        <v>2</v>
      </c>
      <c r="I11" s="44" t="s">
        <v>57</v>
      </c>
      <c r="T11" s="78" t="s">
        <v>71</v>
      </c>
      <c r="U11" s="12">
        <v>42306</v>
      </c>
    </row>
    <row r="12" spans="2:48" ht="18.75" customHeight="1">
      <c r="B12" s="43">
        <v>318</v>
      </c>
      <c r="C12" s="78" t="s">
        <v>72</v>
      </c>
      <c r="D12" s="19">
        <v>3</v>
      </c>
      <c r="I12" s="44" t="s">
        <v>57</v>
      </c>
      <c r="T12" s="78" t="s">
        <v>71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242</v>
      </c>
      <c r="N4" s="120" t="str">
        <f>$C$14</f>
        <v>LELLOUCHE Didier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242</v>
      </c>
      <c r="C10" s="42" t="s">
        <v>66</v>
      </c>
      <c r="D10" s="19">
        <v>1</v>
      </c>
      <c r="E10" s="25">
        <v>41905</v>
      </c>
      <c r="F10" s="25">
        <v>41906</v>
      </c>
      <c r="G10" s="25">
        <v>41906</v>
      </c>
      <c r="H10" s="25">
        <v>41906</v>
      </c>
      <c r="I10" s="44" t="s">
        <v>85</v>
      </c>
      <c r="J10" s="25">
        <v>41917</v>
      </c>
      <c r="K10" s="25"/>
      <c r="L10" s="25">
        <v>41976</v>
      </c>
      <c r="M10" s="25"/>
      <c r="N10" s="25">
        <v>42025</v>
      </c>
      <c r="O10" s="25">
        <v>41968</v>
      </c>
      <c r="P10" s="25">
        <v>41969</v>
      </c>
      <c r="Q10" s="25">
        <v>42270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43">
        <v>242</v>
      </c>
      <c r="C11" s="78" t="s">
        <v>66</v>
      </c>
      <c r="D11" s="19">
        <v>2</v>
      </c>
      <c r="E11" s="25">
        <v>41820</v>
      </c>
      <c r="F11" s="25">
        <v>41822</v>
      </c>
      <c r="H11" s="25">
        <v>41822</v>
      </c>
      <c r="I11" s="79" t="s">
        <v>80</v>
      </c>
      <c r="J11" s="25">
        <v>41832</v>
      </c>
      <c r="L11" s="25">
        <v>41891</v>
      </c>
      <c r="N11" s="25">
        <v>41940</v>
      </c>
      <c r="O11" s="25">
        <v>41850</v>
      </c>
      <c r="P11" s="25">
        <v>41852</v>
      </c>
      <c r="Q11" s="25">
        <v>42185</v>
      </c>
      <c r="T11" s="78" t="s">
        <v>65</v>
      </c>
      <c r="U11" s="12">
        <v>42306</v>
      </c>
    </row>
    <row r="12" spans="2:48" ht="25.5">
      <c r="B12" s="43">
        <v>242</v>
      </c>
      <c r="C12" s="78" t="s">
        <v>66</v>
      </c>
      <c r="D12" s="19">
        <v>3</v>
      </c>
      <c r="E12" s="25">
        <v>41822</v>
      </c>
      <c r="F12" s="25">
        <v>41823</v>
      </c>
      <c r="I12" s="79" t="s">
        <v>57</v>
      </c>
      <c r="J12" s="25">
        <v>41834</v>
      </c>
      <c r="K12" s="25">
        <v>41925</v>
      </c>
      <c r="L12" s="25">
        <v>41893</v>
      </c>
      <c r="M12" s="25">
        <v>41976</v>
      </c>
      <c r="N12" s="25">
        <v>41942</v>
      </c>
      <c r="O12" s="25">
        <v>41975</v>
      </c>
      <c r="P12" s="25">
        <v>41977</v>
      </c>
      <c r="Q12" s="25">
        <v>42187</v>
      </c>
      <c r="R12" s="25">
        <v>42038</v>
      </c>
      <c r="S12" s="25">
        <v>42040</v>
      </c>
      <c r="T12" s="78" t="s">
        <v>65</v>
      </c>
      <c r="U12" s="12">
        <v>42306</v>
      </c>
    </row>
    <row r="13" spans="2:48" ht="25.5">
      <c r="B13" s="106">
        <v>242</v>
      </c>
      <c r="C13" s="107" t="s">
        <v>66</v>
      </c>
      <c r="D13" s="19">
        <v>4</v>
      </c>
      <c r="E13" s="25">
        <v>41908</v>
      </c>
      <c r="F13" s="25">
        <v>41913</v>
      </c>
      <c r="G13" s="25">
        <v>41913</v>
      </c>
      <c r="I13" s="79" t="s">
        <v>57</v>
      </c>
      <c r="J13" s="25">
        <v>41920</v>
      </c>
      <c r="K13" s="25">
        <v>41970</v>
      </c>
      <c r="L13" s="25">
        <v>41979</v>
      </c>
      <c r="M13" s="25">
        <v>41970</v>
      </c>
      <c r="N13" s="25">
        <v>42028</v>
      </c>
      <c r="O13" s="25">
        <v>41968</v>
      </c>
      <c r="P13" s="25">
        <v>41970</v>
      </c>
      <c r="Q13" s="25">
        <v>42273</v>
      </c>
      <c r="T13" s="107" t="s">
        <v>65</v>
      </c>
      <c r="U13" s="12">
        <v>42306</v>
      </c>
    </row>
    <row r="14" spans="2:48" ht="25.5">
      <c r="B14" s="106">
        <v>242</v>
      </c>
      <c r="C14" s="107" t="s">
        <v>66</v>
      </c>
      <c r="D14" s="19">
        <v>5</v>
      </c>
      <c r="E14" s="25">
        <v>41957</v>
      </c>
      <c r="F14" s="25">
        <v>41960</v>
      </c>
      <c r="H14" s="25">
        <v>41963</v>
      </c>
      <c r="I14" s="79" t="s">
        <v>82</v>
      </c>
      <c r="J14" s="25">
        <v>41969</v>
      </c>
      <c r="L14" s="25">
        <v>42028</v>
      </c>
      <c r="N14" s="25">
        <v>42077</v>
      </c>
      <c r="Q14" s="25">
        <v>42322</v>
      </c>
      <c r="T14" s="107" t="s">
        <v>65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H23" sqref="H23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$U$14</f>
        <v>42306</v>
      </c>
      <c r="G4" s="50"/>
      <c r="H4" s="50"/>
      <c r="I4" s="34"/>
      <c r="J4" s="50"/>
      <c r="K4" s="50"/>
      <c r="L4" s="69" t="s">
        <v>17</v>
      </c>
      <c r="M4" s="63">
        <f>$B$14</f>
        <v>241</v>
      </c>
      <c r="N4" s="120" t="str">
        <f>$C$14</f>
        <v>LUBET Claire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241</v>
      </c>
      <c r="C10" s="42" t="s">
        <v>69</v>
      </c>
      <c r="D10" s="19">
        <v>1</v>
      </c>
      <c r="E10" s="25">
        <v>41802</v>
      </c>
      <c r="F10" s="25">
        <v>41816</v>
      </c>
      <c r="G10" s="25">
        <v>41816</v>
      </c>
      <c r="H10" s="25"/>
      <c r="I10" s="44" t="s">
        <v>57</v>
      </c>
      <c r="J10" s="25">
        <v>41814</v>
      </c>
      <c r="K10" s="25">
        <v>41816</v>
      </c>
      <c r="L10" s="25">
        <v>41873</v>
      </c>
      <c r="M10" s="25"/>
      <c r="N10" s="25">
        <v>41922</v>
      </c>
      <c r="O10" s="25">
        <v>41893</v>
      </c>
      <c r="P10" s="25">
        <v>42109</v>
      </c>
      <c r="Q10" s="25">
        <v>42167</v>
      </c>
      <c r="R10" s="25">
        <v>42103</v>
      </c>
      <c r="S10" s="25">
        <v>42109</v>
      </c>
      <c r="T10" s="42" t="s">
        <v>70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80">
        <v>241</v>
      </c>
      <c r="C11" s="81" t="s">
        <v>69</v>
      </c>
      <c r="D11" s="19">
        <v>2</v>
      </c>
      <c r="E11" s="25">
        <v>41848</v>
      </c>
      <c r="F11" s="25">
        <v>41856</v>
      </c>
      <c r="G11" s="25">
        <v>41856</v>
      </c>
      <c r="I11" s="44" t="s">
        <v>57</v>
      </c>
      <c r="J11" s="25">
        <v>41860</v>
      </c>
      <c r="K11" s="25">
        <v>41863</v>
      </c>
      <c r="L11" s="25">
        <v>41919</v>
      </c>
      <c r="N11" s="25">
        <v>41968</v>
      </c>
      <c r="Q11" s="25">
        <v>42213</v>
      </c>
      <c r="R11" s="25">
        <v>42174</v>
      </c>
      <c r="S11" s="25">
        <v>42179</v>
      </c>
      <c r="T11" s="81" t="s">
        <v>70</v>
      </c>
      <c r="U11" s="12">
        <v>42306</v>
      </c>
    </row>
    <row r="12" spans="2:48" ht="18.75" customHeight="1">
      <c r="B12" s="80">
        <v>241</v>
      </c>
      <c r="C12" s="81" t="s">
        <v>69</v>
      </c>
      <c r="D12" s="19">
        <v>3</v>
      </c>
      <c r="E12" s="25">
        <v>41904</v>
      </c>
      <c r="F12" s="25">
        <v>41927</v>
      </c>
      <c r="G12" s="25">
        <v>41927</v>
      </c>
      <c r="I12" s="79" t="s">
        <v>57</v>
      </c>
      <c r="J12" s="25">
        <v>41916</v>
      </c>
      <c r="K12" s="25">
        <v>41932</v>
      </c>
      <c r="L12" s="25">
        <v>41975</v>
      </c>
      <c r="M12" s="25">
        <v>42144</v>
      </c>
      <c r="N12" s="25">
        <v>42024</v>
      </c>
      <c r="O12" s="25">
        <v>41967</v>
      </c>
      <c r="P12" s="25">
        <v>42144</v>
      </c>
      <c r="Q12" s="25">
        <v>42269</v>
      </c>
      <c r="R12" s="25">
        <v>42254</v>
      </c>
      <c r="S12" s="25">
        <v>42261</v>
      </c>
      <c r="T12" s="81" t="s">
        <v>70</v>
      </c>
      <c r="U12" s="12">
        <v>42306</v>
      </c>
    </row>
    <row r="13" spans="2:48" ht="25.5">
      <c r="B13" s="106">
        <v>241</v>
      </c>
      <c r="C13" s="107" t="s">
        <v>69</v>
      </c>
      <c r="D13" s="19">
        <v>4</v>
      </c>
      <c r="E13" s="25">
        <v>42026</v>
      </c>
      <c r="F13" s="25">
        <v>42032</v>
      </c>
      <c r="G13" s="25">
        <v>42032</v>
      </c>
      <c r="I13" s="79" t="s">
        <v>57</v>
      </c>
      <c r="J13" s="25">
        <v>42038</v>
      </c>
      <c r="K13" s="25">
        <v>42059</v>
      </c>
      <c r="L13" s="25">
        <v>42097</v>
      </c>
      <c r="N13" s="25">
        <v>42146</v>
      </c>
      <c r="Q13" s="25">
        <v>42391</v>
      </c>
      <c r="T13" s="107" t="s">
        <v>70</v>
      </c>
      <c r="U13" s="12">
        <v>42306</v>
      </c>
    </row>
    <row r="14" spans="2:48" ht="25.5">
      <c r="B14" s="106">
        <v>241</v>
      </c>
      <c r="C14" s="107" t="s">
        <v>69</v>
      </c>
      <c r="D14" s="19">
        <v>5</v>
      </c>
      <c r="I14" s="79" t="s">
        <v>57</v>
      </c>
      <c r="T14" s="107" t="s">
        <v>70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7" t="s">
        <v>16</v>
      </c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9"/>
      <c r="M3" s="119"/>
      <c r="N3" s="11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2" t="s">
        <v>58</v>
      </c>
      <c r="E4" s="13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243</v>
      </c>
      <c r="N4" s="120" t="str">
        <f>$C$12</f>
        <v>SAUSSAYE Yannick</v>
      </c>
      <c r="O4" s="120"/>
      <c r="P4" s="120"/>
      <c r="Q4" s="120"/>
      <c r="R4" s="12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23" t="s">
        <v>19</v>
      </c>
      <c r="F7" s="124"/>
      <c r="G7" s="124"/>
      <c r="H7" s="124"/>
      <c r="I7" s="124"/>
      <c r="J7" s="125" t="s">
        <v>20</v>
      </c>
      <c r="K7" s="126"/>
      <c r="L7" s="127" t="s">
        <v>21</v>
      </c>
      <c r="M7" s="127"/>
      <c r="N7" s="128" t="s">
        <v>22</v>
      </c>
      <c r="O7" s="129"/>
      <c r="P7" s="130"/>
      <c r="Q7" s="131" t="s">
        <v>23</v>
      </c>
      <c r="R7" s="129"/>
      <c r="S7" s="13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243</v>
      </c>
      <c r="C10" s="42" t="s">
        <v>68</v>
      </c>
      <c r="D10" s="19">
        <v>1</v>
      </c>
      <c r="E10" s="25">
        <v>41743</v>
      </c>
      <c r="F10" s="25">
        <v>41746</v>
      </c>
      <c r="G10" s="25">
        <v>41746</v>
      </c>
      <c r="H10" s="25">
        <v>41746</v>
      </c>
      <c r="I10" s="44" t="s">
        <v>81</v>
      </c>
      <c r="J10" s="25">
        <v>41755</v>
      </c>
      <c r="K10" s="25">
        <v>41753</v>
      </c>
      <c r="L10" s="25">
        <v>41814</v>
      </c>
      <c r="M10" s="25">
        <v>41802</v>
      </c>
      <c r="N10" s="25">
        <v>41863</v>
      </c>
      <c r="O10" s="25">
        <v>41835</v>
      </c>
      <c r="P10" s="25">
        <v>41841</v>
      </c>
      <c r="Q10" s="25">
        <v>42108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72">
        <v>243</v>
      </c>
      <c r="C11" s="73" t="s">
        <v>68</v>
      </c>
      <c r="D11" s="19">
        <v>2</v>
      </c>
      <c r="I11" s="44" t="s">
        <v>57</v>
      </c>
      <c r="T11" s="73" t="s">
        <v>67</v>
      </c>
      <c r="U11" s="12">
        <v>42306</v>
      </c>
    </row>
    <row r="12" spans="2:48" ht="18.75" customHeight="1">
      <c r="B12" s="72">
        <v>243</v>
      </c>
      <c r="C12" s="73" t="s">
        <v>68</v>
      </c>
      <c r="D12" s="19">
        <v>3</v>
      </c>
      <c r="I12" s="44" t="s">
        <v>57</v>
      </c>
      <c r="T12" s="73" t="s">
        <v>67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Secteur DE0406</vt:lpstr>
      <vt:lpstr>00972265</vt:lpstr>
      <vt:lpstr>01436944</vt:lpstr>
      <vt:lpstr>05053645</vt:lpstr>
      <vt:lpstr>02370835</vt:lpstr>
      <vt:lpstr>05124210</vt:lpstr>
      <vt:lpstr>05655425</vt:lpstr>
      <vt:lpstr>05636104</vt:lpstr>
      <vt:lpstr>05898394</vt:lpstr>
      <vt:lpstr>08289470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2015-10-29T22:03:15Z</dcterms:modified>
</cp:coreProperties>
</file>