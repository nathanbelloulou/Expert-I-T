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3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80" yWindow="-150" windowWidth="15480" windowHeight="7740"/>
  </bookViews>
  <sheets>
    <sheet name="Secteur DE0303" sheetId="1" r:id="rId1"/>
    <sheet name="00289695" sheetId="2" r:id="rId2"/>
    <sheet name="01132633" sheetId="9" r:id="rId3"/>
    <sheet name="01199062" sheetId="8" r:id="rId4"/>
    <sheet name="01443199" sheetId="12" r:id="rId5"/>
    <sheet name="01885678" sheetId="3" r:id="rId6"/>
    <sheet name="02045245" sheetId="4" r:id="rId7"/>
    <sheet name="02884446" sheetId="5" r:id="rId8"/>
    <sheet name="04396692" sheetId="6" r:id="rId9"/>
    <sheet name="04562547" sheetId="10" r:id="rId10"/>
    <sheet name="05594356" sheetId="7" r:id="rId11"/>
    <sheet name="06637988" sheetId="11" r:id="rId12"/>
    <sheet name="00755871" sheetId="13" r:id="rId13"/>
  </sheets>
  <definedNames>
    <definedName name="Lancer_la_requête_à_partir_de_MS_Access_Database" localSheetId="1" hidden="1">'00289695'!$B$9:$U$12</definedName>
    <definedName name="Lancer_la_requête_à_partir_de_MS_Access_Database" localSheetId="12" hidden="1">'00755871'!$B$9:$U$12</definedName>
    <definedName name="Lancer_la_requête_à_partir_de_MS_Access_Database" localSheetId="2" hidden="1">'01132633'!$B$9:$U$14</definedName>
    <definedName name="Lancer_la_requête_à_partir_de_MS_Access_Database" localSheetId="3" hidden="1">'01199062'!$B$9:$U$12</definedName>
    <definedName name="Lancer_la_requête_à_partir_de_MS_Access_Database" localSheetId="4" hidden="1">'01443199'!$B$9:$U$12</definedName>
    <definedName name="Lancer_la_requête_à_partir_de_MS_Access_Database" localSheetId="5" hidden="1">'01885678'!$B$9:$U$12</definedName>
    <definedName name="Lancer_la_requête_à_partir_de_MS_Access_Database" localSheetId="6" hidden="1">'02045245'!$B$9:$U$14</definedName>
    <definedName name="Lancer_la_requête_à_partir_de_MS_Access_Database" localSheetId="7" hidden="1">'02884446'!$B$9:$U$12</definedName>
    <definedName name="Lancer_la_requête_à_partir_de_MS_Access_Database" localSheetId="8" hidden="1">'04396692'!$B$9:$U$12</definedName>
    <definedName name="Lancer_la_requête_à_partir_de_MS_Access_Database" localSheetId="9" hidden="1">'04562547'!$B$9:$U$12</definedName>
    <definedName name="Lancer_la_requête_à_partir_de_MS_Access_Database" localSheetId="10" hidden="1">'05594356'!$B$9:$U$10</definedName>
    <definedName name="Lancer_la_requête_à_partir_de_MS_Access_Database" localSheetId="11" hidden="1">'06637988'!$B$9:$U$12</definedName>
    <definedName name="Lancer_la_requête_à_partir_de_MS_Access_Database_1" localSheetId="0" hidden="1">'Secteur DE0303'!$A$7:$K$20</definedName>
  </definedNames>
  <calcPr calcId="125725"/>
</workbook>
</file>

<file path=xl/calcChain.xml><?xml version="1.0" encoding="utf-8"?>
<calcChain xmlns="http://schemas.openxmlformats.org/spreadsheetml/2006/main">
  <c r="D21" i="1"/>
  <c r="E21"/>
  <c r="F21"/>
  <c r="G21"/>
  <c r="H21"/>
  <c r="I21"/>
  <c r="N4" i="13"/>
  <c r="M4"/>
  <c r="F4"/>
  <c r="N4" i="12"/>
  <c r="M4"/>
  <c r="F4"/>
  <c r="N4" i="11"/>
  <c r="M4"/>
  <c r="F4"/>
  <c r="N4" i="10"/>
  <c r="M4"/>
  <c r="F4"/>
  <c r="N4" i="9" l="1"/>
  <c r="M4"/>
  <c r="F4"/>
  <c r="N4" i="8"/>
  <c r="M4"/>
  <c r="F4"/>
  <c r="N4" i="7"/>
  <c r="M4"/>
  <c r="F4"/>
  <c r="N4" i="6"/>
  <c r="M4"/>
  <c r="F4"/>
  <c r="N4" i="5"/>
  <c r="M4"/>
  <c r="F4"/>
  <c r="N4" i="4"/>
  <c r="M4"/>
  <c r="F4"/>
  <c r="N4" i="3"/>
  <c r="M4"/>
  <c r="F4"/>
  <c r="N4" i="2"/>
  <c r="M4"/>
  <c r="F4"/>
  <c r="G2" i="1"/>
  <c r="F2"/>
  <c r="D3"/>
</calcChain>
</file>

<file path=xl/connections.xml><?xml version="1.0" encoding="utf-8"?>
<connections xmlns="http://schemas.openxmlformats.org/spreadsheetml/2006/main">
  <connection id="1" name="Lancer la requête à partir de MS Access Database" type="1" refreshedVersion="3" background="1" saveData="1">
    <dbPr connection="DSN=MS Access Database;DBQ=Z:\LEO PHARMA\MIKADO\Mikado.accdb;DefaultDir=Z:\LEO PHARMA\MIKADO;DriverId=25;FIL=MS Access;MaxBufferSize=2048;PageTimeout=5;" command="SELECT Req_REPORT_SECTEURS_GLOBAL.`Code Secteur`, Req_REPORT_SECTEURS_GLOBAL.VM, Req_REPORT_SECTEURS_GLOBAL.`Code médecin`, Req_REPORT_SECTEURS_GLOBAL.Medecin, Req_REPORT_SECTEURS_GLOBAL.`Date de réception convention financière`, Req_REPORT_SECTEURS_GLOBAL.`Date de réception AR kit`, Req_REPORT_SECTEURS_GLOBAL.`Date de MEP`, Req_REPORT_SECTEURS_GLOBAL.Desistement, Req_REPORT_SECTEURS_GLOBAL.`Nb Total Patients inclus`, Req_REPORT_SECTEURS_GLOBAL.`Comptes-rendus contact médecin-GECEM`, Req_REPORT_SECTEURS_GLOBAL.Date_x000d__x000a_FROM `Z:\LEO PHARMA\MIKADO\Mikado.accdb`.Req_REPORT_SECTEURS_GLOBAL Req_REPORT_SECTEURS_GLOBAL_x000d__x000a_WHERE (Req_REPORT_SECTEURS_GLOBAL.`Code Secteur`='DE0303')_x000d__x000a_ORDER BY Req_REPORT_SECTEURS_GLOBAL.Medecin"/>
  </connection>
  <connection id="2" name="Lancer la requête à partir de MS Access Database0028969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289695')"/>
  </connection>
  <connection id="3" name="Lancer la requête à partir de MS Access Database00755871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755871')"/>
  </connection>
  <connection id="4" name="Lancer la requête à partir de MS Access Database01132633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132633')"/>
  </connection>
  <connection id="5" name="Lancer la requête à partir de MS Access Database01199062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199062')"/>
  </connection>
  <connection id="6" name="Lancer la requête à partir de MS Access Database01443199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443199')"/>
  </connection>
  <connection id="7" name="Lancer la requête à partir de MS Access Database0188567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885678')"/>
  </connection>
  <connection id="8" name="Lancer la requête à partir de MS Access Database0204524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2045245')"/>
  </connection>
  <connection id="9" name="Lancer la requête à partir de MS Access Database02884446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2884446')"/>
  </connection>
  <connection id="10" name="Lancer la requête à partir de MS Access Database04396692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396692')"/>
  </connection>
  <connection id="11" name="Lancer la requête à partir de MS Access Database04562547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562547')"/>
  </connection>
  <connection id="12" name="Lancer la requête à partir de MS Access Database05594356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594356')"/>
  </connection>
  <connection id="13" name="Lancer la requête à partir de MS Access Database0663798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637988')"/>
  </connection>
</connections>
</file>

<file path=xl/sharedStrings.xml><?xml version="1.0" encoding="utf-8"?>
<sst xmlns="http://schemas.openxmlformats.org/spreadsheetml/2006/main" count="740" uniqueCount="102">
  <si>
    <t>Etude MIKADO</t>
  </si>
  <si>
    <t>Situation au</t>
  </si>
  <si>
    <t>Code Secteur</t>
  </si>
  <si>
    <t>VM</t>
  </si>
  <si>
    <t>Medecin</t>
  </si>
  <si>
    <t>Date de réception convention financière</t>
  </si>
  <si>
    <t>Date de réception AR kit</t>
  </si>
  <si>
    <t>Date de MEP</t>
  </si>
  <si>
    <t>Desistement</t>
  </si>
  <si>
    <t>Nb Total Patients inclus</t>
  </si>
  <si>
    <t>Comptes-rendus contact médecin-GECEM</t>
  </si>
  <si>
    <t>Date</t>
  </si>
  <si>
    <t>Code médecin</t>
  </si>
  <si>
    <t>Secteur</t>
  </si>
  <si>
    <t>(Cliquez sur le code médecin pour accèder aux données de ses patients)</t>
  </si>
  <si>
    <t>TOTAL</t>
  </si>
  <si>
    <t>Suivi des patients</t>
  </si>
  <si>
    <t xml:space="preserve">Centre n° </t>
  </si>
  <si>
    <t>Retour à la liste des médecins</t>
  </si>
  <si>
    <t>Visite d'inclusion</t>
  </si>
  <si>
    <t xml:space="preserve">Date réception 
Auto-questionnaire patient  J7
</t>
  </si>
  <si>
    <t xml:space="preserve">Date réception 
Auto-questionnaire patient 2 mois
</t>
  </si>
  <si>
    <t>Visite précoce</t>
  </si>
  <si>
    <t>Visite tardive</t>
  </si>
  <si>
    <t>N° Patient</t>
  </si>
  <si>
    <t>Date de visite inclusion</t>
  </si>
  <si>
    <t>Questionnaire médecin 
Inclusion reçu le</t>
  </si>
  <si>
    <t xml:space="preserve">Auto-questionnaire patient 
Inclusion reçu le </t>
  </si>
  <si>
    <t>Formulaire de contact patient
reçu</t>
  </si>
  <si>
    <t>Type de rappel souhaité par le patient</t>
  </si>
  <si>
    <t>Date théorique max 
(date inclusion +12j)</t>
  </si>
  <si>
    <t>Date réelle</t>
  </si>
  <si>
    <t>Date théorique max 
(date d'inclusion +71j)</t>
  </si>
  <si>
    <t>Date théorique max
(date d'inclusion +4mois)</t>
  </si>
  <si>
    <t>Date de consultation
réelle</t>
  </si>
  <si>
    <t>Questionnaire Visite précoce reçu le</t>
  </si>
  <si>
    <t>Date théorique max
(date d'inclusion+12mois)</t>
  </si>
  <si>
    <t>Questionnaire Visite tardive reçu le</t>
  </si>
  <si>
    <t>Num_Centre</t>
  </si>
  <si>
    <t>Investigateur</t>
  </si>
  <si>
    <t>Num_Patient</t>
  </si>
  <si>
    <t>INCLUSION_Visite</t>
  </si>
  <si>
    <t>INCLUSION_Reception</t>
  </si>
  <si>
    <t>AQINCLUSION_Reception</t>
  </si>
  <si>
    <t>CONTACT_Reception</t>
  </si>
  <si>
    <t>TypeRappel</t>
  </si>
  <si>
    <t>AQ7Theo</t>
  </si>
  <si>
    <t>AQJ7_Reception</t>
  </si>
  <si>
    <t>AQ_M2_Theo</t>
  </si>
  <si>
    <t>AQM2_Reception</t>
  </si>
  <si>
    <t>VP_Theo</t>
  </si>
  <si>
    <t>PRECOCE_Visite</t>
  </si>
  <si>
    <t>PRECOCE_Reception</t>
  </si>
  <si>
    <t>VT_Theo</t>
  </si>
  <si>
    <t>TARDIF_Visite</t>
  </si>
  <si>
    <t>TARDIF_Reception</t>
  </si>
  <si>
    <t>Onekey</t>
  </si>
  <si>
    <t/>
  </si>
  <si>
    <t xml:space="preserve">Situation au </t>
  </si>
  <si>
    <t>DE0303</t>
  </si>
  <si>
    <t>QUEVA Frédérique</t>
  </si>
  <si>
    <t>WFRM00289695</t>
  </si>
  <si>
    <t>AUCHE BESSAGUET Marilyne</t>
  </si>
  <si>
    <t>WFRM01885678</t>
  </si>
  <si>
    <t>CHARTIER Frédérique</t>
  </si>
  <si>
    <t>WFRM02045245</t>
  </si>
  <si>
    <t>CLAUDEL Jean-Paul</t>
  </si>
  <si>
    <t>WFRM02884446</t>
  </si>
  <si>
    <t>DEVILLERS Eric</t>
  </si>
  <si>
    <t>WFRM04396692</t>
  </si>
  <si>
    <t>GUITTON-OUDET Elisabeth</t>
  </si>
  <si>
    <t>WFRM05594356</t>
  </si>
  <si>
    <t>LEGAY DEMANCHE Claire</t>
  </si>
  <si>
    <t>BOUILLARD Catherine</t>
  </si>
  <si>
    <t>WFRM01199062</t>
  </si>
  <si>
    <t>BORIAUD Edith</t>
  </si>
  <si>
    <t>WFRM01132633</t>
  </si>
  <si>
    <t>17juin: Pas d'inclusion. A vu des patients mais n'a pas prescrit de  PICATO. A bien l'étude en tête.</t>
  </si>
  <si>
    <t>18juin: N' a pas eu de patient correspondant aux critères</t>
  </si>
  <si>
    <t>WFRM04562547</t>
  </si>
  <si>
    <t>HERISSE Chantal</t>
  </si>
  <si>
    <t>20juin: secretaire ne passe pas les appels, mail envoyé au médecin pour les inclusions</t>
  </si>
  <si>
    <t>Téléphone</t>
  </si>
  <si>
    <t>SMS - Mail</t>
  </si>
  <si>
    <t>Via médecin</t>
  </si>
  <si>
    <t>SMS - Courrier - Téléphone</t>
  </si>
  <si>
    <t>05sept14: n'a pas beaucoup prescrit de picato en approchant de la période estival. Elle va essayer de le represcrire à partir de la rentrée et inclure ainsi des nouveaux patients. Elle dit aussi que la partie la plus difficile, c'est de prendre le temps p</t>
  </si>
  <si>
    <t>Courrier</t>
  </si>
  <si>
    <t>Téléphone - Via médecin</t>
  </si>
  <si>
    <t>WFRM06637988</t>
  </si>
  <si>
    <t>MOREL Annie</t>
  </si>
  <si>
    <t>WFRM01443199</t>
  </si>
  <si>
    <t>SMS - Téléphone</t>
  </si>
  <si>
    <t>CORVEN-BENOIT Cloé</t>
  </si>
  <si>
    <t>WFRM00755871</t>
  </si>
  <si>
    <t>MAUBOUSSIN GAUTRON Martine</t>
  </si>
  <si>
    <t>SMS - Mail - Téléphone</t>
  </si>
  <si>
    <t>Colonne1</t>
  </si>
  <si>
    <t>SMS - Mail - Courrier</t>
  </si>
  <si>
    <t>a relancé les patients pour le questionnaire à 2 mois. Le patient 1785 dit l'avoir renvoyé et le 1786 va le faire</t>
  </si>
  <si>
    <t>BRUNAULT Miriam</t>
  </si>
  <si>
    <t>WFRM06278925</t>
  </si>
</sst>
</file>

<file path=xl/styles.xml><?xml version="1.0" encoding="utf-8"?>
<styleSheet xmlns="http://schemas.openxmlformats.org/spreadsheetml/2006/main">
  <numFmts count="1">
    <numFmt numFmtId="164" formatCode="dd/mm/yy;@"/>
  </numFmts>
  <fonts count="29">
    <font>
      <sz val="11"/>
      <color theme="1"/>
      <name val="Calibri"/>
      <family val="2"/>
      <scheme val="minor"/>
    </font>
    <font>
      <b/>
      <sz val="22"/>
      <color indexed="62"/>
      <name val="Verdana"/>
      <family val="2"/>
    </font>
    <font>
      <sz val="10"/>
      <name val="Arial"/>
      <family val="2"/>
    </font>
    <font>
      <b/>
      <sz val="14"/>
      <name val="Arial"/>
      <family val="2"/>
    </font>
    <font>
      <b/>
      <sz val="14"/>
      <color indexed="18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  <font>
      <i/>
      <sz val="12"/>
      <color indexed="18"/>
      <name val="Arial"/>
      <family val="2"/>
    </font>
    <font>
      <b/>
      <sz val="12"/>
      <color indexed="21"/>
      <name val="Verdana"/>
      <family val="2"/>
    </font>
    <font>
      <b/>
      <i/>
      <sz val="11"/>
      <color rgb="FF0000FF"/>
      <name val="Calibri"/>
      <family val="2"/>
      <scheme val="minor"/>
    </font>
    <font>
      <u/>
      <sz val="11"/>
      <color theme="10"/>
      <name val="Calibri"/>
      <family val="2"/>
    </font>
    <font>
      <sz val="18"/>
      <color indexed="62"/>
      <name val="Verdana"/>
      <family val="2"/>
    </font>
    <font>
      <sz val="14"/>
      <color indexed="8"/>
      <name val="Verdana"/>
      <family val="2"/>
    </font>
    <font>
      <b/>
      <sz val="22"/>
      <color indexed="21"/>
      <name val="Verdana"/>
      <family val="2"/>
    </font>
    <font>
      <sz val="22"/>
      <color indexed="8"/>
      <name val="Verdana"/>
      <family val="2"/>
    </font>
    <font>
      <b/>
      <sz val="16"/>
      <color indexed="21"/>
      <name val="Verdana"/>
      <family val="2"/>
    </font>
    <font>
      <b/>
      <sz val="14"/>
      <color rgb="FF006600"/>
      <name val="Calibri"/>
      <family val="2"/>
      <scheme val="minor"/>
    </font>
    <font>
      <sz val="10"/>
      <color indexed="8"/>
      <name val="Arial"/>
      <family val="2"/>
    </font>
    <font>
      <sz val="10"/>
      <color indexed="18"/>
      <name val="Arial"/>
      <family val="2"/>
    </font>
    <font>
      <b/>
      <sz val="14"/>
      <color indexed="21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8080"/>
      </left>
      <right style="thin">
        <color rgb="FF000000"/>
      </right>
      <top style="thin">
        <color rgb="FF000000"/>
      </top>
      <bottom style="thin">
        <color rgb="FF008080"/>
      </bottom>
      <diagonal/>
    </border>
  </borders>
  <cellStyleXfs count="3">
    <xf numFmtId="0" fontId="0" fillId="0" borderId="0"/>
    <xf numFmtId="0" fontId="2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33">
    <xf numFmtId="0" fontId="0" fillId="0" borderId="0" xfId="0"/>
    <xf numFmtId="0" fontId="3" fillId="2" borderId="0" xfId="1" applyFont="1" applyFill="1" applyAlignment="1">
      <alignment horizontal="left"/>
    </xf>
    <xf numFmtId="164" fontId="5" fillId="2" borderId="0" xfId="1" applyNumberFormat="1" applyFont="1" applyFill="1" applyAlignment="1">
      <alignment horizontal="left"/>
    </xf>
    <xf numFmtId="0" fontId="5" fillId="2" borderId="0" xfId="1" applyFont="1" applyFill="1" applyAlignment="1">
      <alignment horizontal="left"/>
    </xf>
    <xf numFmtId="0" fontId="6" fillId="2" borderId="0" xfId="1" applyFont="1" applyFill="1" applyAlignment="1">
      <alignment horizontal="left"/>
    </xf>
    <xf numFmtId="0" fontId="8" fillId="4" borderId="0" xfId="1" applyFont="1" applyFill="1" applyAlignment="1">
      <alignment horizontal="center"/>
    </xf>
    <xf numFmtId="164" fontId="9" fillId="2" borderId="0" xfId="0" applyNumberFormat="1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6" fillId="2" borderId="0" xfId="1" applyFont="1" applyFill="1" applyBorder="1" applyAlignment="1">
      <alignment horizontal="left"/>
    </xf>
    <xf numFmtId="164" fontId="5" fillId="2" borderId="0" xfId="1" applyNumberFormat="1" applyFont="1" applyFill="1" applyBorder="1" applyAlignment="1">
      <alignment horizontal="left"/>
    </xf>
    <xf numFmtId="22" fontId="0" fillId="0" borderId="0" xfId="0" applyNumberFormat="1"/>
    <xf numFmtId="164" fontId="7" fillId="3" borderId="0" xfId="1" applyNumberFormat="1" applyFont="1" applyFill="1" applyAlignment="1">
      <alignment horizontal="right"/>
    </xf>
    <xf numFmtId="164" fontId="0" fillId="0" borderId="0" xfId="0" applyNumberFormat="1"/>
    <xf numFmtId="0" fontId="7" fillId="0" borderId="0" xfId="1" applyFont="1" applyFill="1" applyAlignment="1"/>
    <xf numFmtId="0" fontId="7" fillId="0" borderId="0" xfId="1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right"/>
    </xf>
    <xf numFmtId="164" fontId="5" fillId="2" borderId="0" xfId="1" applyNumberFormat="1" applyFont="1" applyFill="1" applyAlignment="1">
      <alignment horizontal="center"/>
    </xf>
    <xf numFmtId="164" fontId="5" fillId="2" borderId="0" xfId="1" applyNumberFormat="1" applyFont="1" applyFill="1" applyBorder="1" applyAlignment="1">
      <alignment horizontal="center"/>
    </xf>
    <xf numFmtId="164" fontId="4" fillId="2" borderId="0" xfId="1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10" fillId="4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7" fillId="3" borderId="0" xfId="1" applyNumberFormat="1" applyFont="1" applyFill="1" applyAlignment="1">
      <alignment horizontal="left"/>
    </xf>
    <xf numFmtId="22" fontId="0" fillId="0" borderId="0" xfId="0" applyNumberFormat="1" applyBorder="1"/>
    <xf numFmtId="164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0" fillId="2" borderId="0" xfId="0" applyFill="1" applyBorder="1"/>
    <xf numFmtId="0" fontId="18" fillId="2" borderId="0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20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4" fontId="0" fillId="0" borderId="0" xfId="0" applyNumberFormat="1"/>
    <xf numFmtId="164" fontId="0" fillId="2" borderId="0" xfId="0" applyNumberFormat="1" applyFill="1" applyBorder="1"/>
    <xf numFmtId="164" fontId="18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 wrapText="1"/>
    </xf>
    <xf numFmtId="164" fontId="18" fillId="2" borderId="0" xfId="0" applyNumberFormat="1" applyFont="1" applyFill="1" applyBorder="1" applyAlignment="1">
      <alignment horizontal="center" vertical="center" wrapText="1"/>
    </xf>
    <xf numFmtId="164" fontId="22" fillId="10" borderId="4" xfId="0" applyNumberFormat="1" applyFont="1" applyFill="1" applyBorder="1" applyAlignment="1">
      <alignment horizontal="center" vertical="center" wrapText="1"/>
    </xf>
    <xf numFmtId="164" fontId="0" fillId="2" borderId="0" xfId="0" applyNumberFormat="1" applyFill="1" applyBorder="1" applyAlignment="1">
      <alignment horizontal="center"/>
    </xf>
    <xf numFmtId="164" fontId="12" fillId="2" borderId="0" xfId="0" applyNumberFormat="1" applyFont="1" applyFill="1" applyBorder="1" applyAlignment="1">
      <alignment horizontal="center"/>
    </xf>
    <xf numFmtId="164" fontId="13" fillId="2" borderId="0" xfId="0" applyNumberFormat="1" applyFont="1" applyFill="1" applyBorder="1" applyAlignment="1">
      <alignment horizontal="center"/>
    </xf>
    <xf numFmtId="164" fontId="16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1" fillId="2" borderId="0" xfId="2" applyNumberFormat="1" applyFill="1" applyBorder="1" applyAlignment="1" applyProtection="1">
      <alignment horizontal="center"/>
    </xf>
    <xf numFmtId="164" fontId="22" fillId="6" borderId="4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8" borderId="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Border="1" applyAlignment="1">
      <alignment horizontal="left" vertic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14" fontId="0" fillId="0" borderId="0" xfId="0" applyNumberForma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1" fillId="0" borderId="0" xfId="2" applyAlignment="1" applyProtection="1">
      <alignment horizontal="center" vertical="center" wrapText="1"/>
    </xf>
    <xf numFmtId="22" fontId="0" fillId="0" borderId="0" xfId="0" applyNumberFormat="1" applyAlignment="1">
      <alignment vertical="center" wrapText="1"/>
    </xf>
    <xf numFmtId="164" fontId="0" fillId="0" borderId="0" xfId="0" applyNumberFormat="1" applyAlignment="1">
      <alignment vertical="center" wrapText="1"/>
    </xf>
    <xf numFmtId="0" fontId="0" fillId="0" borderId="0" xfId="0" applyNumberFormat="1" applyBorder="1" applyAlignment="1">
      <alignment horizontal="center"/>
    </xf>
    <xf numFmtId="0" fontId="25" fillId="0" borderId="0" xfId="0" applyFont="1" applyAlignment="1">
      <alignment horizontal="center" vertical="center" wrapText="1"/>
    </xf>
    <xf numFmtId="0" fontId="25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6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27" fillId="0" borderId="0" xfId="0" applyFont="1" applyAlignment="1">
      <alignment horizontal="center" vertical="center" wrapText="1"/>
    </xf>
    <xf numFmtId="0" fontId="27" fillId="2" borderId="0" xfId="0" applyFont="1" applyFill="1" applyAlignment="1">
      <alignment horizontal="center" vertical="center" wrapText="1"/>
    </xf>
    <xf numFmtId="0" fontId="0" fillId="0" borderId="0" xfId="0" applyFill="1" applyAlignment="1">
      <alignment vertical="center" wrapText="1"/>
    </xf>
    <xf numFmtId="0" fontId="11" fillId="0" borderId="0" xfId="2" applyFill="1" applyAlignment="1" applyProtection="1">
      <alignment horizontal="center" vertical="center" wrapText="1"/>
    </xf>
    <xf numFmtId="22" fontId="0" fillId="0" borderId="0" xfId="0" applyNumberFormat="1" applyFill="1" applyAlignment="1">
      <alignment vertical="center" wrapText="1"/>
    </xf>
    <xf numFmtId="164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4" fontId="0" fillId="0" borderId="0" xfId="0" applyNumberFormat="1" applyFill="1" applyAlignment="1">
      <alignment vertical="center" wrapText="1"/>
    </xf>
    <xf numFmtId="0" fontId="28" fillId="0" borderId="5" xfId="0" applyFont="1" applyFill="1" applyBorder="1" applyAlignment="1">
      <alignment vertical="center" wrapText="1"/>
    </xf>
    <xf numFmtId="14" fontId="7" fillId="3" borderId="0" xfId="1" applyNumberFormat="1" applyFont="1" applyFill="1" applyAlignment="1">
      <alignment horizontal="center"/>
    </xf>
    <xf numFmtId="0" fontId="14" fillId="2" borderId="0" xfId="0" applyFont="1" applyFill="1" applyBorder="1" applyAlignment="1">
      <alignment horizontal="center"/>
    </xf>
    <xf numFmtId="0" fontId="0" fillId="0" borderId="0" xfId="0" applyAlignmen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21" fillId="5" borderId="1" xfId="0" applyFont="1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/>
    </xf>
    <xf numFmtId="164" fontId="22" fillId="6" borderId="1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1" fillId="6" borderId="1" xfId="0" applyNumberFormat="1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21" fillId="8" borderId="1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left"/>
    </xf>
  </cellXfs>
  <cellStyles count="3">
    <cellStyle name="Lien hypertexte" xfId="2" builtinId="8"/>
    <cellStyle name="Normal" xfId="0" builtinId="0"/>
    <cellStyle name="Normal_MENARINI_HTA-Observance_Bilan de suivi N14 (18 MAI 2011)" xfId="1"/>
  </cellStyles>
  <dxfs count="283"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numFmt numFmtId="164" formatCode="dd/mm/yy;@"/>
      <alignment horizontal="general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  <protection locked="1" hidden="0"/>
    </dxf>
    <dxf>
      <alignment horizontal="general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27" formatCode="m/d/yyyy\ h:mm"/>
      <border diagonalUp="0" diagonalDown="0" outline="0">
        <left/>
        <right/>
        <top/>
        <bottom/>
      </border>
    </dxf>
    <dxf>
      <numFmt numFmtId="164" formatCode="dd/mm/yy;@"/>
      <border diagonalUp="0" diagonalDown="0" outline="0">
        <left/>
        <right/>
        <top/>
        <bottom/>
      </border>
    </dxf>
    <dxf>
      <alignment vertical="center" textRotation="0" wrapText="1" justifyLastLine="0" shrinkToFit="0" mergeCell="0" readingOrder="0"/>
    </dxf>
    <dxf>
      <alignment horizontal="center" vertical="center" textRotation="0" wrapText="1" indent="0" relativeIndent="255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font>
        <b/>
        <color theme="1"/>
      </font>
    </dxf>
    <dxf>
      <font>
        <b/>
        <color theme="1"/>
      </font>
    </dxf>
    <dxf>
      <font>
        <b/>
        <i val="0"/>
        <color theme="0"/>
      </font>
      <fill>
        <patternFill>
          <bgColor rgb="FF00808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0"/>
      </font>
      <fill>
        <patternFill patternType="solid">
          <fgColor theme="6"/>
          <bgColor rgb="FF00808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color theme="1"/>
      </font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</dxfs>
  <tableStyles count="2" defaultTableStyle="TableStyleMedium9" defaultPivotStyle="PivotStyleLight16">
    <tableStyle name="MIKADO" pivot="0" count="9">
      <tableStyleElement type="wholeTable" dxfId="282"/>
      <tableStyleElement type="headerRow" dxfId="281"/>
      <tableStyleElement type="totalRow" dxfId="280"/>
      <tableStyleElement type="firstColumn" dxfId="279"/>
      <tableStyleElement type="lastColumn" dxfId="278"/>
      <tableStyleElement type="firstRowStripe" dxfId="277"/>
      <tableStyleElement type="secondRowStripe" dxfId="276"/>
      <tableStyleElement type="firstColumnStripe" dxfId="275"/>
      <tableStyleElement type="secondColumnStripe" dxfId="274"/>
    </tableStyle>
    <tableStyle name="TableStyleLight8 2" pivot="0" count="9">
      <tableStyleElement type="wholeTable" dxfId="273"/>
      <tableStyleElement type="headerRow" dxfId="272"/>
      <tableStyleElement type="totalRow" dxfId="271"/>
      <tableStyleElement type="firstColumn" dxfId="270"/>
      <tableStyleElement type="lastColumn" dxfId="269"/>
      <tableStyleElement type="firstRowStripe" dxfId="268"/>
      <tableStyleElement type="secondRowStripe" dxfId="267"/>
      <tableStyleElement type="firstColumnStripe" dxfId="266"/>
      <tableStyleElement type="secondColumnStripe" dxfId="265"/>
    </tableStyle>
  </tableStyles>
  <colors>
    <mruColors>
      <color rgb="FF00808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name="Lancer la requête à partir de MS Access Database_1" adjustColumnWidth="0" connectionId="1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Code Secteur" tableColumnId="1"/>
      <queryTableField id="2" name="VM" tableColumnId="2"/>
      <queryTableField id="3" name="Code médecin" tableColumnId="3"/>
      <queryTableField id="4" name="Medecin" tableColumnId="4"/>
      <queryTableField id="5" name="Date de réception convention financière" tableColumnId="5"/>
      <queryTableField id="6" name="Date de réception AR kit" tableColumnId="6"/>
      <queryTableField id="7" name="Date de MEP" tableColumnId="7"/>
      <queryTableField id="8" name="Desistement" tableColumnId="8"/>
      <queryTableField id="9" name="Nb Total Patients inclus" tableColumnId="9"/>
      <queryTableField id="10" name="Comptes-rendus contact médecin-GECEM" tableColumnId="10"/>
      <queryTableField id="11" name="Date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name="Lancer la requête à partir de MS Access Database" adjustColumnWidth="0" connectionId="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3.xml><?xml version="1.0" encoding="utf-8"?>
<queryTable xmlns="http://schemas.openxmlformats.org/spreadsheetml/2006/main" name="Lancer la requête à partir de MS Access Database" adjustColumnWidth="0" connectionId="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4.xml><?xml version="1.0" encoding="utf-8"?>
<queryTable xmlns="http://schemas.openxmlformats.org/spreadsheetml/2006/main" name="Lancer la requête à partir de MS Access Database" adjustColumnWidth="0" connectionId="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5.xml><?xml version="1.0" encoding="utf-8"?>
<queryTable xmlns="http://schemas.openxmlformats.org/spreadsheetml/2006/main" name="Lancer la requête à partir de MS Access Database" adjustColumnWidth="0" connectionId="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6.xml><?xml version="1.0" encoding="utf-8"?>
<queryTable xmlns="http://schemas.openxmlformats.org/spreadsheetml/2006/main" name="Lancer la requête à partir de MS Access Database" adjustColumnWidth="0" connectionId="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7.xml><?xml version="1.0" encoding="utf-8"?>
<queryTable xmlns="http://schemas.openxmlformats.org/spreadsheetml/2006/main" name="Lancer la requête à partir de MS Access Database" adjustColumnWidth="0" connectionId="8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8.xml><?xml version="1.0" encoding="utf-8"?>
<queryTable xmlns="http://schemas.openxmlformats.org/spreadsheetml/2006/main" name="Lancer la requête à partir de MS Access Database" adjustColumnWidth="0" connectionId="9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9.xml><?xml version="1.0" encoding="utf-8"?>
<queryTable xmlns="http://schemas.openxmlformats.org/spreadsheetml/2006/main" name="Lancer la requête à partir de MS Access Database" adjustColumnWidth="0" connectionId="10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0.xml><?xml version="1.0" encoding="utf-8"?>
<queryTable xmlns="http://schemas.openxmlformats.org/spreadsheetml/2006/main" name="Lancer la requête à partir de MS Access Database" adjustColumnWidth="0" connectionId="11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1.xml><?xml version="1.0" encoding="utf-8"?>
<queryTable xmlns="http://schemas.openxmlformats.org/spreadsheetml/2006/main" name="Lancer la requête à partir de MS Access Database" adjustColumnWidth="0" connectionId="1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2.xml><?xml version="1.0" encoding="utf-8"?>
<queryTable xmlns="http://schemas.openxmlformats.org/spreadsheetml/2006/main" name="Lancer la requête à partir de MS Access Database" adjustColumnWidth="0" connectionId="1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3.xml><?xml version="1.0" encoding="utf-8"?>
<queryTable xmlns="http://schemas.openxmlformats.org/spreadsheetml/2006/main" name="Lancer la requête à partir de MS Access Database" adjustColumnWidth="0" connectionId="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id="2" name="Tableau_Lancer_la_requête_à_partir_de_MS_Access_Database_1" displayName="Tableau_Lancer_la_requête_à_partir_de_MS_Access_Database_1" ref="A7:L21" tableType="queryTable" totalsRowCount="1" headerRowDxfId="264" dataDxfId="263">
  <tableColumns count="12">
    <tableColumn id="1" uniqueName="1" name="Code Secteur" queryTableFieldId="1" dataDxfId="251" totalsRowDxfId="252"/>
    <tableColumn id="2" uniqueName="2" name="VM" queryTableFieldId="2" dataDxfId="250" totalsRowDxfId="253"/>
    <tableColumn id="3" uniqueName="3" name="Code médecin" totalsRowLabel="TOTAL" queryTableFieldId="3" dataDxfId="249" totalsRowDxfId="254" dataCellStyle="Lien hypertexte"/>
    <tableColumn id="4" uniqueName="4" name="Medecin" totalsRowFunction="custom" queryTableFieldId="4" dataDxfId="248" totalsRowDxfId="255">
      <totalsRowFormula>SUBTOTAL(3,D8:D20)</totalsRowFormula>
    </tableColumn>
    <tableColumn id="5" uniqueName="5" name="Date de réception convention financière" totalsRowFunction="custom" queryTableFieldId="5" dataDxfId="247" totalsRowDxfId="256">
      <totalsRowFormula>SUBTOTAL(3,[Date de réception convention financière])</totalsRowFormula>
    </tableColumn>
    <tableColumn id="6" uniqueName="6" name="Date de réception AR kit" totalsRowFunction="custom" queryTableFieldId="6" dataDxfId="246" totalsRowDxfId="257">
      <totalsRowFormula>SUBTOTAL(3,[Date de réception AR kit])</totalsRowFormula>
    </tableColumn>
    <tableColumn id="7" uniqueName="7" name="Date de MEP" totalsRowFunction="custom" queryTableFieldId="7" dataDxfId="245" totalsRowDxfId="258">
      <totalsRowFormula>SUBTOTAL(3,[Date de MEP])</totalsRowFormula>
    </tableColumn>
    <tableColumn id="8" uniqueName="8" name="Desistement" totalsRowFunction="custom" queryTableFieldId="8" dataDxfId="244" totalsRowDxfId="259">
      <totalsRowFormula>SUBTOTAL(3,[Desistement])</totalsRowFormula>
    </tableColumn>
    <tableColumn id="9" uniqueName="9" name="Nb Total Patients inclus" totalsRowFunction="custom" queryTableFieldId="9" dataDxfId="243" totalsRowDxfId="260">
      <totalsRowFormula>SUBTOTAL(109,I8:I20)</totalsRowFormula>
    </tableColumn>
    <tableColumn id="10" uniqueName="10" name="Comptes-rendus contact médecin-GECEM" queryTableFieldId="10" dataDxfId="242" totalsRowDxfId="261"/>
    <tableColumn id="11" uniqueName="11" name="Date" queryTableFieldId="11" dataDxfId="241" totalsRowDxfId="262"/>
    <tableColumn id="12" uniqueName="12" name="Colonne1" queryTableFieldId="12" dataDxfId="240"/>
  </tableColumns>
  <tableStyleInfo name="MIKADO" showFirstColumn="0" showLastColumn="0" showRowStripes="1" showColumnStripes="0"/>
</table>
</file>

<file path=xl/tables/table2.xml><?xml version="1.0" encoding="utf-8"?>
<table xmlns="http://schemas.openxmlformats.org/spreadsheetml/2006/main" id="1" name="Tableau_Lancer_la_requête_à_partir_de_MS_Access_Database" displayName="Tableau_Lancer_la_requête_à_partir_de_MS_Access_Database" ref="B9:U12" tableType="queryTable" totalsRowShown="0">
  <autoFilter ref="B9:U12"/>
  <tableColumns count="20">
    <tableColumn id="1" uniqueName="1" name="Num_Centre" queryTableFieldId="1" dataDxfId="239"/>
    <tableColumn id="2" uniqueName="2" name="Investigateur" queryTableFieldId="2" dataDxfId="238"/>
    <tableColumn id="3" uniqueName="3" name="Num_Patient" queryTableFieldId="3" dataDxfId="237"/>
    <tableColumn id="4" uniqueName="4" name="INCLUSION_Visite" queryTableFieldId="4" dataDxfId="236"/>
    <tableColumn id="5" uniqueName="5" name="INCLUSION_Reception" queryTableFieldId="5" dataDxfId="235"/>
    <tableColumn id="6" uniqueName="6" name="AQINCLUSION_Reception" queryTableFieldId="6" dataDxfId="234"/>
    <tableColumn id="7" uniqueName="7" name="CONTACT_Reception" queryTableFieldId="7" dataDxfId="233"/>
    <tableColumn id="8" uniqueName="8" name="TypeRappel" queryTableFieldId="8" dataDxfId="232"/>
    <tableColumn id="9" uniqueName="9" name="AQ7Theo" queryTableFieldId="9" dataDxfId="231"/>
    <tableColumn id="10" uniqueName="10" name="AQJ7_Reception" queryTableFieldId="10" dataDxfId="230"/>
    <tableColumn id="11" uniqueName="11" name="AQ_M2_Theo" queryTableFieldId="11" dataDxfId="229"/>
    <tableColumn id="12" uniqueName="12" name="AQM2_Reception" queryTableFieldId="12" dataDxfId="228"/>
    <tableColumn id="13" uniqueName="13" name="VP_Theo" queryTableFieldId="13" dataDxfId="227"/>
    <tableColumn id="14" uniqueName="14" name="PRECOCE_Visite" queryTableFieldId="14" dataDxfId="226"/>
    <tableColumn id="15" uniqueName="15" name="PRECOCE_Reception" queryTableFieldId="15" dataDxfId="225"/>
    <tableColumn id="16" uniqueName="16" name="VT_Theo" queryTableFieldId="16" dataDxfId="224"/>
    <tableColumn id="17" uniqueName="17" name="TARDIF_Visite" queryTableFieldId="17" dataDxfId="223"/>
    <tableColumn id="18" uniqueName="18" name="TARDIF_Reception" queryTableFieldId="18" dataDxfId="222"/>
    <tableColumn id="19" uniqueName="19" name="Onekey" queryTableFieldId="19" dataDxfId="221"/>
    <tableColumn id="20" uniqueName="20" name="Date" queryTableFieldId="20" dataDxfId="220"/>
  </tableColumns>
  <tableStyleInfo name="TableStyleLight8 2" showFirstColumn="0" showLastColumn="0" showRowStripes="1" showColumnStripes="0"/>
</table>
</file>

<file path=xl/tables/table3.xml><?xml version="1.0" encoding="utf-8"?>
<table xmlns="http://schemas.openxmlformats.org/spreadsheetml/2006/main" id="9" name="Tableau_Lancer_la_requête_à_partir_de_MS_Access_Database910" displayName="Tableau_Lancer_la_requête_à_partir_de_MS_Access_Database910" ref="B9:U14" tableType="queryTable" totalsRowShown="0">
  <autoFilter ref="B9:U14"/>
  <tableColumns count="20">
    <tableColumn id="1" uniqueName="1" name="Num_Centre" queryTableFieldId="1" dataDxfId="219"/>
    <tableColumn id="2" uniqueName="2" name="Investigateur" queryTableFieldId="2" dataDxfId="218"/>
    <tableColumn id="3" uniqueName="3" name="Num_Patient" queryTableFieldId="3" dataDxfId="217"/>
    <tableColumn id="4" uniqueName="4" name="INCLUSION_Visite" queryTableFieldId="4" dataDxfId="216"/>
    <tableColumn id="5" uniqueName="5" name="INCLUSION_Reception" queryTableFieldId="5" dataDxfId="215"/>
    <tableColumn id="6" uniqueName="6" name="AQINCLUSION_Reception" queryTableFieldId="6" dataDxfId="214"/>
    <tableColumn id="7" uniqueName="7" name="CONTACT_Reception" queryTableFieldId="7" dataDxfId="213"/>
    <tableColumn id="8" uniqueName="8" name="TypeRappel" queryTableFieldId="8" dataDxfId="212"/>
    <tableColumn id="9" uniqueName="9" name="AQ7Theo" queryTableFieldId="9" dataDxfId="211"/>
    <tableColumn id="10" uniqueName="10" name="AQJ7_Reception" queryTableFieldId="10" dataDxfId="210"/>
    <tableColumn id="11" uniqueName="11" name="AQ_M2_Theo" queryTableFieldId="11" dataDxfId="209"/>
    <tableColumn id="12" uniqueName="12" name="AQM2_Reception" queryTableFieldId="12" dataDxfId="208"/>
    <tableColumn id="13" uniqueName="13" name="VP_Theo" queryTableFieldId="13" dataDxfId="207"/>
    <tableColumn id="14" uniqueName="14" name="PRECOCE_Visite" queryTableFieldId="14" dataDxfId="206"/>
    <tableColumn id="15" uniqueName="15" name="PRECOCE_Reception" queryTableFieldId="15" dataDxfId="205"/>
    <tableColumn id="16" uniqueName="16" name="VT_Theo" queryTableFieldId="16" dataDxfId="204"/>
    <tableColumn id="17" uniqueName="17" name="TARDIF_Visite" queryTableFieldId="17" dataDxfId="203"/>
    <tableColumn id="18" uniqueName="18" name="TARDIF_Reception" queryTableFieldId="18" dataDxfId="202"/>
    <tableColumn id="19" uniqueName="19" name="Onekey" queryTableFieldId="19" dataDxfId="201"/>
    <tableColumn id="20" uniqueName="20" name="Date" queryTableFieldId="20" dataDxfId="200"/>
  </tableColumns>
  <tableStyleInfo name="TableStyleLight8 2" showFirstColumn="0" showLastColumn="0" showRowStripes="1" showColumnStripes="0"/>
</table>
</file>

<file path=xl/tables/table4.xml><?xml version="1.0" encoding="utf-8"?>
<table xmlns="http://schemas.openxmlformats.org/spreadsheetml/2006/main" id="8" name="Tableau_Lancer_la_requête_à_partir_de_MS_Access_Database9" displayName="Tableau_Lancer_la_requête_à_partir_de_MS_Access_Database9" ref="B9:U12" tableType="queryTable" totalsRowShown="0">
  <autoFilter ref="B9:U12"/>
  <tableColumns count="20">
    <tableColumn id="1" uniqueName="1" name="Num_Centre" queryTableFieldId="1" dataDxfId="199"/>
    <tableColumn id="2" uniqueName="2" name="Investigateur" queryTableFieldId="2" dataDxfId="198"/>
    <tableColumn id="3" uniqueName="3" name="Num_Patient" queryTableFieldId="3" dataDxfId="197"/>
    <tableColumn id="4" uniqueName="4" name="INCLUSION_Visite" queryTableFieldId="4" dataDxfId="196"/>
    <tableColumn id="5" uniqueName="5" name="INCLUSION_Reception" queryTableFieldId="5" dataDxfId="195"/>
    <tableColumn id="6" uniqueName="6" name="AQINCLUSION_Reception" queryTableFieldId="6" dataDxfId="194"/>
    <tableColumn id="7" uniqueName="7" name="CONTACT_Reception" queryTableFieldId="7" dataDxfId="193"/>
    <tableColumn id="8" uniqueName="8" name="TypeRappel" queryTableFieldId="8" dataDxfId="192"/>
    <tableColumn id="9" uniqueName="9" name="AQ7Theo" queryTableFieldId="9" dataDxfId="191"/>
    <tableColumn id="10" uniqueName="10" name="AQJ7_Reception" queryTableFieldId="10" dataDxfId="190"/>
    <tableColumn id="11" uniqueName="11" name="AQ_M2_Theo" queryTableFieldId="11" dataDxfId="189"/>
    <tableColumn id="12" uniqueName="12" name="AQM2_Reception" queryTableFieldId="12" dataDxfId="188"/>
    <tableColumn id="13" uniqueName="13" name="VP_Theo" queryTableFieldId="13" dataDxfId="187"/>
    <tableColumn id="14" uniqueName="14" name="PRECOCE_Visite" queryTableFieldId="14" dataDxfId="186"/>
    <tableColumn id="15" uniqueName="15" name="PRECOCE_Reception" queryTableFieldId="15" dataDxfId="185"/>
    <tableColumn id="16" uniqueName="16" name="VT_Theo" queryTableFieldId="16" dataDxfId="184"/>
    <tableColumn id="17" uniqueName="17" name="TARDIF_Visite" queryTableFieldId="17" dataDxfId="183"/>
    <tableColumn id="18" uniqueName="18" name="TARDIF_Reception" queryTableFieldId="18" dataDxfId="182"/>
    <tableColumn id="19" uniqueName="19" name="Onekey" queryTableFieldId="19" dataDxfId="181"/>
    <tableColumn id="20" uniqueName="20" name="Date" queryTableFieldId="20" dataDxfId="180"/>
  </tableColumns>
  <tableStyleInfo name="TableStyleLight8 2" showFirstColumn="0" showLastColumn="0" showRowStripes="1" showColumnStripes="0"/>
</table>
</file>

<file path=xl/tables/table5.xml><?xml version="1.0" encoding="utf-8"?>
<table xmlns="http://schemas.openxmlformats.org/spreadsheetml/2006/main" id="12" name="Tableau_Lancer_la_requête_à_partir_de_MS_Access_Database913" displayName="Tableau_Lancer_la_requête_à_partir_de_MS_Access_Database913" ref="B9:U12" tableType="queryTable" totalsRowShown="0">
  <autoFilter ref="B9:U12"/>
  <tableColumns count="20">
    <tableColumn id="1" uniqueName="1" name="Num_Centre" queryTableFieldId="1" dataDxfId="179"/>
    <tableColumn id="2" uniqueName="2" name="Investigateur" queryTableFieldId="2" dataDxfId="178"/>
    <tableColumn id="3" uniqueName="3" name="Num_Patient" queryTableFieldId="3" dataDxfId="177"/>
    <tableColumn id="4" uniqueName="4" name="INCLUSION_Visite" queryTableFieldId="4" dataDxfId="176"/>
    <tableColumn id="5" uniqueName="5" name="INCLUSION_Reception" queryTableFieldId="5" dataDxfId="175"/>
    <tableColumn id="6" uniqueName="6" name="AQINCLUSION_Reception" queryTableFieldId="6" dataDxfId="174"/>
    <tableColumn id="7" uniqueName="7" name="CONTACT_Reception" queryTableFieldId="7" dataDxfId="173"/>
    <tableColumn id="8" uniqueName="8" name="TypeRappel" queryTableFieldId="8" dataDxfId="172"/>
    <tableColumn id="9" uniqueName="9" name="AQ7Theo" queryTableFieldId="9" dataDxfId="171"/>
    <tableColumn id="10" uniqueName="10" name="AQJ7_Reception" queryTableFieldId="10" dataDxfId="170"/>
    <tableColumn id="11" uniqueName="11" name="AQ_M2_Theo" queryTableFieldId="11" dataDxfId="169"/>
    <tableColumn id="12" uniqueName="12" name="AQM2_Reception" queryTableFieldId="12" dataDxfId="168"/>
    <tableColumn id="13" uniqueName="13" name="VP_Theo" queryTableFieldId="13" dataDxfId="167"/>
    <tableColumn id="14" uniqueName="14" name="PRECOCE_Visite" queryTableFieldId="14" dataDxfId="166"/>
    <tableColumn id="15" uniqueName="15" name="PRECOCE_Reception" queryTableFieldId="15" dataDxfId="165"/>
    <tableColumn id="16" uniqueName="16" name="VT_Theo" queryTableFieldId="16" dataDxfId="164"/>
    <tableColumn id="17" uniqueName="17" name="TARDIF_Visite" queryTableFieldId="17" dataDxfId="163"/>
    <tableColumn id="18" uniqueName="18" name="TARDIF_Reception" queryTableFieldId="18" dataDxfId="162"/>
    <tableColumn id="19" uniqueName="19" name="Onekey" queryTableFieldId="19" dataDxfId="161"/>
    <tableColumn id="20" uniqueName="20" name="Date" queryTableFieldId="20" dataDxfId="160"/>
  </tableColumns>
  <tableStyleInfo name="TableStyleLight8 2" showFirstColumn="0" showLastColumn="0" showRowStripes="1" showColumnStripes="0"/>
</table>
</file>

<file path=xl/tables/table6.xml><?xml version="1.0" encoding="utf-8"?>
<table xmlns="http://schemas.openxmlformats.org/spreadsheetml/2006/main" id="3" name="Tableau_Lancer_la_requête_à_partir_de_MS_Access_Database4" displayName="Tableau_Lancer_la_requête_à_partir_de_MS_Access_Database4" ref="B9:U12" tableType="queryTable" totalsRowShown="0">
  <autoFilter ref="B9:U12"/>
  <tableColumns count="20">
    <tableColumn id="1" uniqueName="1" name="Num_Centre" queryTableFieldId="1" dataDxfId="159"/>
    <tableColumn id="2" uniqueName="2" name="Investigateur" queryTableFieldId="2" dataDxfId="158"/>
    <tableColumn id="3" uniqueName="3" name="Num_Patient" queryTableFieldId="3" dataDxfId="157"/>
    <tableColumn id="4" uniqueName="4" name="INCLUSION_Visite" queryTableFieldId="4" dataDxfId="156"/>
    <tableColumn id="5" uniqueName="5" name="INCLUSION_Reception" queryTableFieldId="5" dataDxfId="155"/>
    <tableColumn id="6" uniqueName="6" name="AQINCLUSION_Reception" queryTableFieldId="6" dataDxfId="154"/>
    <tableColumn id="7" uniqueName="7" name="CONTACT_Reception" queryTableFieldId="7" dataDxfId="153"/>
    <tableColumn id="8" uniqueName="8" name="TypeRappel" queryTableFieldId="8" dataDxfId="152"/>
    <tableColumn id="9" uniqueName="9" name="AQ7Theo" queryTableFieldId="9" dataDxfId="151"/>
    <tableColumn id="10" uniqueName="10" name="AQJ7_Reception" queryTableFieldId="10" dataDxfId="150"/>
    <tableColumn id="11" uniqueName="11" name="AQ_M2_Theo" queryTableFieldId="11" dataDxfId="149"/>
    <tableColumn id="12" uniqueName="12" name="AQM2_Reception" queryTableFieldId="12" dataDxfId="148"/>
    <tableColumn id="13" uniqueName="13" name="VP_Theo" queryTableFieldId="13" dataDxfId="147"/>
    <tableColumn id="14" uniqueName="14" name="PRECOCE_Visite" queryTableFieldId="14" dataDxfId="146"/>
    <tableColumn id="15" uniqueName="15" name="PRECOCE_Reception" queryTableFieldId="15" dataDxfId="145"/>
    <tableColumn id="16" uniqueName="16" name="VT_Theo" queryTableFieldId="16" dataDxfId="144"/>
    <tableColumn id="17" uniqueName="17" name="TARDIF_Visite" queryTableFieldId="17" dataDxfId="143"/>
    <tableColumn id="18" uniqueName="18" name="TARDIF_Reception" queryTableFieldId="18" dataDxfId="142"/>
    <tableColumn id="19" uniqueName="19" name="Onekey" queryTableFieldId="19" dataDxfId="141"/>
    <tableColumn id="20" uniqueName="20" name="Date" queryTableFieldId="20" dataDxfId="140"/>
  </tableColumns>
  <tableStyleInfo name="TableStyleLight8 2" showFirstColumn="0" showLastColumn="0" showRowStripes="1" showColumnStripes="0"/>
</table>
</file>

<file path=xl/tables/table7.xml><?xml version="1.0" encoding="utf-8"?>
<table xmlns="http://schemas.openxmlformats.org/spreadsheetml/2006/main" id="4" name="Tableau_Lancer_la_requête_à_partir_de_MS_Access_Database45" displayName="Tableau_Lancer_la_requête_à_partir_de_MS_Access_Database45" ref="B9:U14" tableType="queryTable" totalsRowShown="0">
  <autoFilter ref="B9:U14"/>
  <tableColumns count="20">
    <tableColumn id="1" uniqueName="1" name="Num_Centre" queryTableFieldId="1" dataDxfId="139"/>
    <tableColumn id="2" uniqueName="2" name="Investigateur" queryTableFieldId="2" dataDxfId="138"/>
    <tableColumn id="3" uniqueName="3" name="Num_Patient" queryTableFieldId="3" dataDxfId="137"/>
    <tableColumn id="4" uniqueName="4" name="INCLUSION_Visite" queryTableFieldId="4" dataDxfId="136"/>
    <tableColumn id="5" uniqueName="5" name="INCLUSION_Reception" queryTableFieldId="5" dataDxfId="135"/>
    <tableColumn id="6" uniqueName="6" name="AQINCLUSION_Reception" queryTableFieldId="6" dataDxfId="134"/>
    <tableColumn id="7" uniqueName="7" name="CONTACT_Reception" queryTableFieldId="7" dataDxfId="133"/>
    <tableColumn id="8" uniqueName="8" name="TypeRappel" queryTableFieldId="8" dataDxfId="132"/>
    <tableColumn id="9" uniqueName="9" name="AQ7Theo" queryTableFieldId="9" dataDxfId="131"/>
    <tableColumn id="10" uniqueName="10" name="AQJ7_Reception" queryTableFieldId="10" dataDxfId="130"/>
    <tableColumn id="11" uniqueName="11" name="AQ_M2_Theo" queryTableFieldId="11" dataDxfId="129"/>
    <tableColumn id="12" uniqueName="12" name="AQM2_Reception" queryTableFieldId="12" dataDxfId="128"/>
    <tableColumn id="13" uniqueName="13" name="VP_Theo" queryTableFieldId="13" dataDxfId="127"/>
    <tableColumn id="14" uniqueName="14" name="PRECOCE_Visite" queryTableFieldId="14" dataDxfId="126"/>
    <tableColumn id="15" uniqueName="15" name="PRECOCE_Reception" queryTableFieldId="15" dataDxfId="125"/>
    <tableColumn id="16" uniqueName="16" name="VT_Theo" queryTableFieldId="16" dataDxfId="124"/>
    <tableColumn id="17" uniqueName="17" name="TARDIF_Visite" queryTableFieldId="17" dataDxfId="123"/>
    <tableColumn id="18" uniqueName="18" name="TARDIF_Reception" queryTableFieldId="18" dataDxfId="122"/>
    <tableColumn id="19" uniqueName="19" name="Onekey" queryTableFieldId="19" dataDxfId="121"/>
    <tableColumn id="20" uniqueName="20" name="Date" queryTableFieldId="20" dataDxfId="120"/>
  </tableColumns>
  <tableStyleInfo name="TableStyleLight8 2" showFirstColumn="0" showLastColumn="0" showRowStripes="1" showColumnStripes="0"/>
</table>
</file>

<file path=xl/tables/table8.xml><?xml version="1.0" encoding="utf-8"?>
<table xmlns="http://schemas.openxmlformats.org/spreadsheetml/2006/main" id="5" name="Tableau_Lancer_la_requête_à_partir_de_MS_Access_Database456" displayName="Tableau_Lancer_la_requête_à_partir_de_MS_Access_Database456" ref="B9:U12" tableType="queryTable" totalsRowShown="0">
  <autoFilter ref="B9:U12"/>
  <tableColumns count="20">
    <tableColumn id="1" uniqueName="1" name="Num_Centre" queryTableFieldId="1" dataDxfId="119"/>
    <tableColumn id="2" uniqueName="2" name="Investigateur" queryTableFieldId="2" dataDxfId="118"/>
    <tableColumn id="3" uniqueName="3" name="Num_Patient" queryTableFieldId="3" dataDxfId="117"/>
    <tableColumn id="4" uniqueName="4" name="INCLUSION_Visite" queryTableFieldId="4" dataDxfId="116"/>
    <tableColumn id="5" uniqueName="5" name="INCLUSION_Reception" queryTableFieldId="5" dataDxfId="115"/>
    <tableColumn id="6" uniqueName="6" name="AQINCLUSION_Reception" queryTableFieldId="6" dataDxfId="114"/>
    <tableColumn id="7" uniqueName="7" name="CONTACT_Reception" queryTableFieldId="7" dataDxfId="113"/>
    <tableColumn id="8" uniqueName="8" name="TypeRappel" queryTableFieldId="8" dataDxfId="112"/>
    <tableColumn id="9" uniqueName="9" name="AQ7Theo" queryTableFieldId="9" dataDxfId="111"/>
    <tableColumn id="10" uniqueName="10" name="AQJ7_Reception" queryTableFieldId="10" dataDxfId="110"/>
    <tableColumn id="11" uniqueName="11" name="AQ_M2_Theo" queryTableFieldId="11" dataDxfId="109"/>
    <tableColumn id="12" uniqueName="12" name="AQM2_Reception" queryTableFieldId="12" dataDxfId="108"/>
    <tableColumn id="13" uniqueName="13" name="VP_Theo" queryTableFieldId="13" dataDxfId="107"/>
    <tableColumn id="14" uniqueName="14" name="PRECOCE_Visite" queryTableFieldId="14" dataDxfId="106"/>
    <tableColumn id="15" uniqueName="15" name="PRECOCE_Reception" queryTableFieldId="15" dataDxfId="105"/>
    <tableColumn id="16" uniqueName="16" name="VT_Theo" queryTableFieldId="16" dataDxfId="104"/>
    <tableColumn id="17" uniqueName="17" name="TARDIF_Visite" queryTableFieldId="17" dataDxfId="103"/>
    <tableColumn id="18" uniqueName="18" name="TARDIF_Reception" queryTableFieldId="18" dataDxfId="102"/>
    <tableColumn id="19" uniqueName="19" name="Onekey" queryTableFieldId="19" dataDxfId="101"/>
    <tableColumn id="20" uniqueName="20" name="Date" queryTableFieldId="20" dataDxfId="100"/>
  </tableColumns>
  <tableStyleInfo name="TableStyleLight8 2" showFirstColumn="0" showLastColumn="0" showRowStripes="1" showColumnStripes="0"/>
</table>
</file>

<file path=xl/tables/table9.xml><?xml version="1.0" encoding="utf-8"?>
<table xmlns="http://schemas.openxmlformats.org/spreadsheetml/2006/main" id="6" name="Tableau_Lancer_la_requête_à_partir_de_MS_Access_Database4567" displayName="Tableau_Lancer_la_requête_à_partir_de_MS_Access_Database4567" ref="B9:U12" tableType="queryTable" totalsRowShown="0">
  <autoFilter ref="B9:U12"/>
  <tableColumns count="20">
    <tableColumn id="1" uniqueName="1" name="Num_Centre" queryTableFieldId="1" dataDxfId="99"/>
    <tableColumn id="2" uniqueName="2" name="Investigateur" queryTableFieldId="2" dataDxfId="98"/>
    <tableColumn id="3" uniqueName="3" name="Num_Patient" queryTableFieldId="3" dataDxfId="97"/>
    <tableColumn id="4" uniqueName="4" name="INCLUSION_Visite" queryTableFieldId="4" dataDxfId="96"/>
    <tableColumn id="5" uniqueName="5" name="INCLUSION_Reception" queryTableFieldId="5" dataDxfId="95"/>
    <tableColumn id="6" uniqueName="6" name="AQINCLUSION_Reception" queryTableFieldId="6" dataDxfId="94"/>
    <tableColumn id="7" uniqueName="7" name="CONTACT_Reception" queryTableFieldId="7" dataDxfId="93"/>
    <tableColumn id="8" uniqueName="8" name="TypeRappel" queryTableFieldId="8" dataDxfId="92"/>
    <tableColumn id="9" uniqueName="9" name="AQ7Theo" queryTableFieldId="9" dataDxfId="91"/>
    <tableColumn id="10" uniqueName="10" name="AQJ7_Reception" queryTableFieldId="10" dataDxfId="90"/>
    <tableColumn id="11" uniqueName="11" name="AQ_M2_Theo" queryTableFieldId="11" dataDxfId="89"/>
    <tableColumn id="12" uniqueName="12" name="AQM2_Reception" queryTableFieldId="12" dataDxfId="88"/>
    <tableColumn id="13" uniqueName="13" name="VP_Theo" queryTableFieldId="13" dataDxfId="87"/>
    <tableColumn id="14" uniqueName="14" name="PRECOCE_Visite" queryTableFieldId="14" dataDxfId="86"/>
    <tableColumn id="15" uniqueName="15" name="PRECOCE_Reception" queryTableFieldId="15" dataDxfId="85"/>
    <tableColumn id="16" uniqueName="16" name="VT_Theo" queryTableFieldId="16" dataDxfId="84"/>
    <tableColumn id="17" uniqueName="17" name="TARDIF_Visite" queryTableFieldId="17" dataDxfId="83"/>
    <tableColumn id="18" uniqueName="18" name="TARDIF_Reception" queryTableFieldId="18" dataDxfId="82"/>
    <tableColumn id="19" uniqueName="19" name="Onekey" queryTableFieldId="19" dataDxfId="81"/>
    <tableColumn id="20" uniqueName="20" name="Date" queryTableFieldId="20" dataDxfId="80"/>
  </tableColumns>
  <tableStyleInfo name="TableStyleLight8 2" showFirstColumn="0" showLastColumn="0" showRowStripes="1" showColumnStripes="0"/>
</table>
</file>

<file path=xl/tables/table10.xml><?xml version="1.0" encoding="utf-8"?>
<table xmlns="http://schemas.openxmlformats.org/spreadsheetml/2006/main" id="10" name="Tableau_Lancer_la_requête_à_partir_de_MS_Access_Database456711" displayName="Tableau_Lancer_la_requête_à_partir_de_MS_Access_Database456711" ref="B9:U12" tableType="queryTable" totalsRowShown="0">
  <autoFilter ref="B9:U12"/>
  <tableColumns count="20">
    <tableColumn id="1" uniqueName="1" name="Num_Centre" queryTableFieldId="1" dataDxfId="79"/>
    <tableColumn id="2" uniqueName="2" name="Investigateur" queryTableFieldId="2" dataDxfId="78"/>
    <tableColumn id="3" uniqueName="3" name="Num_Patient" queryTableFieldId="3" dataDxfId="77"/>
    <tableColumn id="4" uniqueName="4" name="INCLUSION_Visite" queryTableFieldId="4" dataDxfId="76"/>
    <tableColumn id="5" uniqueName="5" name="INCLUSION_Reception" queryTableFieldId="5" dataDxfId="75"/>
    <tableColumn id="6" uniqueName="6" name="AQINCLUSION_Reception" queryTableFieldId="6" dataDxfId="74"/>
    <tableColumn id="7" uniqueName="7" name="CONTACT_Reception" queryTableFieldId="7" dataDxfId="73"/>
    <tableColumn id="8" uniqueName="8" name="TypeRappel" queryTableFieldId="8" dataDxfId="72"/>
    <tableColumn id="9" uniqueName="9" name="AQ7Theo" queryTableFieldId="9" dataDxfId="71"/>
    <tableColumn id="10" uniqueName="10" name="AQJ7_Reception" queryTableFieldId="10" dataDxfId="70"/>
    <tableColumn id="11" uniqueName="11" name="AQ_M2_Theo" queryTableFieldId="11" dataDxfId="69"/>
    <tableColumn id="12" uniqueName="12" name="AQM2_Reception" queryTableFieldId="12" dataDxfId="68"/>
    <tableColumn id="13" uniqueName="13" name="VP_Theo" queryTableFieldId="13" dataDxfId="67"/>
    <tableColumn id="14" uniqueName="14" name="PRECOCE_Visite" queryTableFieldId="14" dataDxfId="66"/>
    <tableColumn id="15" uniqueName="15" name="PRECOCE_Reception" queryTableFieldId="15" dataDxfId="65"/>
    <tableColumn id="16" uniqueName="16" name="VT_Theo" queryTableFieldId="16" dataDxfId="64"/>
    <tableColumn id="17" uniqueName="17" name="TARDIF_Visite" queryTableFieldId="17" dataDxfId="63"/>
    <tableColumn id="18" uniqueName="18" name="TARDIF_Reception" queryTableFieldId="18" dataDxfId="62"/>
    <tableColumn id="19" uniqueName="19" name="Onekey" queryTableFieldId="19" dataDxfId="61"/>
    <tableColumn id="20" uniqueName="20" name="Date" queryTableFieldId="20" dataDxfId="60"/>
  </tableColumns>
  <tableStyleInfo name="TableStyleLight8 2" showFirstColumn="0" showLastColumn="0" showRowStripes="1" showColumnStripes="0"/>
</table>
</file>

<file path=xl/tables/table11.xml><?xml version="1.0" encoding="utf-8"?>
<table xmlns="http://schemas.openxmlformats.org/spreadsheetml/2006/main" id="7" name="Tableau_Lancer_la_requête_à_partir_de_MS_Access_Database45678" displayName="Tableau_Lancer_la_requête_à_partir_de_MS_Access_Database45678" ref="B9:U10" tableType="queryTable" totalsRowShown="0">
  <autoFilter ref="B9:U10"/>
  <tableColumns count="20">
    <tableColumn id="1" uniqueName="1" name="Num_Centre" queryTableFieldId="1" dataDxfId="59"/>
    <tableColumn id="2" uniqueName="2" name="Investigateur" queryTableFieldId="2" dataDxfId="58"/>
    <tableColumn id="3" uniqueName="3" name="Num_Patient" queryTableFieldId="3" dataDxfId="57"/>
    <tableColumn id="4" uniqueName="4" name="INCLUSION_Visite" queryTableFieldId="4" dataDxfId="56"/>
    <tableColumn id="5" uniqueName="5" name="INCLUSION_Reception" queryTableFieldId="5" dataDxfId="55"/>
    <tableColumn id="6" uniqueName="6" name="AQINCLUSION_Reception" queryTableFieldId="6" dataDxfId="54"/>
    <tableColumn id="7" uniqueName="7" name="CONTACT_Reception" queryTableFieldId="7" dataDxfId="53"/>
    <tableColumn id="8" uniqueName="8" name="TypeRappel" queryTableFieldId="8" dataDxfId="52"/>
    <tableColumn id="9" uniqueName="9" name="AQ7Theo" queryTableFieldId="9" dataDxfId="51"/>
    <tableColumn id="10" uniqueName="10" name="AQJ7_Reception" queryTableFieldId="10" dataDxfId="50"/>
    <tableColumn id="11" uniqueName="11" name="AQ_M2_Theo" queryTableFieldId="11" dataDxfId="49"/>
    <tableColumn id="12" uniqueName="12" name="AQM2_Reception" queryTableFieldId="12" dataDxfId="48"/>
    <tableColumn id="13" uniqueName="13" name="VP_Theo" queryTableFieldId="13" dataDxfId="47"/>
    <tableColumn id="14" uniqueName="14" name="PRECOCE_Visite" queryTableFieldId="14" dataDxfId="46"/>
    <tableColumn id="15" uniqueName="15" name="PRECOCE_Reception" queryTableFieldId="15" dataDxfId="45"/>
    <tableColumn id="16" uniqueName="16" name="VT_Theo" queryTableFieldId="16" dataDxfId="44"/>
    <tableColumn id="17" uniqueName="17" name="TARDIF_Visite" queryTableFieldId="17" dataDxfId="43"/>
    <tableColumn id="18" uniqueName="18" name="TARDIF_Reception" queryTableFieldId="18" dataDxfId="42"/>
    <tableColumn id="19" uniqueName="19" name="Onekey" queryTableFieldId="19" dataDxfId="41"/>
    <tableColumn id="20" uniqueName="20" name="Date" queryTableFieldId="20" dataDxfId="40"/>
  </tableColumns>
  <tableStyleInfo name="TableStyleLight8 2" showFirstColumn="0" showLastColumn="0" showRowStripes="1" showColumnStripes="0"/>
</table>
</file>

<file path=xl/tables/table12.xml><?xml version="1.0" encoding="utf-8"?>
<table xmlns="http://schemas.openxmlformats.org/spreadsheetml/2006/main" id="11" name="Tableau_Lancer_la_requête_à_partir_de_MS_Access_Database4567812" displayName="Tableau_Lancer_la_requête_à_partir_de_MS_Access_Database4567812" ref="B9:U12" tableType="queryTable" totalsRowShown="0">
  <autoFilter ref="B9:U12"/>
  <tableColumns count="20">
    <tableColumn id="1" uniqueName="1" name="Num_Centre" queryTableFieldId="1" dataDxfId="39"/>
    <tableColumn id="2" uniqueName="2" name="Investigateur" queryTableFieldId="2" dataDxfId="38"/>
    <tableColumn id="3" uniqueName="3" name="Num_Patient" queryTableFieldId="3" dataDxfId="37"/>
    <tableColumn id="4" uniqueName="4" name="INCLUSION_Visite" queryTableFieldId="4" dataDxfId="36"/>
    <tableColumn id="5" uniqueName="5" name="INCLUSION_Reception" queryTableFieldId="5" dataDxfId="35"/>
    <tableColumn id="6" uniqueName="6" name="AQINCLUSION_Reception" queryTableFieldId="6" dataDxfId="34"/>
    <tableColumn id="7" uniqueName="7" name="CONTACT_Reception" queryTableFieldId="7" dataDxfId="33"/>
    <tableColumn id="8" uniqueName="8" name="TypeRappel" queryTableFieldId="8" dataDxfId="32"/>
    <tableColumn id="9" uniqueName="9" name="AQ7Theo" queryTableFieldId="9" dataDxfId="31"/>
    <tableColumn id="10" uniqueName="10" name="AQJ7_Reception" queryTableFieldId="10" dataDxfId="30"/>
    <tableColumn id="11" uniqueName="11" name="AQ_M2_Theo" queryTableFieldId="11" dataDxfId="29"/>
    <tableColumn id="12" uniqueName="12" name="AQM2_Reception" queryTableFieldId="12" dataDxfId="28"/>
    <tableColumn id="13" uniqueName="13" name="VP_Theo" queryTableFieldId="13" dataDxfId="27"/>
    <tableColumn id="14" uniqueName="14" name="PRECOCE_Visite" queryTableFieldId="14" dataDxfId="26"/>
    <tableColumn id="15" uniqueName="15" name="PRECOCE_Reception" queryTableFieldId="15" dataDxfId="25"/>
    <tableColumn id="16" uniqueName="16" name="VT_Theo" queryTableFieldId="16" dataDxfId="24"/>
    <tableColumn id="17" uniqueName="17" name="TARDIF_Visite" queryTableFieldId="17" dataDxfId="23"/>
    <tableColumn id="18" uniqueName="18" name="TARDIF_Reception" queryTableFieldId="18" dataDxfId="22"/>
    <tableColumn id="19" uniqueName="19" name="Onekey" queryTableFieldId="19" dataDxfId="21"/>
    <tableColumn id="20" uniqueName="20" name="Date" queryTableFieldId="20" dataDxfId="20"/>
  </tableColumns>
  <tableStyleInfo name="TableStyleLight8 2" showFirstColumn="0" showLastColumn="0" showRowStripes="1" showColumnStripes="0"/>
</table>
</file>

<file path=xl/tables/table13.xml><?xml version="1.0" encoding="utf-8"?>
<table xmlns="http://schemas.openxmlformats.org/spreadsheetml/2006/main" id="13" name="Tableau_Lancer_la_requête_à_partir_de_MS_Access_Database456781214" displayName="Tableau_Lancer_la_requête_à_partir_de_MS_Access_Database456781214" ref="B9:U12" tableType="queryTable" totalsRowShown="0">
  <autoFilter ref="B9:U12"/>
  <tableColumns count="20">
    <tableColumn id="1" uniqueName="1" name="Num_Centre" queryTableFieldId="1" dataDxfId="19"/>
    <tableColumn id="2" uniqueName="2" name="Investigateur" queryTableFieldId="2" dataDxfId="18"/>
    <tableColumn id="3" uniqueName="3" name="Num_Patient" queryTableFieldId="3" dataDxfId="17"/>
    <tableColumn id="4" uniqueName="4" name="INCLUSION_Visite" queryTableFieldId="4" dataDxfId="16"/>
    <tableColumn id="5" uniqueName="5" name="INCLUSION_Reception" queryTableFieldId="5" dataDxfId="15"/>
    <tableColumn id="6" uniqueName="6" name="AQINCLUSION_Reception" queryTableFieldId="6" dataDxfId="14"/>
    <tableColumn id="7" uniqueName="7" name="CONTACT_Reception" queryTableFieldId="7" dataDxfId="13"/>
    <tableColumn id="8" uniqueName="8" name="TypeRappel" queryTableFieldId="8" dataDxfId="12"/>
    <tableColumn id="9" uniqueName="9" name="AQ7Theo" queryTableFieldId="9" dataDxfId="11"/>
    <tableColumn id="10" uniqueName="10" name="AQJ7_Reception" queryTableFieldId="10" dataDxfId="10"/>
    <tableColumn id="11" uniqueName="11" name="AQ_M2_Theo" queryTableFieldId="11" dataDxfId="9"/>
    <tableColumn id="12" uniqueName="12" name="AQM2_Reception" queryTableFieldId="12" dataDxfId="8"/>
    <tableColumn id="13" uniqueName="13" name="VP_Theo" queryTableFieldId="13" dataDxfId="7"/>
    <tableColumn id="14" uniqueName="14" name="PRECOCE_Visite" queryTableFieldId="14" dataDxfId="6"/>
    <tableColumn id="15" uniqueName="15" name="PRECOCE_Reception" queryTableFieldId="15" dataDxfId="5"/>
    <tableColumn id="16" uniqueName="16" name="VT_Theo" queryTableFieldId="16" dataDxfId="4"/>
    <tableColumn id="17" uniqueName="17" name="TARDIF_Visite" queryTableFieldId="17" dataDxfId="3"/>
    <tableColumn id="18" uniqueName="18" name="TARDIF_Reception" queryTableFieldId="18" dataDxfId="2"/>
    <tableColumn id="19" uniqueName="19" name="Onekey" queryTableFieldId="19" dataDxfId="1"/>
    <tableColumn id="20" uniqueName="20" name="Date" queryTableFieldId="20" dataDxfId="0"/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Q23"/>
  <sheetViews>
    <sheetView tabSelected="1" topLeftCell="C1" workbookViewId="0">
      <selection activeCell="C6" sqref="C6"/>
    </sheetView>
  </sheetViews>
  <sheetFormatPr baseColWidth="10" defaultRowHeight="15"/>
  <cols>
    <col min="1" max="1" width="15" hidden="1" customWidth="1"/>
    <col min="2" max="2" width="21.85546875" hidden="1" customWidth="1"/>
    <col min="3" max="3" width="19" style="19" customWidth="1"/>
    <col min="4" max="4" width="34.42578125" customWidth="1"/>
    <col min="5" max="5" width="18" style="25" customWidth="1"/>
    <col min="6" max="6" width="17.5703125" style="25" customWidth="1"/>
    <col min="7" max="7" width="17.85546875" style="25" customWidth="1"/>
    <col min="8" max="8" width="19.28515625" style="25" customWidth="1"/>
    <col min="9" max="9" width="17.28515625" style="19" customWidth="1"/>
    <col min="10" max="10" width="58.85546875" customWidth="1"/>
    <col min="11" max="11" width="13.7109375" style="12" hidden="1" customWidth="1"/>
  </cols>
  <sheetData>
    <row r="1" spans="1:17" s="3" customFormat="1" ht="27">
      <c r="C1" s="20" t="s">
        <v>0</v>
      </c>
      <c r="D1" s="1"/>
      <c r="E1" s="24"/>
      <c r="F1" s="22"/>
      <c r="G1" s="22"/>
      <c r="H1" s="22"/>
      <c r="I1" s="17"/>
      <c r="K1" s="2"/>
    </row>
    <row r="2" spans="1:17" s="3" customFormat="1" ht="15.75">
      <c r="C2" s="17"/>
      <c r="D2" s="4"/>
      <c r="E2" s="11" t="s">
        <v>13</v>
      </c>
      <c r="F2" s="30" t="str">
        <f>$A$20</f>
        <v>DE0303</v>
      </c>
      <c r="G2" s="116" t="str">
        <f>$B$20</f>
        <v>QUEVA Frédérique</v>
      </c>
      <c r="H2" s="116"/>
      <c r="I2" s="116"/>
      <c r="K2" s="13"/>
      <c r="L2" s="14"/>
      <c r="M2" s="14"/>
      <c r="N2" s="14"/>
      <c r="O2" s="5"/>
    </row>
    <row r="3" spans="1:17" s="3" customFormat="1">
      <c r="C3" s="21" t="s">
        <v>1</v>
      </c>
      <c r="D3" s="6">
        <f>$K$20</f>
        <v>42306</v>
      </c>
      <c r="E3" s="22"/>
      <c r="F3" s="22"/>
      <c r="G3" s="22"/>
      <c r="H3" s="22"/>
      <c r="I3" s="17"/>
      <c r="K3" s="2"/>
    </row>
    <row r="4" spans="1:17" s="3" customFormat="1">
      <c r="C4" s="17"/>
      <c r="D4" s="4"/>
      <c r="E4" s="22"/>
      <c r="F4" s="22"/>
      <c r="G4" s="22"/>
      <c r="H4" s="22"/>
      <c r="I4" s="17"/>
      <c r="K4" s="2"/>
    </row>
    <row r="5" spans="1:17" s="3" customFormat="1">
      <c r="C5" s="18"/>
      <c r="D5" s="8"/>
      <c r="E5" s="23"/>
      <c r="F5" s="23"/>
      <c r="G5" s="23"/>
      <c r="H5" s="23"/>
      <c r="I5" s="18"/>
      <c r="J5" s="7"/>
      <c r="K5" s="9"/>
      <c r="L5" s="7"/>
      <c r="M5" s="7"/>
      <c r="N5" s="7"/>
      <c r="O5" s="7"/>
      <c r="P5" s="7"/>
      <c r="Q5" s="7"/>
    </row>
    <row r="6" spans="1:17">
      <c r="C6" s="27"/>
      <c r="D6" s="28"/>
      <c r="E6" s="29"/>
      <c r="F6" s="29"/>
      <c r="G6" s="29"/>
      <c r="H6" s="29"/>
      <c r="I6" s="27"/>
      <c r="J6" s="28"/>
    </row>
    <row r="7" spans="1:17" s="15" customFormat="1" ht="53.25" customHeight="1">
      <c r="A7" s="15" t="s">
        <v>2</v>
      </c>
      <c r="B7" s="15" t="s">
        <v>3</v>
      </c>
      <c r="C7" s="15" t="s">
        <v>12</v>
      </c>
      <c r="D7" s="15" t="s">
        <v>4</v>
      </c>
      <c r="E7" s="16" t="s">
        <v>5</v>
      </c>
      <c r="F7" s="16" t="s">
        <v>6</v>
      </c>
      <c r="G7" s="16" t="s">
        <v>7</v>
      </c>
      <c r="H7" s="16" t="s">
        <v>8</v>
      </c>
      <c r="I7" s="15" t="s">
        <v>9</v>
      </c>
      <c r="J7" s="15" t="s">
        <v>10</v>
      </c>
      <c r="K7" s="16" t="s">
        <v>11</v>
      </c>
      <c r="L7" s="15" t="s">
        <v>97</v>
      </c>
    </row>
    <row r="8" spans="1:17" s="81" customFormat="1">
      <c r="A8" s="81" t="s">
        <v>59</v>
      </c>
      <c r="B8" s="81" t="s">
        <v>60</v>
      </c>
      <c r="C8" s="82" t="s">
        <v>61</v>
      </c>
      <c r="D8" s="83" t="s">
        <v>62</v>
      </c>
      <c r="E8" s="16">
        <v>41725</v>
      </c>
      <c r="F8" s="16">
        <v>41771</v>
      </c>
      <c r="G8" s="16">
        <v>41766</v>
      </c>
      <c r="H8" s="16"/>
      <c r="I8" s="15">
        <v>3</v>
      </c>
      <c r="J8" s="83"/>
      <c r="K8" s="84">
        <v>42306</v>
      </c>
    </row>
    <row r="9" spans="1:17" s="81" customFormat="1" ht="30">
      <c r="A9" s="81" t="s">
        <v>59</v>
      </c>
      <c r="B9" s="81" t="s">
        <v>60</v>
      </c>
      <c r="C9" s="82" t="s">
        <v>76</v>
      </c>
      <c r="D9" s="83" t="s">
        <v>75</v>
      </c>
      <c r="E9" s="16">
        <v>41775</v>
      </c>
      <c r="F9" s="16">
        <v>41806</v>
      </c>
      <c r="G9" s="16">
        <v>41803</v>
      </c>
      <c r="H9" s="16"/>
      <c r="I9" s="15">
        <v>5</v>
      </c>
      <c r="J9" s="83" t="s">
        <v>99</v>
      </c>
      <c r="K9" s="84">
        <v>42306</v>
      </c>
    </row>
    <row r="10" spans="1:17" s="81" customFormat="1">
      <c r="A10" s="81" t="s">
        <v>59</v>
      </c>
      <c r="B10" s="81" t="s">
        <v>60</v>
      </c>
      <c r="C10" s="82" t="s">
        <v>74</v>
      </c>
      <c r="D10" s="83" t="s">
        <v>73</v>
      </c>
      <c r="E10" s="16">
        <v>41774</v>
      </c>
      <c r="F10" s="16">
        <v>41787</v>
      </c>
      <c r="G10" s="16">
        <v>41785</v>
      </c>
      <c r="H10" s="16"/>
      <c r="I10" s="15">
        <v>2</v>
      </c>
      <c r="J10" s="83" t="s">
        <v>78</v>
      </c>
      <c r="K10" s="84">
        <v>42306</v>
      </c>
    </row>
    <row r="11" spans="1:17" s="81" customFormat="1">
      <c r="A11" s="81" t="s">
        <v>59</v>
      </c>
      <c r="B11" s="81" t="s">
        <v>60</v>
      </c>
      <c r="C11" s="82" t="s">
        <v>91</v>
      </c>
      <c r="D11" s="83" t="s">
        <v>100</v>
      </c>
      <c r="E11" s="16">
        <v>41926</v>
      </c>
      <c r="F11" s="16">
        <v>41982</v>
      </c>
      <c r="G11" s="16">
        <v>41978</v>
      </c>
      <c r="H11" s="16"/>
      <c r="I11" s="15">
        <v>3</v>
      </c>
      <c r="J11" s="83"/>
      <c r="K11" s="84">
        <v>42306</v>
      </c>
    </row>
    <row r="12" spans="1:17" s="81" customFormat="1">
      <c r="A12" s="81" t="s">
        <v>59</v>
      </c>
      <c r="B12" s="81" t="s">
        <v>60</v>
      </c>
      <c r="C12" s="82" t="s">
        <v>63</v>
      </c>
      <c r="D12" s="83" t="s">
        <v>64</v>
      </c>
      <c r="E12" s="16">
        <v>41708</v>
      </c>
      <c r="F12" s="16">
        <v>41757</v>
      </c>
      <c r="G12" s="16">
        <v>41754</v>
      </c>
      <c r="H12" s="16"/>
      <c r="I12" s="15">
        <v>3</v>
      </c>
      <c r="J12" s="83"/>
      <c r="K12" s="84">
        <v>42306</v>
      </c>
    </row>
    <row r="13" spans="1:17" s="109" customFormat="1" ht="30">
      <c r="A13" s="109" t="s">
        <v>59</v>
      </c>
      <c r="B13" s="109" t="s">
        <v>60</v>
      </c>
      <c r="C13" s="110" t="s">
        <v>65</v>
      </c>
      <c r="D13" s="111" t="s">
        <v>66</v>
      </c>
      <c r="E13" s="112">
        <v>41719</v>
      </c>
      <c r="F13" s="112">
        <v>41757</v>
      </c>
      <c r="G13" s="112">
        <v>41753</v>
      </c>
      <c r="H13" s="112"/>
      <c r="I13" s="113">
        <v>4</v>
      </c>
      <c r="J13" s="111" t="s">
        <v>77</v>
      </c>
      <c r="K13" s="114">
        <v>42306</v>
      </c>
      <c r="L13" s="115"/>
    </row>
    <row r="14" spans="1:17" s="81" customFormat="1">
      <c r="A14" s="81" t="s">
        <v>59</v>
      </c>
      <c r="B14" s="81" t="s">
        <v>60</v>
      </c>
      <c r="C14" s="82" t="s">
        <v>94</v>
      </c>
      <c r="D14" s="83" t="s">
        <v>93</v>
      </c>
      <c r="E14" s="16">
        <v>41934</v>
      </c>
      <c r="F14" s="16">
        <v>41964</v>
      </c>
      <c r="G14" s="16">
        <v>41962</v>
      </c>
      <c r="H14" s="16"/>
      <c r="I14" s="15">
        <v>2</v>
      </c>
      <c r="J14" s="83"/>
      <c r="K14" s="84">
        <v>42306</v>
      </c>
    </row>
    <row r="15" spans="1:17" s="81" customFormat="1" ht="30">
      <c r="A15" s="81" t="s">
        <v>59</v>
      </c>
      <c r="B15" s="81" t="s">
        <v>60</v>
      </c>
      <c r="C15" s="82" t="s">
        <v>67</v>
      </c>
      <c r="D15" s="83" t="s">
        <v>68</v>
      </c>
      <c r="E15" s="16">
        <v>41710</v>
      </c>
      <c r="F15" s="16">
        <v>41753</v>
      </c>
      <c r="G15" s="16">
        <v>41746</v>
      </c>
      <c r="H15" s="16">
        <v>41974</v>
      </c>
      <c r="I15" s="15"/>
      <c r="J15" s="83" t="s">
        <v>81</v>
      </c>
      <c r="K15" s="84">
        <v>42306</v>
      </c>
    </row>
    <row r="16" spans="1:17" ht="60">
      <c r="A16" s="81" t="s">
        <v>59</v>
      </c>
      <c r="B16" s="81" t="s">
        <v>60</v>
      </c>
      <c r="C16" s="82" t="s">
        <v>69</v>
      </c>
      <c r="D16" s="83" t="s">
        <v>70</v>
      </c>
      <c r="E16" s="16">
        <v>41711</v>
      </c>
      <c r="F16" s="16">
        <v>41753</v>
      </c>
      <c r="G16" s="16">
        <v>41751</v>
      </c>
      <c r="H16" s="16"/>
      <c r="I16" s="15">
        <v>1</v>
      </c>
      <c r="J16" s="83" t="s">
        <v>86</v>
      </c>
      <c r="K16" s="84">
        <v>42306</v>
      </c>
      <c r="L16" s="81"/>
    </row>
    <row r="17" spans="1:12">
      <c r="A17" s="81" t="s">
        <v>59</v>
      </c>
      <c r="B17" s="81" t="s">
        <v>60</v>
      </c>
      <c r="C17" s="82" t="s">
        <v>79</v>
      </c>
      <c r="D17" s="83" t="s">
        <v>80</v>
      </c>
      <c r="E17" s="16">
        <v>41814</v>
      </c>
      <c r="F17" s="16">
        <v>41905</v>
      </c>
      <c r="G17" s="16">
        <v>41904</v>
      </c>
      <c r="H17" s="16"/>
      <c r="I17" s="15">
        <v>1</v>
      </c>
      <c r="J17" s="83"/>
      <c r="K17" s="84">
        <v>42306</v>
      </c>
      <c r="L17" s="81"/>
    </row>
    <row r="18" spans="1:12">
      <c r="A18" s="81" t="s">
        <v>59</v>
      </c>
      <c r="B18" s="81" t="s">
        <v>60</v>
      </c>
      <c r="C18" s="82" t="s">
        <v>71</v>
      </c>
      <c r="D18" s="83" t="s">
        <v>72</v>
      </c>
      <c r="E18" s="16">
        <v>41698</v>
      </c>
      <c r="F18" s="16"/>
      <c r="G18" s="16"/>
      <c r="H18" s="16">
        <v>41752</v>
      </c>
      <c r="I18" s="15"/>
      <c r="J18" s="83"/>
      <c r="K18" s="84">
        <v>42306</v>
      </c>
      <c r="L18" s="81"/>
    </row>
    <row r="19" spans="1:12">
      <c r="A19" s="81" t="s">
        <v>59</v>
      </c>
      <c r="B19" s="81" t="s">
        <v>60</v>
      </c>
      <c r="C19" s="82" t="s">
        <v>101</v>
      </c>
      <c r="D19" s="106" t="s">
        <v>95</v>
      </c>
      <c r="E19" s="16">
        <v>41978</v>
      </c>
      <c r="F19" s="16"/>
      <c r="G19" s="16"/>
      <c r="H19" s="16"/>
      <c r="I19" s="15"/>
      <c r="J19" s="106"/>
      <c r="K19" s="84">
        <v>42306</v>
      </c>
      <c r="L19" s="81"/>
    </row>
    <row r="20" spans="1:12">
      <c r="A20" s="81" t="s">
        <v>59</v>
      </c>
      <c r="B20" s="81" t="s">
        <v>60</v>
      </c>
      <c r="C20" s="82" t="s">
        <v>89</v>
      </c>
      <c r="D20" s="106" t="s">
        <v>90</v>
      </c>
      <c r="E20" s="16">
        <v>41925</v>
      </c>
      <c r="F20" s="16">
        <v>41974</v>
      </c>
      <c r="G20" s="16">
        <v>41970</v>
      </c>
      <c r="H20" s="16"/>
      <c r="I20" s="15">
        <v>2</v>
      </c>
      <c r="J20" s="106"/>
      <c r="K20" s="84">
        <v>42306</v>
      </c>
      <c r="L20" s="81"/>
    </row>
    <row r="21" spans="1:12">
      <c r="A21" s="28"/>
      <c r="B21" s="28"/>
      <c r="C21" s="27" t="s">
        <v>15</v>
      </c>
      <c r="D21" s="33">
        <f>SUBTOTAL(3,D8:D20)</f>
        <v>13</v>
      </c>
      <c r="E21" s="33">
        <f>SUBTOTAL(3,[Date de réception convention financière])</f>
        <v>13</v>
      </c>
      <c r="F21" s="33">
        <f>SUBTOTAL(3,[Date de réception AR kit])</f>
        <v>11</v>
      </c>
      <c r="G21" s="33">
        <f>SUBTOTAL(3,[Date de MEP])</f>
        <v>11</v>
      </c>
      <c r="H21" s="85">
        <f>SUBTOTAL(3,[Desistement])</f>
        <v>2</v>
      </c>
      <c r="I21" s="27">
        <f>SUBTOTAL(109,I8:I20)</f>
        <v>26</v>
      </c>
      <c r="J21" s="31"/>
      <c r="K21" s="32"/>
    </row>
    <row r="22" spans="1:12">
      <c r="D22" s="10"/>
      <c r="J22" s="10"/>
    </row>
    <row r="23" spans="1:12">
      <c r="C23" s="26" t="s">
        <v>14</v>
      </c>
    </row>
  </sheetData>
  <mergeCells count="1">
    <mergeCell ref="G2:I2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7" t="s">
        <v>16</v>
      </c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9"/>
      <c r="M3" s="119"/>
      <c r="N3" s="119"/>
      <c r="O3" s="5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2" t="s">
        <v>58</v>
      </c>
      <c r="E4" s="132"/>
      <c r="F4" s="53">
        <f>$U$12</f>
        <v>42306</v>
      </c>
      <c r="G4" s="50"/>
      <c r="H4" s="50"/>
      <c r="I4" s="34"/>
      <c r="J4" s="50"/>
      <c r="K4" s="50"/>
      <c r="L4" s="57" t="s">
        <v>17</v>
      </c>
      <c r="M4" s="63">
        <f>$B$12</f>
        <v>164</v>
      </c>
      <c r="N4" s="120" t="str">
        <f>$C$12</f>
        <v>AUCHE BESSAGUET Marilyne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3" t="s">
        <v>19</v>
      </c>
      <c r="F7" s="124"/>
      <c r="G7" s="124"/>
      <c r="H7" s="124"/>
      <c r="I7" s="124"/>
      <c r="J7" s="125" t="s">
        <v>20</v>
      </c>
      <c r="K7" s="126"/>
      <c r="L7" s="127" t="s">
        <v>21</v>
      </c>
      <c r="M7" s="127"/>
      <c r="N7" s="128" t="s">
        <v>22</v>
      </c>
      <c r="O7" s="129"/>
      <c r="P7" s="130"/>
      <c r="Q7" s="131" t="s">
        <v>23</v>
      </c>
      <c r="R7" s="129"/>
      <c r="S7" s="13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0" t="s">
        <v>32</v>
      </c>
      <c r="M8" s="60" t="s">
        <v>31</v>
      </c>
      <c r="N8" s="61" t="s">
        <v>33</v>
      </c>
      <c r="O8" s="61" t="s">
        <v>34</v>
      </c>
      <c r="P8" s="6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164</v>
      </c>
      <c r="C10" s="42" t="s">
        <v>62</v>
      </c>
      <c r="D10" s="19">
        <v>1</v>
      </c>
      <c r="E10" s="25">
        <v>41771</v>
      </c>
      <c r="F10" s="25">
        <v>41773</v>
      </c>
      <c r="G10" s="25">
        <v>41773</v>
      </c>
      <c r="H10" s="25">
        <v>41773</v>
      </c>
      <c r="I10" s="74" t="s">
        <v>82</v>
      </c>
      <c r="J10" s="25">
        <v>41783</v>
      </c>
      <c r="K10" s="25">
        <v>41781</v>
      </c>
      <c r="L10" s="25">
        <v>41842</v>
      </c>
      <c r="M10" s="25">
        <v>41836</v>
      </c>
      <c r="N10" s="25">
        <v>41891</v>
      </c>
      <c r="O10" s="25">
        <v>41820</v>
      </c>
      <c r="P10" s="25">
        <v>41822</v>
      </c>
      <c r="Q10" s="25">
        <v>42136</v>
      </c>
      <c r="R10" s="25">
        <v>42024</v>
      </c>
      <c r="S10" s="25">
        <v>42026</v>
      </c>
      <c r="T10" s="42" t="s">
        <v>61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38.25">
      <c r="B11" s="79">
        <v>164</v>
      </c>
      <c r="C11" s="80" t="s">
        <v>62</v>
      </c>
      <c r="D11" s="19">
        <v>2</v>
      </c>
      <c r="E11" s="25">
        <v>41782</v>
      </c>
      <c r="F11" s="25">
        <v>41785</v>
      </c>
      <c r="G11" s="25">
        <v>41785</v>
      </c>
      <c r="H11" s="25">
        <v>41785</v>
      </c>
      <c r="I11" s="74" t="s">
        <v>83</v>
      </c>
      <c r="J11" s="25">
        <v>41794</v>
      </c>
      <c r="K11" s="25">
        <v>41820</v>
      </c>
      <c r="L11" s="25">
        <v>41853</v>
      </c>
      <c r="M11" s="25">
        <v>41865</v>
      </c>
      <c r="N11" s="25">
        <v>41902</v>
      </c>
      <c r="O11" s="25">
        <v>41852</v>
      </c>
      <c r="P11" s="25">
        <v>41855</v>
      </c>
      <c r="Q11" s="25">
        <v>42147</v>
      </c>
      <c r="R11" s="25">
        <v>41978</v>
      </c>
      <c r="S11" s="25">
        <v>42026</v>
      </c>
      <c r="T11" s="80" t="s">
        <v>61</v>
      </c>
      <c r="U11" s="12">
        <v>42306</v>
      </c>
    </row>
    <row r="12" spans="2:48" ht="38.25">
      <c r="B12" s="79">
        <v>164</v>
      </c>
      <c r="C12" s="80" t="s">
        <v>62</v>
      </c>
      <c r="D12" s="19">
        <v>3</v>
      </c>
      <c r="E12" s="25">
        <v>41990</v>
      </c>
      <c r="F12" s="25">
        <v>41995</v>
      </c>
      <c r="H12" s="25">
        <v>42017</v>
      </c>
      <c r="I12" s="74" t="s">
        <v>98</v>
      </c>
      <c r="J12" s="25">
        <v>42002</v>
      </c>
      <c r="K12" s="25">
        <v>42017</v>
      </c>
      <c r="L12" s="25">
        <v>42061</v>
      </c>
      <c r="M12" s="25">
        <v>42075</v>
      </c>
      <c r="N12" s="25">
        <v>42110</v>
      </c>
      <c r="Q12" s="25">
        <v>42355</v>
      </c>
      <c r="T12" s="80" t="s">
        <v>61</v>
      </c>
      <c r="U12" s="12">
        <v>42306</v>
      </c>
    </row>
  </sheetData>
  <mergeCells count="10">
    <mergeCell ref="G2:S2"/>
    <mergeCell ref="L3:N3"/>
    <mergeCell ref="N4:R4"/>
    <mergeCell ref="D6:S6"/>
    <mergeCell ref="E7:I7"/>
    <mergeCell ref="J7:K7"/>
    <mergeCell ref="L7:M7"/>
    <mergeCell ref="N7:P7"/>
    <mergeCell ref="Q7:S7"/>
    <mergeCell ref="D4:E4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B1:AV14"/>
  <sheetViews>
    <sheetView workbookViewId="0">
      <selection activeCell="D7" sqref="D7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7" t="s">
        <v>16</v>
      </c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9"/>
      <c r="M3" s="119"/>
      <c r="N3" s="119"/>
      <c r="O3" s="75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2" t="s">
        <v>58</v>
      </c>
      <c r="E4" s="132"/>
      <c r="F4" s="53">
        <f>$U$14</f>
        <v>42306</v>
      </c>
      <c r="G4" s="50"/>
      <c r="H4" s="50"/>
      <c r="I4" s="34"/>
      <c r="J4" s="50"/>
      <c r="K4" s="50"/>
      <c r="L4" s="76" t="s">
        <v>17</v>
      </c>
      <c r="M4" s="63">
        <f>$B$14</f>
        <v>163</v>
      </c>
      <c r="N4" s="120" t="str">
        <f>$C$14</f>
        <v>BORIAUD Edith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3" t="s">
        <v>19</v>
      </c>
      <c r="F7" s="124"/>
      <c r="G7" s="124"/>
      <c r="H7" s="124"/>
      <c r="I7" s="124"/>
      <c r="J7" s="125" t="s">
        <v>20</v>
      </c>
      <c r="K7" s="126"/>
      <c r="L7" s="127" t="s">
        <v>21</v>
      </c>
      <c r="M7" s="127"/>
      <c r="N7" s="128" t="s">
        <v>22</v>
      </c>
      <c r="O7" s="129"/>
      <c r="P7" s="130"/>
      <c r="Q7" s="131" t="s">
        <v>23</v>
      </c>
      <c r="R7" s="129"/>
      <c r="S7" s="13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8" t="s">
        <v>32</v>
      </c>
      <c r="M8" s="78" t="s">
        <v>31</v>
      </c>
      <c r="N8" s="77" t="s">
        <v>33</v>
      </c>
      <c r="O8" s="77" t="s">
        <v>34</v>
      </c>
      <c r="P8" s="77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163</v>
      </c>
      <c r="C10" s="42" t="s">
        <v>75</v>
      </c>
      <c r="D10" s="19">
        <v>1</v>
      </c>
      <c r="E10" s="25">
        <v>41822</v>
      </c>
      <c r="F10" s="25">
        <v>41827</v>
      </c>
      <c r="G10" s="25">
        <v>41827</v>
      </c>
      <c r="H10" s="25">
        <v>41824</v>
      </c>
      <c r="I10" s="74" t="s">
        <v>84</v>
      </c>
      <c r="J10" s="25">
        <v>41834</v>
      </c>
      <c r="K10" s="25">
        <v>41835</v>
      </c>
      <c r="L10" s="25">
        <v>41893</v>
      </c>
      <c r="M10" s="25">
        <v>41890</v>
      </c>
      <c r="N10" s="25">
        <v>41942</v>
      </c>
      <c r="O10" s="25">
        <v>41887</v>
      </c>
      <c r="P10" s="25">
        <v>41891</v>
      </c>
      <c r="Q10" s="25">
        <v>42187</v>
      </c>
      <c r="R10" s="25"/>
      <c r="S10" s="25"/>
      <c r="T10" s="42" t="s">
        <v>76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86">
        <v>163</v>
      </c>
      <c r="C11" s="87" t="s">
        <v>75</v>
      </c>
      <c r="D11" s="19">
        <v>2</v>
      </c>
      <c r="E11" s="25">
        <v>41894</v>
      </c>
      <c r="F11" s="25">
        <v>41897</v>
      </c>
      <c r="G11" s="25">
        <v>41897</v>
      </c>
      <c r="H11" s="25">
        <v>41897</v>
      </c>
      <c r="I11" s="74" t="s">
        <v>84</v>
      </c>
      <c r="J11" s="25">
        <v>41906</v>
      </c>
      <c r="K11" s="25">
        <v>41905</v>
      </c>
      <c r="L11" s="25">
        <v>41965</v>
      </c>
      <c r="N11" s="25">
        <v>42014</v>
      </c>
      <c r="O11" s="25">
        <v>41957</v>
      </c>
      <c r="P11" s="25">
        <v>41960</v>
      </c>
      <c r="Q11" s="25">
        <v>42259</v>
      </c>
      <c r="T11" s="87" t="s">
        <v>76</v>
      </c>
      <c r="U11" s="12">
        <v>42306</v>
      </c>
    </row>
    <row r="12" spans="2:48" ht="25.5">
      <c r="B12" s="86">
        <v>163</v>
      </c>
      <c r="C12" s="87" t="s">
        <v>75</v>
      </c>
      <c r="D12" s="19">
        <v>3</v>
      </c>
      <c r="E12" s="25">
        <v>41904</v>
      </c>
      <c r="F12" s="25">
        <v>41906</v>
      </c>
      <c r="G12" s="25">
        <v>41906</v>
      </c>
      <c r="H12" s="25">
        <v>41906</v>
      </c>
      <c r="I12" s="74" t="s">
        <v>88</v>
      </c>
      <c r="J12" s="25">
        <v>41916</v>
      </c>
      <c r="K12" s="25">
        <v>41919</v>
      </c>
      <c r="L12" s="25">
        <v>41975</v>
      </c>
      <c r="N12" s="25">
        <v>42024</v>
      </c>
      <c r="O12" s="25">
        <v>41968</v>
      </c>
      <c r="P12" s="25">
        <v>41970</v>
      </c>
      <c r="Q12" s="25">
        <v>42269</v>
      </c>
      <c r="R12" s="25">
        <v>42059</v>
      </c>
      <c r="S12" s="25">
        <v>42065</v>
      </c>
      <c r="T12" s="87" t="s">
        <v>76</v>
      </c>
      <c r="U12" s="12">
        <v>42306</v>
      </c>
    </row>
    <row r="13" spans="2:48" ht="25.5">
      <c r="B13" s="107">
        <v>163</v>
      </c>
      <c r="C13" s="108" t="s">
        <v>75</v>
      </c>
      <c r="D13" s="19">
        <v>4</v>
      </c>
      <c r="E13" s="25">
        <v>41981</v>
      </c>
      <c r="F13" s="25">
        <v>41983</v>
      </c>
      <c r="G13" s="25">
        <v>41983</v>
      </c>
      <c r="H13" s="25">
        <v>41983</v>
      </c>
      <c r="I13" s="74" t="s">
        <v>84</v>
      </c>
      <c r="J13" s="25">
        <v>41993</v>
      </c>
      <c r="K13" s="25">
        <v>41995</v>
      </c>
      <c r="L13" s="25">
        <v>42052</v>
      </c>
      <c r="M13" s="25">
        <v>42053</v>
      </c>
      <c r="N13" s="25">
        <v>42101</v>
      </c>
      <c r="O13" s="25">
        <v>42037</v>
      </c>
      <c r="P13" s="25">
        <v>42040</v>
      </c>
      <c r="Q13" s="25">
        <v>42346</v>
      </c>
      <c r="R13" s="25">
        <v>42142</v>
      </c>
      <c r="S13" s="25">
        <v>42143</v>
      </c>
      <c r="T13" s="108" t="s">
        <v>76</v>
      </c>
      <c r="U13" s="12">
        <v>42306</v>
      </c>
    </row>
    <row r="14" spans="2:48" ht="25.5">
      <c r="B14" s="107">
        <v>163</v>
      </c>
      <c r="C14" s="108" t="s">
        <v>75</v>
      </c>
      <c r="D14" s="19">
        <v>5</v>
      </c>
      <c r="E14" s="25">
        <v>41982</v>
      </c>
      <c r="F14" s="25">
        <v>41984</v>
      </c>
      <c r="H14" s="25">
        <v>41984</v>
      </c>
      <c r="I14" s="74" t="s">
        <v>84</v>
      </c>
      <c r="J14" s="25">
        <v>41994</v>
      </c>
      <c r="K14" s="25">
        <v>41991</v>
      </c>
      <c r="L14" s="25">
        <v>42053</v>
      </c>
      <c r="M14" s="25">
        <v>42054</v>
      </c>
      <c r="N14" s="25">
        <v>42102</v>
      </c>
      <c r="O14" s="25">
        <v>42045</v>
      </c>
      <c r="P14" s="25">
        <v>42046</v>
      </c>
      <c r="Q14" s="25">
        <v>42347</v>
      </c>
      <c r="R14" s="25">
        <v>42142</v>
      </c>
      <c r="S14" s="25">
        <v>42143</v>
      </c>
      <c r="T14" s="108" t="s">
        <v>76</v>
      </c>
      <c r="U14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/>
  <dimension ref="B1:AV12"/>
  <sheetViews>
    <sheetView workbookViewId="0">
      <selection activeCell="D7" sqref="D7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7" t="s">
        <v>16</v>
      </c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9"/>
      <c r="M3" s="119"/>
      <c r="N3" s="119"/>
      <c r="O3" s="68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2" t="s">
        <v>58</v>
      </c>
      <c r="E4" s="132"/>
      <c r="F4" s="53">
        <f>$U$12</f>
        <v>42306</v>
      </c>
      <c r="G4" s="50"/>
      <c r="H4" s="50"/>
      <c r="I4" s="34"/>
      <c r="J4" s="50"/>
      <c r="K4" s="50"/>
      <c r="L4" s="69" t="s">
        <v>17</v>
      </c>
      <c r="M4" s="63">
        <f>$B$12</f>
        <v>294</v>
      </c>
      <c r="N4" s="120" t="str">
        <f>$C$12</f>
        <v>BOUILLARD Catherine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3" t="s">
        <v>19</v>
      </c>
      <c r="F7" s="124"/>
      <c r="G7" s="124"/>
      <c r="H7" s="124"/>
      <c r="I7" s="124"/>
      <c r="J7" s="125" t="s">
        <v>20</v>
      </c>
      <c r="K7" s="126"/>
      <c r="L7" s="127" t="s">
        <v>21</v>
      </c>
      <c r="M7" s="127"/>
      <c r="N7" s="128" t="s">
        <v>22</v>
      </c>
      <c r="O7" s="129"/>
      <c r="P7" s="130"/>
      <c r="Q7" s="131" t="s">
        <v>23</v>
      </c>
      <c r="R7" s="129"/>
      <c r="S7" s="13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1" t="s">
        <v>32</v>
      </c>
      <c r="M8" s="71" t="s">
        <v>31</v>
      </c>
      <c r="N8" s="70" t="s">
        <v>33</v>
      </c>
      <c r="O8" s="70" t="s">
        <v>34</v>
      </c>
      <c r="P8" s="70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294</v>
      </c>
      <c r="C10" s="42" t="s">
        <v>73</v>
      </c>
      <c r="D10" s="19">
        <v>1</v>
      </c>
      <c r="E10" s="25">
        <v>41813</v>
      </c>
      <c r="F10" s="25">
        <v>41814</v>
      </c>
      <c r="G10" s="25">
        <v>41815</v>
      </c>
      <c r="H10" s="25">
        <v>41815</v>
      </c>
      <c r="I10" s="74" t="s">
        <v>87</v>
      </c>
      <c r="J10" s="25">
        <v>41825</v>
      </c>
      <c r="K10" s="25">
        <v>41822</v>
      </c>
      <c r="L10" s="25">
        <v>41884</v>
      </c>
      <c r="M10" s="25">
        <v>42033</v>
      </c>
      <c r="N10" s="25">
        <v>41933</v>
      </c>
      <c r="O10" s="25">
        <v>41820</v>
      </c>
      <c r="P10" s="25">
        <v>41822</v>
      </c>
      <c r="Q10" s="25">
        <v>42178</v>
      </c>
      <c r="R10" s="25">
        <v>41961</v>
      </c>
      <c r="S10" s="25">
        <v>41962</v>
      </c>
      <c r="T10" s="42" t="s">
        <v>74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9">
        <v>294</v>
      </c>
      <c r="C11" s="80" t="s">
        <v>73</v>
      </c>
      <c r="D11" s="19">
        <v>2</v>
      </c>
      <c r="E11" s="25">
        <v>41883</v>
      </c>
      <c r="F11" s="25">
        <v>41885</v>
      </c>
      <c r="H11" s="25">
        <v>41890</v>
      </c>
      <c r="I11" s="74" t="s">
        <v>87</v>
      </c>
      <c r="J11" s="25">
        <v>41895</v>
      </c>
      <c r="L11" s="25">
        <v>41954</v>
      </c>
      <c r="N11" s="25">
        <v>42003</v>
      </c>
      <c r="Q11" s="25">
        <v>42248</v>
      </c>
      <c r="T11" s="80" t="s">
        <v>74</v>
      </c>
      <c r="U11" s="12">
        <v>42306</v>
      </c>
    </row>
    <row r="12" spans="2:48" ht="25.5">
      <c r="B12" s="79">
        <v>294</v>
      </c>
      <c r="C12" s="80" t="s">
        <v>73</v>
      </c>
      <c r="D12" s="19">
        <v>3</v>
      </c>
      <c r="I12" s="74" t="s">
        <v>57</v>
      </c>
      <c r="T12" s="80" t="s">
        <v>74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5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7" t="s">
        <v>16</v>
      </c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9"/>
      <c r="M3" s="119"/>
      <c r="N3" s="119"/>
      <c r="O3" s="98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2" t="s">
        <v>58</v>
      </c>
      <c r="E4" s="132"/>
      <c r="F4" s="53">
        <f>$U$12</f>
        <v>42306</v>
      </c>
      <c r="G4" s="50"/>
      <c r="H4" s="50"/>
      <c r="I4" s="34"/>
      <c r="J4" s="50"/>
      <c r="K4" s="50"/>
      <c r="L4" s="99" t="s">
        <v>17</v>
      </c>
      <c r="M4" s="63">
        <f>$B$12</f>
        <v>416</v>
      </c>
      <c r="N4" s="120" t="str">
        <f>$C$12</f>
        <v>BRUNAULT Miriam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3" t="s">
        <v>19</v>
      </c>
      <c r="F7" s="124"/>
      <c r="G7" s="124"/>
      <c r="H7" s="124"/>
      <c r="I7" s="124"/>
      <c r="J7" s="125" t="s">
        <v>20</v>
      </c>
      <c r="K7" s="126"/>
      <c r="L7" s="127" t="s">
        <v>21</v>
      </c>
      <c r="M7" s="127"/>
      <c r="N7" s="128" t="s">
        <v>22</v>
      </c>
      <c r="O7" s="129"/>
      <c r="P7" s="130"/>
      <c r="Q7" s="131" t="s">
        <v>23</v>
      </c>
      <c r="R7" s="129"/>
      <c r="S7" s="13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101" t="s">
        <v>32</v>
      </c>
      <c r="M8" s="101" t="s">
        <v>31</v>
      </c>
      <c r="N8" s="100" t="s">
        <v>33</v>
      </c>
      <c r="O8" s="100" t="s">
        <v>34</v>
      </c>
      <c r="P8" s="100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416</v>
      </c>
      <c r="C10" s="42" t="s">
        <v>100</v>
      </c>
      <c r="D10" s="19">
        <v>1</v>
      </c>
      <c r="E10" s="25">
        <v>41982</v>
      </c>
      <c r="F10" s="25">
        <v>41983</v>
      </c>
      <c r="G10" s="25">
        <v>41983</v>
      </c>
      <c r="H10" s="25">
        <v>41995</v>
      </c>
      <c r="I10" s="74" t="s">
        <v>96</v>
      </c>
      <c r="J10" s="25">
        <v>41994</v>
      </c>
      <c r="K10" s="25">
        <v>41995</v>
      </c>
      <c r="L10" s="25">
        <v>42053</v>
      </c>
      <c r="M10" s="25">
        <v>42047</v>
      </c>
      <c r="N10" s="25">
        <v>42102</v>
      </c>
      <c r="O10" s="25">
        <v>42045</v>
      </c>
      <c r="P10" s="25">
        <v>42046</v>
      </c>
      <c r="Q10" s="25">
        <v>42347</v>
      </c>
      <c r="R10" s="25"/>
      <c r="S10" s="25"/>
      <c r="T10" s="42" t="s">
        <v>91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107">
        <v>416</v>
      </c>
      <c r="C11" s="108" t="s">
        <v>100</v>
      </c>
      <c r="D11" s="19">
        <v>2</v>
      </c>
      <c r="E11" s="25">
        <v>42003</v>
      </c>
      <c r="F11" s="25">
        <v>42006</v>
      </c>
      <c r="G11" s="25">
        <v>42006</v>
      </c>
      <c r="H11" s="25">
        <v>42032</v>
      </c>
      <c r="I11" s="74" t="s">
        <v>87</v>
      </c>
      <c r="J11" s="25">
        <v>42015</v>
      </c>
      <c r="K11" s="25">
        <v>42038</v>
      </c>
      <c r="L11" s="25">
        <v>42074</v>
      </c>
      <c r="M11" s="25">
        <v>42104</v>
      </c>
      <c r="N11" s="25">
        <v>42123</v>
      </c>
      <c r="O11" s="25">
        <v>42151</v>
      </c>
      <c r="P11" s="25">
        <v>42156</v>
      </c>
      <c r="Q11" s="25">
        <v>42368</v>
      </c>
      <c r="T11" s="108" t="s">
        <v>91</v>
      </c>
      <c r="U11" s="12">
        <v>42306</v>
      </c>
    </row>
    <row r="12" spans="2:48" ht="25.5">
      <c r="B12" s="107">
        <v>416</v>
      </c>
      <c r="C12" s="108" t="s">
        <v>100</v>
      </c>
      <c r="D12" s="19">
        <v>3</v>
      </c>
      <c r="E12" s="25">
        <v>42010</v>
      </c>
      <c r="F12" s="25">
        <v>42013</v>
      </c>
      <c r="G12" s="25">
        <v>42013</v>
      </c>
      <c r="H12" s="25">
        <v>42013</v>
      </c>
      <c r="I12" s="74" t="s">
        <v>87</v>
      </c>
      <c r="J12" s="25">
        <v>42022</v>
      </c>
      <c r="K12" s="25">
        <v>42020</v>
      </c>
      <c r="L12" s="25">
        <v>42081</v>
      </c>
      <c r="M12" s="25">
        <v>42073</v>
      </c>
      <c r="N12" s="25">
        <v>42130</v>
      </c>
      <c r="O12" s="25">
        <v>42095</v>
      </c>
      <c r="P12" s="25">
        <v>42101</v>
      </c>
      <c r="Q12" s="25">
        <v>42375</v>
      </c>
      <c r="T12" s="108" t="s">
        <v>91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6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7" t="s">
        <v>16</v>
      </c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9"/>
      <c r="M3" s="119"/>
      <c r="N3" s="119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2" t="s">
        <v>58</v>
      </c>
      <c r="E4" s="132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168</v>
      </c>
      <c r="N4" s="120" t="str">
        <f>$C$12</f>
        <v>CHARTIER Frédérique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3" t="s">
        <v>19</v>
      </c>
      <c r="F7" s="124"/>
      <c r="G7" s="124"/>
      <c r="H7" s="124"/>
      <c r="I7" s="124"/>
      <c r="J7" s="125" t="s">
        <v>20</v>
      </c>
      <c r="K7" s="126"/>
      <c r="L7" s="127" t="s">
        <v>21</v>
      </c>
      <c r="M7" s="127"/>
      <c r="N7" s="128" t="s">
        <v>22</v>
      </c>
      <c r="O7" s="129"/>
      <c r="P7" s="130"/>
      <c r="Q7" s="131" t="s">
        <v>23</v>
      </c>
      <c r="R7" s="129"/>
      <c r="S7" s="13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168</v>
      </c>
      <c r="C10" s="42" t="s">
        <v>64</v>
      </c>
      <c r="D10" s="19">
        <v>1</v>
      </c>
      <c r="E10" s="25">
        <v>41793</v>
      </c>
      <c r="F10" s="25">
        <v>41795</v>
      </c>
      <c r="G10" s="25"/>
      <c r="H10" s="25">
        <v>41795</v>
      </c>
      <c r="I10" s="44" t="s">
        <v>84</v>
      </c>
      <c r="J10" s="25">
        <v>41805</v>
      </c>
      <c r="K10" s="25">
        <v>41803</v>
      </c>
      <c r="L10" s="25">
        <v>41864</v>
      </c>
      <c r="M10" s="25">
        <v>41851</v>
      </c>
      <c r="N10" s="25">
        <v>41913</v>
      </c>
      <c r="O10" s="25">
        <v>41850</v>
      </c>
      <c r="P10" s="25">
        <v>41851</v>
      </c>
      <c r="Q10" s="25">
        <v>42158</v>
      </c>
      <c r="R10" s="25"/>
      <c r="S10" s="25"/>
      <c r="T10" s="42" t="s">
        <v>63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2">
        <v>168</v>
      </c>
      <c r="C11" s="73" t="s">
        <v>64</v>
      </c>
      <c r="D11" s="19">
        <v>2</v>
      </c>
      <c r="E11" s="25">
        <v>41814</v>
      </c>
      <c r="F11" s="25">
        <v>41816</v>
      </c>
      <c r="I11" s="74" t="s">
        <v>57</v>
      </c>
      <c r="J11" s="25">
        <v>41826</v>
      </c>
      <c r="K11" s="25">
        <v>41828</v>
      </c>
      <c r="L11" s="25">
        <v>41885</v>
      </c>
      <c r="N11" s="25">
        <v>41934</v>
      </c>
      <c r="Q11" s="25">
        <v>42179</v>
      </c>
      <c r="R11" s="25">
        <v>41964</v>
      </c>
      <c r="S11" s="25">
        <v>41967</v>
      </c>
      <c r="T11" s="73" t="s">
        <v>63</v>
      </c>
      <c r="U11" s="12">
        <v>42306</v>
      </c>
    </row>
    <row r="12" spans="2:48" ht="25.5">
      <c r="B12" s="72">
        <v>168</v>
      </c>
      <c r="C12" s="73" t="s">
        <v>64</v>
      </c>
      <c r="D12" s="19">
        <v>3</v>
      </c>
      <c r="E12" s="25">
        <v>41877</v>
      </c>
      <c r="F12" s="25">
        <v>41880</v>
      </c>
      <c r="I12" s="74" t="s">
        <v>57</v>
      </c>
      <c r="J12" s="25">
        <v>41889</v>
      </c>
      <c r="K12" s="25">
        <v>41891</v>
      </c>
      <c r="L12" s="25">
        <v>41948</v>
      </c>
      <c r="M12" s="25">
        <v>41948</v>
      </c>
      <c r="N12" s="25">
        <v>41997</v>
      </c>
      <c r="O12" s="25">
        <v>41946</v>
      </c>
      <c r="P12" s="25">
        <v>41948</v>
      </c>
      <c r="Q12" s="25">
        <v>42242</v>
      </c>
      <c r="T12" s="73" t="s">
        <v>63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7"/>
  <dimension ref="B1:AV14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7" t="s">
        <v>16</v>
      </c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9"/>
      <c r="M3" s="119"/>
      <c r="N3" s="119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2" t="s">
        <v>58</v>
      </c>
      <c r="E4" s="132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165</v>
      </c>
      <c r="N4" s="120" t="str">
        <f>$C$14</f>
        <v>CLAUDEL Jean-Paul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3" t="s">
        <v>19</v>
      </c>
      <c r="F7" s="124"/>
      <c r="G7" s="124"/>
      <c r="H7" s="124"/>
      <c r="I7" s="124"/>
      <c r="J7" s="125" t="s">
        <v>20</v>
      </c>
      <c r="K7" s="126"/>
      <c r="L7" s="127" t="s">
        <v>21</v>
      </c>
      <c r="M7" s="127"/>
      <c r="N7" s="128" t="s">
        <v>22</v>
      </c>
      <c r="O7" s="129"/>
      <c r="P7" s="130"/>
      <c r="Q7" s="131" t="s">
        <v>23</v>
      </c>
      <c r="R7" s="129"/>
      <c r="S7" s="13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165</v>
      </c>
      <c r="C10" s="42" t="s">
        <v>66</v>
      </c>
      <c r="D10" s="19">
        <v>1</v>
      </c>
      <c r="E10" s="25">
        <v>41817</v>
      </c>
      <c r="F10" s="25">
        <v>41822</v>
      </c>
      <c r="G10" s="25">
        <v>41822</v>
      </c>
      <c r="H10" s="25">
        <v>41822</v>
      </c>
      <c r="I10" s="44" t="s">
        <v>82</v>
      </c>
      <c r="J10" s="25">
        <v>41829</v>
      </c>
      <c r="K10" s="25">
        <v>41827</v>
      </c>
      <c r="L10" s="25">
        <v>41888</v>
      </c>
      <c r="M10" s="25">
        <v>41880</v>
      </c>
      <c r="N10" s="25">
        <v>41937</v>
      </c>
      <c r="O10" s="25">
        <v>41856</v>
      </c>
      <c r="P10" s="25">
        <v>41858</v>
      </c>
      <c r="Q10" s="25">
        <v>42182</v>
      </c>
      <c r="R10" s="25"/>
      <c r="S10" s="25"/>
      <c r="T10" s="42" t="s">
        <v>65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2">
        <v>165</v>
      </c>
      <c r="C11" s="73" t="s">
        <v>66</v>
      </c>
      <c r="D11" s="19">
        <v>2</v>
      </c>
      <c r="E11" s="25">
        <v>41925</v>
      </c>
      <c r="F11" s="25">
        <v>41928</v>
      </c>
      <c r="G11" s="25">
        <v>41928</v>
      </c>
      <c r="H11" s="25">
        <v>41928</v>
      </c>
      <c r="I11" s="74" t="s">
        <v>82</v>
      </c>
      <c r="J11" s="25">
        <v>41937</v>
      </c>
      <c r="K11" s="25">
        <v>41947</v>
      </c>
      <c r="L11" s="25">
        <v>41996</v>
      </c>
      <c r="M11" s="25">
        <v>41996</v>
      </c>
      <c r="N11" s="25">
        <v>42045</v>
      </c>
      <c r="Q11" s="25">
        <v>42290</v>
      </c>
      <c r="T11" s="73" t="s">
        <v>65</v>
      </c>
      <c r="U11" s="12">
        <v>42306</v>
      </c>
    </row>
    <row r="12" spans="2:48" ht="25.5">
      <c r="B12" s="72">
        <v>165</v>
      </c>
      <c r="C12" s="73" t="s">
        <v>66</v>
      </c>
      <c r="D12" s="19">
        <v>3</v>
      </c>
      <c r="E12" s="25">
        <v>41925</v>
      </c>
      <c r="F12" s="25">
        <v>41928</v>
      </c>
      <c r="G12" s="25">
        <v>41928</v>
      </c>
      <c r="H12" s="25">
        <v>41928</v>
      </c>
      <c r="I12" s="74" t="s">
        <v>92</v>
      </c>
      <c r="J12" s="25">
        <v>41937</v>
      </c>
      <c r="K12" s="25">
        <v>41948</v>
      </c>
      <c r="L12" s="25">
        <v>41996</v>
      </c>
      <c r="M12" s="25">
        <v>42012</v>
      </c>
      <c r="N12" s="25">
        <v>42045</v>
      </c>
      <c r="Q12" s="25">
        <v>42290</v>
      </c>
      <c r="T12" s="73" t="s">
        <v>65</v>
      </c>
      <c r="U12" s="12">
        <v>42306</v>
      </c>
    </row>
    <row r="13" spans="2:48" ht="25.5">
      <c r="B13" s="107">
        <v>165</v>
      </c>
      <c r="C13" s="108" t="s">
        <v>66</v>
      </c>
      <c r="D13" s="19">
        <v>4</v>
      </c>
      <c r="E13" s="25">
        <v>42011</v>
      </c>
      <c r="F13" s="25">
        <v>42018</v>
      </c>
      <c r="G13" s="25">
        <v>42018</v>
      </c>
      <c r="H13" s="25">
        <v>42018</v>
      </c>
      <c r="I13" s="74" t="s">
        <v>82</v>
      </c>
      <c r="J13" s="25">
        <v>42023</v>
      </c>
      <c r="K13" s="25">
        <v>42026</v>
      </c>
      <c r="L13" s="25">
        <v>42082</v>
      </c>
      <c r="M13" s="25">
        <v>42082</v>
      </c>
      <c r="N13" s="25">
        <v>42131</v>
      </c>
      <c r="Q13" s="25">
        <v>42376</v>
      </c>
      <c r="T13" s="108" t="s">
        <v>65</v>
      </c>
      <c r="U13" s="12">
        <v>42306</v>
      </c>
    </row>
    <row r="14" spans="2:48" ht="25.5">
      <c r="B14" s="107">
        <v>165</v>
      </c>
      <c r="C14" s="108" t="s">
        <v>66</v>
      </c>
      <c r="D14" s="19">
        <v>5</v>
      </c>
      <c r="I14" s="74" t="s">
        <v>57</v>
      </c>
      <c r="T14" s="108" t="s">
        <v>65</v>
      </c>
      <c r="U14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8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7" t="s">
        <v>16</v>
      </c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9"/>
      <c r="M3" s="119"/>
      <c r="N3" s="119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2" t="s">
        <v>58</v>
      </c>
      <c r="E4" s="132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36</v>
      </c>
      <c r="N4" s="120" t="str">
        <f>$C$12</f>
        <v>DEVILLERS Eric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3" t="s">
        <v>19</v>
      </c>
      <c r="F7" s="124"/>
      <c r="G7" s="124"/>
      <c r="H7" s="124"/>
      <c r="I7" s="124"/>
      <c r="J7" s="125" t="s">
        <v>20</v>
      </c>
      <c r="K7" s="126"/>
      <c r="L7" s="127" t="s">
        <v>21</v>
      </c>
      <c r="M7" s="127"/>
      <c r="N7" s="128" t="s">
        <v>22</v>
      </c>
      <c r="O7" s="129"/>
      <c r="P7" s="130"/>
      <c r="Q7" s="131" t="s">
        <v>23</v>
      </c>
      <c r="R7" s="129"/>
      <c r="S7" s="13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36</v>
      </c>
      <c r="C10" s="42" t="s">
        <v>68</v>
      </c>
      <c r="D10" s="19">
        <v>1</v>
      </c>
      <c r="E10" s="25"/>
      <c r="F10" s="25"/>
      <c r="G10" s="25"/>
      <c r="H10" s="25"/>
      <c r="I10" s="4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67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2">
        <v>36</v>
      </c>
      <c r="C11" s="73" t="s">
        <v>68</v>
      </c>
      <c r="D11" s="19">
        <v>2</v>
      </c>
      <c r="I11" s="74" t="s">
        <v>57</v>
      </c>
      <c r="T11" s="73" t="s">
        <v>67</v>
      </c>
      <c r="U11" s="12">
        <v>42306</v>
      </c>
    </row>
    <row r="12" spans="2:48" ht="25.5">
      <c r="B12" s="72">
        <v>36</v>
      </c>
      <c r="C12" s="73" t="s">
        <v>68</v>
      </c>
      <c r="D12" s="19">
        <v>3</v>
      </c>
      <c r="I12" s="74" t="s">
        <v>57</v>
      </c>
      <c r="T12" s="73" t="s">
        <v>67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Feuil9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7" t="s">
        <v>16</v>
      </c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9"/>
      <c r="M3" s="119"/>
      <c r="N3" s="119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2" t="s">
        <v>58</v>
      </c>
      <c r="E4" s="132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167</v>
      </c>
      <c r="N4" s="120" t="str">
        <f>$C$12</f>
        <v>GUITTON-OUDET Elisabeth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3" t="s">
        <v>19</v>
      </c>
      <c r="F7" s="124"/>
      <c r="G7" s="124"/>
      <c r="H7" s="124"/>
      <c r="I7" s="124"/>
      <c r="J7" s="125" t="s">
        <v>20</v>
      </c>
      <c r="K7" s="126"/>
      <c r="L7" s="127" t="s">
        <v>21</v>
      </c>
      <c r="M7" s="127"/>
      <c r="N7" s="128" t="s">
        <v>22</v>
      </c>
      <c r="O7" s="129"/>
      <c r="P7" s="130"/>
      <c r="Q7" s="131" t="s">
        <v>23</v>
      </c>
      <c r="R7" s="129"/>
      <c r="S7" s="13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167</v>
      </c>
      <c r="C10" s="42" t="s">
        <v>70</v>
      </c>
      <c r="D10" s="19">
        <v>1</v>
      </c>
      <c r="E10" s="25">
        <v>41786</v>
      </c>
      <c r="F10" s="25">
        <v>41792</v>
      </c>
      <c r="G10" s="25">
        <v>41792</v>
      </c>
      <c r="H10" s="25">
        <v>41800</v>
      </c>
      <c r="I10" s="44" t="s">
        <v>85</v>
      </c>
      <c r="J10" s="25">
        <v>41798</v>
      </c>
      <c r="K10" s="25">
        <v>41808</v>
      </c>
      <c r="L10" s="25">
        <v>41857</v>
      </c>
      <c r="M10" s="25">
        <v>41865</v>
      </c>
      <c r="N10" s="25">
        <v>41906</v>
      </c>
      <c r="O10" s="25"/>
      <c r="P10" s="25"/>
      <c r="Q10" s="25">
        <v>42151</v>
      </c>
      <c r="R10" s="25"/>
      <c r="S10" s="25"/>
      <c r="T10" s="42" t="s">
        <v>69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2">
        <v>167</v>
      </c>
      <c r="C11" s="73" t="s">
        <v>70</v>
      </c>
      <c r="D11" s="19">
        <v>2</v>
      </c>
      <c r="I11" s="74" t="s">
        <v>57</v>
      </c>
      <c r="T11" s="73" t="s">
        <v>69</v>
      </c>
      <c r="U11" s="12">
        <v>42306</v>
      </c>
    </row>
    <row r="12" spans="2:48" ht="25.5">
      <c r="B12" s="72">
        <v>167</v>
      </c>
      <c r="C12" s="73" t="s">
        <v>70</v>
      </c>
      <c r="D12" s="19">
        <v>3</v>
      </c>
      <c r="I12" s="74" t="s">
        <v>57</v>
      </c>
      <c r="T12" s="73" t="s">
        <v>69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Feuil10"/>
  <dimension ref="B1:AV12"/>
  <sheetViews>
    <sheetView workbookViewId="0">
      <selection activeCell="J21" sqref="J21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7" t="s">
        <v>16</v>
      </c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9"/>
      <c r="M3" s="119"/>
      <c r="N3" s="119"/>
      <c r="O3" s="88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2" t="s">
        <v>58</v>
      </c>
      <c r="E4" s="132"/>
      <c r="F4" s="53">
        <f>$U$12</f>
        <v>42306</v>
      </c>
      <c r="G4" s="50"/>
      <c r="H4" s="50"/>
      <c r="I4" s="34"/>
      <c r="J4" s="50"/>
      <c r="K4" s="50"/>
      <c r="L4" s="89" t="s">
        <v>17</v>
      </c>
      <c r="M4" s="63">
        <f>$B$12</f>
        <v>359</v>
      </c>
      <c r="N4" s="120" t="str">
        <f>$C$12</f>
        <v>HERISSE Chantal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3" t="s">
        <v>19</v>
      </c>
      <c r="F7" s="124"/>
      <c r="G7" s="124"/>
      <c r="H7" s="124"/>
      <c r="I7" s="124"/>
      <c r="J7" s="125" t="s">
        <v>20</v>
      </c>
      <c r="K7" s="126"/>
      <c r="L7" s="127" t="s">
        <v>21</v>
      </c>
      <c r="M7" s="127"/>
      <c r="N7" s="128" t="s">
        <v>22</v>
      </c>
      <c r="O7" s="129"/>
      <c r="P7" s="130"/>
      <c r="Q7" s="131" t="s">
        <v>23</v>
      </c>
      <c r="R7" s="129"/>
      <c r="S7" s="13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91" t="s">
        <v>32</v>
      </c>
      <c r="M8" s="91" t="s">
        <v>31</v>
      </c>
      <c r="N8" s="90" t="s">
        <v>33</v>
      </c>
      <c r="O8" s="90" t="s">
        <v>34</v>
      </c>
      <c r="P8" s="90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359</v>
      </c>
      <c r="C10" s="42" t="s">
        <v>80</v>
      </c>
      <c r="D10" s="19">
        <v>1</v>
      </c>
      <c r="E10" s="25"/>
      <c r="F10" s="25"/>
      <c r="G10" s="25"/>
      <c r="H10" s="25"/>
      <c r="I10" s="7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79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92">
        <v>359</v>
      </c>
      <c r="C11" s="93" t="s">
        <v>80</v>
      </c>
      <c r="D11" s="19">
        <v>2</v>
      </c>
      <c r="G11" s="25">
        <v>42044</v>
      </c>
      <c r="H11" s="25">
        <v>42044</v>
      </c>
      <c r="I11" s="74" t="s">
        <v>84</v>
      </c>
      <c r="K11" s="25">
        <v>42044</v>
      </c>
      <c r="T11" s="93" t="s">
        <v>79</v>
      </c>
      <c r="U11" s="12">
        <v>42306</v>
      </c>
    </row>
    <row r="12" spans="2:48" ht="25.5">
      <c r="B12" s="92">
        <v>359</v>
      </c>
      <c r="C12" s="93" t="s">
        <v>80</v>
      </c>
      <c r="D12" s="19">
        <v>3</v>
      </c>
      <c r="I12" s="74" t="s">
        <v>57</v>
      </c>
      <c r="T12" s="93" t="s">
        <v>79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Feuil11"/>
  <dimension ref="B1:AV10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7" t="s">
        <v>16</v>
      </c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9"/>
      <c r="M3" s="119"/>
      <c r="N3" s="119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2" t="s">
        <v>58</v>
      </c>
      <c r="E4" s="132"/>
      <c r="F4" s="53">
        <f>$U$10</f>
        <v>42306</v>
      </c>
      <c r="G4" s="50"/>
      <c r="H4" s="50"/>
      <c r="I4" s="34"/>
      <c r="J4" s="50"/>
      <c r="K4" s="50"/>
      <c r="L4" s="65" t="s">
        <v>17</v>
      </c>
      <c r="M4" s="63">
        <f>$B$10</f>
        <v>0</v>
      </c>
      <c r="N4" s="120" t="str">
        <f>$C$10</f>
        <v>LEGAY DEMANCHE Claire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3" t="s">
        <v>19</v>
      </c>
      <c r="F7" s="124"/>
      <c r="G7" s="124"/>
      <c r="H7" s="124"/>
      <c r="I7" s="124"/>
      <c r="J7" s="125" t="s">
        <v>20</v>
      </c>
      <c r="K7" s="126"/>
      <c r="L7" s="127" t="s">
        <v>21</v>
      </c>
      <c r="M7" s="127"/>
      <c r="N7" s="128" t="s">
        <v>22</v>
      </c>
      <c r="O7" s="129"/>
      <c r="P7" s="130"/>
      <c r="Q7" s="131" t="s">
        <v>23</v>
      </c>
      <c r="R7" s="129"/>
      <c r="S7" s="13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C10" s="42" t="s">
        <v>72</v>
      </c>
      <c r="D10" s="19"/>
      <c r="E10" s="25"/>
      <c r="F10" s="25"/>
      <c r="G10" s="25"/>
      <c r="H10" s="25"/>
      <c r="I10" s="4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71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Feuil12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7" t="s">
        <v>16</v>
      </c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9"/>
      <c r="M3" s="119"/>
      <c r="N3" s="119"/>
      <c r="O3" s="9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2" t="s">
        <v>58</v>
      </c>
      <c r="E4" s="132"/>
      <c r="F4" s="53">
        <f>$U$12</f>
        <v>42306</v>
      </c>
      <c r="G4" s="50"/>
      <c r="H4" s="50"/>
      <c r="I4" s="34"/>
      <c r="J4" s="50"/>
      <c r="K4" s="50"/>
      <c r="L4" s="95" t="s">
        <v>17</v>
      </c>
      <c r="M4" s="63">
        <f>$B$12</f>
        <v>410</v>
      </c>
      <c r="N4" s="120" t="str">
        <f>$C$12</f>
        <v>MOREL Annie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3" t="s">
        <v>19</v>
      </c>
      <c r="F7" s="124"/>
      <c r="G7" s="124"/>
      <c r="H7" s="124"/>
      <c r="I7" s="124"/>
      <c r="J7" s="125" t="s">
        <v>20</v>
      </c>
      <c r="K7" s="126"/>
      <c r="L7" s="127" t="s">
        <v>21</v>
      </c>
      <c r="M7" s="127"/>
      <c r="N7" s="128" t="s">
        <v>22</v>
      </c>
      <c r="O7" s="129"/>
      <c r="P7" s="130"/>
      <c r="Q7" s="131" t="s">
        <v>23</v>
      </c>
      <c r="R7" s="129"/>
      <c r="S7" s="13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97" t="s">
        <v>32</v>
      </c>
      <c r="M8" s="97" t="s">
        <v>31</v>
      </c>
      <c r="N8" s="96" t="s">
        <v>33</v>
      </c>
      <c r="O8" s="96" t="s">
        <v>34</v>
      </c>
      <c r="P8" s="9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410</v>
      </c>
      <c r="C10" s="42" t="s">
        <v>90</v>
      </c>
      <c r="D10" s="19">
        <v>1</v>
      </c>
      <c r="E10" s="25">
        <v>41971</v>
      </c>
      <c r="F10" s="25">
        <v>41974</v>
      </c>
      <c r="G10" s="25">
        <v>41974</v>
      </c>
      <c r="H10" s="25"/>
      <c r="I10" s="74" t="s">
        <v>57</v>
      </c>
      <c r="J10" s="25">
        <v>41983</v>
      </c>
      <c r="K10" s="25">
        <v>41981</v>
      </c>
      <c r="L10" s="25">
        <v>42042</v>
      </c>
      <c r="M10" s="25"/>
      <c r="N10" s="25">
        <v>42091</v>
      </c>
      <c r="O10" s="25">
        <v>42031</v>
      </c>
      <c r="P10" s="25">
        <v>42033</v>
      </c>
      <c r="Q10" s="25">
        <v>42336</v>
      </c>
      <c r="R10" s="25"/>
      <c r="S10" s="25"/>
      <c r="T10" s="42" t="s">
        <v>89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107">
        <v>410</v>
      </c>
      <c r="C11" s="108" t="s">
        <v>90</v>
      </c>
      <c r="D11" s="19">
        <v>2</v>
      </c>
      <c r="E11" s="25">
        <v>42010</v>
      </c>
      <c r="F11" s="25">
        <v>42013</v>
      </c>
      <c r="G11" s="25">
        <v>42013</v>
      </c>
      <c r="I11" s="74" t="s">
        <v>57</v>
      </c>
      <c r="J11" s="25">
        <v>42022</v>
      </c>
      <c r="K11" s="25">
        <v>42023</v>
      </c>
      <c r="L11" s="25">
        <v>42081</v>
      </c>
      <c r="N11" s="25">
        <v>42130</v>
      </c>
      <c r="Q11" s="25">
        <v>42375</v>
      </c>
      <c r="T11" s="108" t="s">
        <v>89</v>
      </c>
      <c r="U11" s="12">
        <v>42306</v>
      </c>
    </row>
    <row r="12" spans="2:48" ht="25.5">
      <c r="B12" s="107">
        <v>410</v>
      </c>
      <c r="C12" s="108" t="s">
        <v>90</v>
      </c>
      <c r="D12" s="19">
        <v>3</v>
      </c>
      <c r="I12" s="74" t="s">
        <v>57</v>
      </c>
      <c r="T12" s="108" t="s">
        <v>89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Feuil13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7" t="s">
        <v>16</v>
      </c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9"/>
      <c r="M3" s="119"/>
      <c r="N3" s="119"/>
      <c r="O3" s="102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2" t="s">
        <v>58</v>
      </c>
      <c r="E4" s="132"/>
      <c r="F4" s="53">
        <f>$U$12</f>
        <v>42306</v>
      </c>
      <c r="G4" s="50"/>
      <c r="H4" s="50"/>
      <c r="I4" s="34"/>
      <c r="J4" s="50"/>
      <c r="K4" s="50"/>
      <c r="L4" s="103" t="s">
        <v>17</v>
      </c>
      <c r="M4" s="63">
        <f>$B$12</f>
        <v>426</v>
      </c>
      <c r="N4" s="120" t="str">
        <f>$C$12</f>
        <v>CORVEN-BENOIT Cloé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3" t="s">
        <v>19</v>
      </c>
      <c r="F7" s="124"/>
      <c r="G7" s="124"/>
      <c r="H7" s="124"/>
      <c r="I7" s="124"/>
      <c r="J7" s="125" t="s">
        <v>20</v>
      </c>
      <c r="K7" s="126"/>
      <c r="L7" s="127" t="s">
        <v>21</v>
      </c>
      <c r="M7" s="127"/>
      <c r="N7" s="128" t="s">
        <v>22</v>
      </c>
      <c r="O7" s="129"/>
      <c r="P7" s="130"/>
      <c r="Q7" s="131" t="s">
        <v>23</v>
      </c>
      <c r="R7" s="129"/>
      <c r="S7" s="13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105" t="s">
        <v>32</v>
      </c>
      <c r="M8" s="105" t="s">
        <v>31</v>
      </c>
      <c r="N8" s="104" t="s">
        <v>33</v>
      </c>
      <c r="O8" s="104" t="s">
        <v>34</v>
      </c>
      <c r="P8" s="104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426</v>
      </c>
      <c r="C10" s="42" t="s">
        <v>93</v>
      </c>
      <c r="D10" s="19">
        <v>1</v>
      </c>
      <c r="E10" s="25">
        <v>42011</v>
      </c>
      <c r="F10" s="25">
        <v>42018</v>
      </c>
      <c r="G10" s="25"/>
      <c r="H10" s="25"/>
      <c r="I10" s="74" t="s">
        <v>57</v>
      </c>
      <c r="J10" s="25">
        <v>42023</v>
      </c>
      <c r="K10" s="25">
        <v>42023</v>
      </c>
      <c r="L10" s="25">
        <v>42082</v>
      </c>
      <c r="M10" s="25">
        <v>42073</v>
      </c>
      <c r="N10" s="25">
        <v>42131</v>
      </c>
      <c r="O10" s="25">
        <v>42086</v>
      </c>
      <c r="P10" s="25">
        <v>42094</v>
      </c>
      <c r="Q10" s="25">
        <v>42376</v>
      </c>
      <c r="R10" s="25">
        <v>42192</v>
      </c>
      <c r="S10" s="25">
        <v>42202</v>
      </c>
      <c r="T10" s="42" t="s">
        <v>94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107">
        <v>426</v>
      </c>
      <c r="C11" s="108" t="s">
        <v>93</v>
      </c>
      <c r="D11" s="19">
        <v>2</v>
      </c>
      <c r="E11" s="25">
        <v>42018</v>
      </c>
      <c r="F11" s="25">
        <v>42023</v>
      </c>
      <c r="I11" s="74" t="s">
        <v>57</v>
      </c>
      <c r="J11" s="25">
        <v>42030</v>
      </c>
      <c r="K11" s="25">
        <v>42044</v>
      </c>
      <c r="L11" s="25">
        <v>42089</v>
      </c>
      <c r="M11" s="25">
        <v>42104</v>
      </c>
      <c r="N11" s="25">
        <v>42138</v>
      </c>
      <c r="O11" s="25">
        <v>42102</v>
      </c>
      <c r="P11" s="25">
        <v>42107</v>
      </c>
      <c r="Q11" s="25">
        <v>42383</v>
      </c>
      <c r="T11" s="108" t="s">
        <v>94</v>
      </c>
      <c r="U11" s="12">
        <v>42306</v>
      </c>
    </row>
    <row r="12" spans="2:48" ht="25.5">
      <c r="B12" s="107">
        <v>426</v>
      </c>
      <c r="C12" s="108" t="s">
        <v>93</v>
      </c>
      <c r="D12" s="19">
        <v>3</v>
      </c>
      <c r="I12" s="74" t="s">
        <v>57</v>
      </c>
      <c r="T12" s="108" t="s">
        <v>94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Secteur DE0303</vt:lpstr>
      <vt:lpstr>00289695</vt:lpstr>
      <vt:lpstr>01132633</vt:lpstr>
      <vt:lpstr>01199062</vt:lpstr>
      <vt:lpstr>01443199</vt:lpstr>
      <vt:lpstr>01885678</vt:lpstr>
      <vt:lpstr>02045245</vt:lpstr>
      <vt:lpstr>02884446</vt:lpstr>
      <vt:lpstr>04396692</vt:lpstr>
      <vt:lpstr>04562547</vt:lpstr>
      <vt:lpstr>05594356</vt:lpstr>
      <vt:lpstr>06637988</vt:lpstr>
      <vt:lpstr>00755871</vt:lpstr>
    </vt:vector>
  </TitlesOfParts>
  <Company>GECEM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COLAS</dc:creator>
  <cp:lastModifiedBy>GECEM</cp:lastModifiedBy>
  <cp:lastPrinted>2014-04-15T15:23:56Z</cp:lastPrinted>
  <dcterms:created xsi:type="dcterms:W3CDTF">2014-04-10T15:52:05Z</dcterms:created>
  <dcterms:modified xsi:type="dcterms:W3CDTF">2015-10-29T22:02:26Z</dcterms:modified>
</cp:coreProperties>
</file>