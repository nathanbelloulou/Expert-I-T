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731"/>
  </bookViews>
  <sheets>
    <sheet name="Secteur DE0308" sheetId="1" r:id="rId1"/>
    <sheet name="00164185" sheetId="2" r:id="rId2"/>
    <sheet name="01631560" sheetId="11" r:id="rId3"/>
    <sheet name="01661227" sheetId="3" r:id="rId4"/>
    <sheet name="01939535" sheetId="4" r:id="rId5"/>
    <sheet name="08769759" sheetId="5" r:id="rId6"/>
    <sheet name="02259312" sheetId="6" r:id="rId7"/>
    <sheet name="03873870" sheetId="12" r:id="rId8"/>
    <sheet name="03441808" sheetId="7" r:id="rId9"/>
    <sheet name="06081291" sheetId="8" r:id="rId10"/>
    <sheet name="06231164" sheetId="13" r:id="rId11"/>
    <sheet name="06931750" sheetId="9" r:id="rId12"/>
    <sheet name="07159009" sheetId="10" r:id="rId13"/>
  </sheets>
  <definedNames>
    <definedName name="Lancer_la_requête_à_partir_de_MS_Access_Database" localSheetId="1" hidden="1">'00164185'!$B$9:$U$12</definedName>
    <definedName name="Lancer_la_requête_à_partir_de_MS_Access_Database" localSheetId="2" hidden="1">'01631560'!$B$9:$U$12</definedName>
    <definedName name="Lancer_la_requête_à_partir_de_MS_Access_Database" localSheetId="3" hidden="1">'01661227'!$B$9:$U$14</definedName>
    <definedName name="Lancer_la_requête_à_partir_de_MS_Access_Database" localSheetId="4" hidden="1">'01939535'!$B$9:$U$12</definedName>
    <definedName name="Lancer_la_requête_à_partir_de_MS_Access_Database" localSheetId="6" hidden="1">'02259312'!$B$9:$U$14</definedName>
    <definedName name="Lancer_la_requête_à_partir_de_MS_Access_Database" localSheetId="8" hidden="1">'03441808'!$B$9:$U$12</definedName>
    <definedName name="Lancer_la_requête_à_partir_de_MS_Access_Database" localSheetId="7" hidden="1">'03873870'!$B$9:$U$12</definedName>
    <definedName name="Lancer_la_requête_à_partir_de_MS_Access_Database" localSheetId="9" hidden="1">'06081291'!$B$9:$U$14</definedName>
    <definedName name="Lancer_la_requête_à_partir_de_MS_Access_Database" localSheetId="10" hidden="1">'06231164'!$B$9:$U$12</definedName>
    <definedName name="Lancer_la_requête_à_partir_de_MS_Access_Database" localSheetId="11" hidden="1">'06931750'!$B$9:$U$14</definedName>
    <definedName name="Lancer_la_requête_à_partir_de_MS_Access_Database" localSheetId="12" hidden="1">'07159009'!$B$9:$U$16</definedName>
    <definedName name="Lancer_la_requête_à_partir_de_MS_Access_Database" localSheetId="5" hidden="1">'08769759'!$B$9:$U$12</definedName>
    <definedName name="Lancer_la_requête_à_partir_de_MS_Access_Database_1" localSheetId="0" hidden="1">'Secteur DE0308'!$A$7:$K$19</definedName>
  </definedNames>
  <calcPr calcId="125725"/>
</workbook>
</file>

<file path=xl/calcChain.xml><?xml version="1.0" encoding="utf-8"?>
<calcChain xmlns="http://schemas.openxmlformats.org/spreadsheetml/2006/main">
  <c r="D20" i="1"/>
  <c r="E20"/>
  <c r="F20"/>
  <c r="G20"/>
  <c r="H20"/>
  <c r="I20"/>
  <c r="N4" i="11"/>
  <c r="M4"/>
  <c r="F4"/>
  <c r="N4" i="13"/>
  <c r="M4"/>
  <c r="F4"/>
  <c r="N4" i="12"/>
  <c r="M4"/>
  <c r="F4"/>
  <c r="N4" i="10" l="1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308')_x000d__x000a_ORDER BY Req_REPORT_SECTEURS_GLOBAL.Medecin"/>
  </connection>
  <connection id="2" name="Lancer la requête à partir de MS Access Database0016418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164185')"/>
  </connection>
  <connection id="3" name="Lancer la requête à partir de MS Access Database0163156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631560')"/>
  </connection>
  <connection id="4" name="Lancer la requête à partir de MS Access Database0166122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661227')"/>
  </connection>
  <connection id="5" name="Lancer la requête à partir de MS Access Database0193953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939535')"/>
  </connection>
  <connection id="6" name="Lancer la requête à partir de MS Access Database0225931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259312')"/>
  </connection>
  <connection id="7" name="Lancer la requête à partir de MS Access Database0344180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441808')"/>
  </connection>
  <connection id="8" name="Lancer la requête à partir de MS Access Database038738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873870')"/>
  </connection>
  <connection id="9" name="Lancer la requête à partir de MS Access Database0608129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081291')"/>
  </connection>
  <connection id="10" name="Lancer la requête à partir de MS Access Database0623116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231164')"/>
  </connection>
  <connection id="11" name="Lancer la requête à partir de MS Access Database069317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931750')"/>
  </connection>
  <connection id="12" name="Lancer la requête à partir de MS Access Database0715900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159009')"/>
  </connection>
  <connection id="13" name="Lancer la requête à partir de MS Access Database0876975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769759')"/>
  </connection>
</connections>
</file>

<file path=xl/sharedStrings.xml><?xml version="1.0" encoding="utf-8"?>
<sst xmlns="http://schemas.openxmlformats.org/spreadsheetml/2006/main" count="766" uniqueCount="99">
  <si>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</si>
  <si>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</si>
  <si>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</si>
  <si>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</si>
  <si>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</si>
  <si>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</si>
  <si>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</si>
  <si>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</si>
  <si>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</si>
  <si>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</si>
  <si>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</si>
  <si>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</si>
  <si>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</si>
  <si>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</si>
  <si>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</si>
  <si>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</si>
  <si>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</si>
  <si>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</si>
  <si>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</si>
  <si>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</si>
  <si>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</si>
  <si>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</si>
  <si>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</si>
  <si>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</si>
  <si>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</si>
  <si>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</si>
  <si>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</si>
  <si>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</si>
  <si>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</si>
  <si>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</si>
  <si>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</si>
  <si>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</si>
  <si>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</si>
  <si>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</si>
  <si>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</si>
  <si>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</si>
  <si>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</si>
  <si>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</si>
  <si>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</si>
  <si>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</si>
  <si>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</si>
  <si>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</si>
  <si>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</si>
  <si>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</si>
  <si>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</si>
  <si>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</si>
  <si>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</si>
  <si>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</si>
  <si>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</si>
  <si>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</si>
  <si>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</si>
  <si>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</si>
  <si>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</si>
  <si>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</si>
  <si>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</si>
  <si>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</si>
  <si>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</si>
  <si>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</si>
  <si>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</si>
  <si>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DE0308</t>
  </si>
  <si>
    <t xml:space="preserve">KHELIFA Virgine </t>
  </si>
  <si>
    <t>WFRM00164185</t>
  </si>
  <si>
    <t>ANDRY-BENZAQUEN Pascale</t>
  </si>
  <si>
    <t>WFRM01661227</t>
  </si>
  <si>
    <t>CARREAU Olivier</t>
  </si>
  <si>
    <t>WFRM01939535</t>
  </si>
  <si>
    <t>CHAZERAIN Véronique</t>
  </si>
  <si>
    <t>WFRM08769759</t>
  </si>
  <si>
    <t>CIABRINI Marie-Dominique</t>
  </si>
  <si>
    <t>WFRM02259312</t>
  </si>
  <si>
    <t>DEWERDT-MABECQUE Sylvie</t>
  </si>
  <si>
    <t>WFRM03441808</t>
  </si>
  <si>
    <t>FEKIR Khadidja</t>
  </si>
  <si>
    <t>WFRM06081291</t>
  </si>
  <si>
    <t>MARCHAT Christine</t>
  </si>
  <si>
    <t>WFRM06931750</t>
  </si>
  <si>
    <t>OLIVE Sylvie</t>
  </si>
  <si>
    <t>WFRM07159009</t>
  </si>
  <si>
    <t>PENSO Dominique Elsa</t>
  </si>
  <si>
    <t>SMS - Mail - Courrier - Téléphone</t>
  </si>
  <si>
    <t>SMS - Via médecin</t>
  </si>
  <si>
    <t>Via médecin</t>
  </si>
  <si>
    <t>Mail - Courrier</t>
  </si>
  <si>
    <t>SMS - Téléphone</t>
  </si>
  <si>
    <t>Courrier</t>
  </si>
  <si>
    <t>SMS</t>
  </si>
  <si>
    <t>02sept: relance à faire patient 1523 n'a pas renvoyé son auto-questionnaire 2 mois</t>
  </si>
  <si>
    <t>03sept: Va s'en occuper mais demande à ce que l'on le lui rappelle dans un mois maximum au cas où ca n'a pas été fait.</t>
  </si>
  <si>
    <t>SMS - Mail</t>
  </si>
  <si>
    <t>18sept: impossible de lui parler directement la secrétaire ne passe pas les appels. Envoi d'un mail pour connaitre les raisons de non inclusion</t>
  </si>
  <si>
    <t>WFRM01631560</t>
  </si>
  <si>
    <t>CARDINNE Anne-Marie</t>
  </si>
  <si>
    <t>GAUTIER DESNOYERS Françoise</t>
  </si>
  <si>
    <t>WFRM03873870</t>
  </si>
  <si>
    <t>WFRM06231164</t>
  </si>
  <si>
    <t>MASSIS Françoise</t>
  </si>
  <si>
    <t>Mail</t>
  </si>
  <si>
    <t>Reste 2 patients à inclure</t>
  </si>
  <si>
    <t>Colonne1</t>
  </si>
</sst>
</file>

<file path=xl/styles.xml><?xml version="1.0" encoding="utf-8"?>
<styleSheet xmlns="http://schemas.openxmlformats.org/spreadsheetml/2006/main">
  <numFmts count="1">
    <numFmt numFmtId="164" formatCode="dd/mm/yy;@"/>
  </numFmts>
  <fonts count="26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 applyAlignment="1">
      <alignment vertical="center" wrapText="1"/>
    </xf>
    <xf numFmtId="0" fontId="18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5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79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78"/>
      <tableStyleElement type="headerRow" dxfId="277"/>
      <tableStyleElement type="totalRow" dxfId="276"/>
      <tableStyleElement type="firstColumn" dxfId="275"/>
      <tableStyleElement type="lastColumn" dxfId="274"/>
      <tableStyleElement type="firstRowStripe" dxfId="273"/>
      <tableStyleElement type="secondRowStripe" dxfId="272"/>
      <tableStyleElement type="firstColumnStripe" dxfId="271"/>
      <tableStyleElement type="secondColumnStripe" dxfId="270"/>
    </tableStyle>
    <tableStyle name="TableStyleLight8 2" pivot="0" count="9">
      <tableStyleElement type="wholeTable" dxfId="269"/>
      <tableStyleElement type="headerRow" dxfId="268"/>
      <tableStyleElement type="totalRow" dxfId="267"/>
      <tableStyleElement type="firstColumn" dxfId="266"/>
      <tableStyleElement type="lastColumn" dxfId="265"/>
      <tableStyleElement type="firstRowStripe" dxfId="264"/>
      <tableStyleElement type="secondRowStripe" dxfId="263"/>
      <tableStyleElement type="firstColumnStripe" dxfId="262"/>
      <tableStyleElement type="secondColumnStripe" dxfId="261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0" tableType="queryTable" totalsRowCount="1" headerRowDxfId="260" dataDxfId="259">
  <tableColumns count="12">
    <tableColumn id="1" uniqueName="1" name="Code Secteur" queryTableFieldId="1" dataDxfId="247" totalsRowDxfId="248"/>
    <tableColumn id="2" uniqueName="2" name="VM" queryTableFieldId="2" dataDxfId="246" totalsRowDxfId="249"/>
    <tableColumn id="3" uniqueName="3" name="Code médecin" totalsRowLabel="TOTAL" queryTableFieldId="3" dataDxfId="245" totalsRowDxfId="250" dataCellStyle="Lien hypertexte"/>
    <tableColumn id="4" uniqueName="4" name="Medecin" totalsRowFunction="custom" queryTableFieldId="4" dataDxfId="244" totalsRowDxfId="251">
      <totalsRowFormula>SUBTOTAL(3,D8:D19)</totalsRowFormula>
    </tableColumn>
    <tableColumn id="5" uniqueName="5" name="Date de réception convention financière" totalsRowFunction="custom" queryTableFieldId="5" dataDxfId="243" totalsRowDxfId="252">
      <totalsRowFormula>SUBTOTAL(3,[Date de réception convention financière])</totalsRowFormula>
    </tableColumn>
    <tableColumn id="6" uniqueName="6" name="Date de réception AR kit" totalsRowFunction="custom" queryTableFieldId="6" dataDxfId="242" totalsRowDxfId="253">
      <totalsRowFormula>SUBTOTAL(3,[Date de réception AR kit])</totalsRowFormula>
    </tableColumn>
    <tableColumn id="7" uniqueName="7" name="Date de MEP" totalsRowFunction="custom" queryTableFieldId="7" dataDxfId="241" totalsRowDxfId="254">
      <totalsRowFormula>SUBTOTAL(3,[Date de MEP])</totalsRowFormula>
    </tableColumn>
    <tableColumn id="8" uniqueName="8" name="Desistement" totalsRowFunction="custom" queryTableFieldId="8" dataDxfId="240" totalsRowDxfId="255">
      <totalsRowFormula>SUBTOTAL(3,[Desistement])</totalsRowFormula>
    </tableColumn>
    <tableColumn id="9" uniqueName="9" name="Nb Total Patients inclus" totalsRowFunction="custom" queryTableFieldId="9" dataDxfId="239" totalsRowDxfId="256">
      <totalsRowFormula>SUBTOTAL(109,I8:I19)</totalsRowFormula>
    </tableColumn>
    <tableColumn id="10" uniqueName="10" name="Comptes-rendus contact médecin-GECEM" queryTableFieldId="10" dataDxfId="238" totalsRowDxfId="257"/>
    <tableColumn id="11" uniqueName="11" name="Date" queryTableFieldId="11" dataDxfId="237" totalsRowDxfId="258"/>
    <tableColumn id="12" uniqueName="12" name="Colonne1" queryTableFieldId="12" dataDxfId="236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235"/>
    <tableColumn id="4" uniqueName="4" name="INCLUSION_Visite" queryTableFieldId="4" dataDxfId="234"/>
    <tableColumn id="5" uniqueName="5" name="INCLUSION_Reception" queryTableFieldId="5" dataDxfId="233"/>
    <tableColumn id="6" uniqueName="6" name="AQINCLUSION_Reception" queryTableFieldId="6" dataDxfId="232"/>
    <tableColumn id="7" uniqueName="7" name="CONTACT_Reception" queryTableFieldId="7" dataDxfId="231"/>
    <tableColumn id="8" uniqueName="8" name="TypeRappel" queryTableFieldId="8"/>
    <tableColumn id="9" uniqueName="9" name="AQ7Theo" queryTableFieldId="9" dataDxfId="230"/>
    <tableColumn id="10" uniqueName="10" name="AQJ7_Reception" queryTableFieldId="10" dataDxfId="229"/>
    <tableColumn id="11" uniqueName="11" name="AQ_M2_Theo" queryTableFieldId="11" dataDxfId="228"/>
    <tableColumn id="12" uniqueName="12" name="AQM2_Reception" queryTableFieldId="12" dataDxfId="227"/>
    <tableColumn id="13" uniqueName="13" name="VP_Theo" queryTableFieldId="13" dataDxfId="226"/>
    <tableColumn id="14" uniqueName="14" name="PRECOCE_Visite" queryTableFieldId="14" dataDxfId="225"/>
    <tableColumn id="15" uniqueName="15" name="PRECOCE_Reception" queryTableFieldId="15" dataDxfId="224"/>
    <tableColumn id="16" uniqueName="16" name="VT_Theo" queryTableFieldId="16" dataDxfId="223"/>
    <tableColumn id="17" uniqueName="17" name="TARDIF_Visite" queryTableFieldId="17" dataDxfId="222"/>
    <tableColumn id="18" uniqueName="18" name="TARDIF_Reception" queryTableFieldId="18" dataDxfId="221"/>
    <tableColumn id="19" uniqueName="19" name="Onekey" queryTableFieldId="19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1" name="Tableau_Lancer_la_requête_à_partir_de_MS_Access_Database12" displayName="Tableau_Lancer_la_requête_à_partir_de_MS_Access_Database12" ref="B9:U12" tableType="queryTable" totalsRowShown="0">
  <autoFilter ref="B9:U12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autoFilter ref="B9:U14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4" tableType="queryTable" totalsRowShown="0">
  <autoFilter ref="B9:U14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12" name="Tableau_Lancer_la_requête_à_partir_de_MS_Access_Database4567813" displayName="Tableau_Lancer_la_requête_à_partir_de_MS_Access_Database4567813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4" tableType="queryTable" totalsRowShown="0">
  <autoFilter ref="B9:U14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13" name="Tableau_Lancer_la_requête_à_partir_de_MS_Access_Database4567891014" displayName="Tableau_Lancer_la_requête_à_partir_de_MS_Access_Database4567891014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4" tableType="queryTable" totalsRowShown="0">
  <autoFilter ref="B9:U14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6" tableType="queryTable" totalsRowShown="0">
  <autoFilter ref="B9:U16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2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$A$19</f>
        <v>DE0308</v>
      </c>
      <c r="G2" s="98" t="str">
        <f>$B$19</f>
        <v xml:space="preserve">KHELIFA Virgine </v>
      </c>
      <c r="H2" s="98"/>
      <c r="I2" s="98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$K$19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98</v>
      </c>
    </row>
    <row r="8" spans="1:17" s="73" customFormat="1" ht="45">
      <c r="A8" s="73" t="s">
        <v>59</v>
      </c>
      <c r="B8" s="73" t="s">
        <v>60</v>
      </c>
      <c r="C8" s="74" t="s">
        <v>61</v>
      </c>
      <c r="D8" s="71" t="s">
        <v>62</v>
      </c>
      <c r="E8" s="16">
        <v>41697</v>
      </c>
      <c r="F8" s="16">
        <v>41745</v>
      </c>
      <c r="G8" s="16">
        <v>41744</v>
      </c>
      <c r="H8" s="16"/>
      <c r="I8" s="15">
        <v>2</v>
      </c>
      <c r="J8" s="71" t="s">
        <v>89</v>
      </c>
      <c r="K8" s="75">
        <v>42306</v>
      </c>
    </row>
    <row r="9" spans="1:17" s="73" customFormat="1">
      <c r="A9" s="73" t="s">
        <v>59</v>
      </c>
      <c r="B9" s="73" t="s">
        <v>60</v>
      </c>
      <c r="C9" s="74" t="s">
        <v>90</v>
      </c>
      <c r="D9" s="71" t="s">
        <v>91</v>
      </c>
      <c r="E9" s="16">
        <v>41925</v>
      </c>
      <c r="F9" s="16">
        <v>41935</v>
      </c>
      <c r="G9" s="16">
        <v>41932</v>
      </c>
      <c r="H9" s="16"/>
      <c r="I9" s="15">
        <v>3</v>
      </c>
      <c r="J9" s="71"/>
      <c r="K9" s="75">
        <v>42306</v>
      </c>
    </row>
    <row r="10" spans="1:17" s="91" customFormat="1" ht="45">
      <c r="A10" s="91" t="s">
        <v>59</v>
      </c>
      <c r="B10" s="91" t="s">
        <v>60</v>
      </c>
      <c r="C10" s="92" t="s">
        <v>63</v>
      </c>
      <c r="D10" s="93" t="s">
        <v>64</v>
      </c>
      <c r="E10" s="94">
        <v>41736</v>
      </c>
      <c r="F10" s="94">
        <v>41751</v>
      </c>
      <c r="G10" s="94">
        <v>41745</v>
      </c>
      <c r="H10" s="94"/>
      <c r="I10" s="95">
        <v>3</v>
      </c>
      <c r="J10" s="93"/>
      <c r="K10" s="96">
        <v>42306</v>
      </c>
      <c r="L10" s="97" t="s">
        <v>97</v>
      </c>
    </row>
    <row r="11" spans="1:17" s="73" customFormat="1">
      <c r="A11" s="73" t="s">
        <v>59</v>
      </c>
      <c r="B11" s="73" t="s">
        <v>60</v>
      </c>
      <c r="C11" s="74" t="s">
        <v>65</v>
      </c>
      <c r="D11" s="71" t="s">
        <v>66</v>
      </c>
      <c r="E11" s="16">
        <v>41716</v>
      </c>
      <c r="F11" s="16">
        <v>41751</v>
      </c>
      <c r="G11" s="16">
        <v>41747</v>
      </c>
      <c r="H11" s="16">
        <v>41802</v>
      </c>
      <c r="I11" s="15"/>
      <c r="J11" s="71"/>
      <c r="K11" s="75">
        <v>42306</v>
      </c>
    </row>
    <row r="12" spans="1:17" s="73" customFormat="1">
      <c r="A12" s="73" t="s">
        <v>59</v>
      </c>
      <c r="B12" s="73" t="s">
        <v>60</v>
      </c>
      <c r="C12" s="74" t="s">
        <v>67</v>
      </c>
      <c r="D12" s="71" t="s">
        <v>68</v>
      </c>
      <c r="E12" s="16">
        <v>41744</v>
      </c>
      <c r="F12" s="16">
        <v>41764</v>
      </c>
      <c r="G12" s="16">
        <v>41761</v>
      </c>
      <c r="H12" s="16">
        <v>41802</v>
      </c>
      <c r="I12" s="15"/>
      <c r="J12" s="71"/>
      <c r="K12" s="75">
        <v>42306</v>
      </c>
    </row>
    <row r="13" spans="1:17" s="73" customFormat="1" ht="30">
      <c r="A13" s="73" t="s">
        <v>59</v>
      </c>
      <c r="B13" s="73" t="s">
        <v>60</v>
      </c>
      <c r="C13" s="74" t="s">
        <v>69</v>
      </c>
      <c r="D13" s="71" t="s">
        <v>70</v>
      </c>
      <c r="E13" s="16">
        <v>41702</v>
      </c>
      <c r="F13" s="16">
        <v>41758</v>
      </c>
      <c r="G13" s="16">
        <v>41753</v>
      </c>
      <c r="H13" s="16"/>
      <c r="I13" s="15">
        <v>4</v>
      </c>
      <c r="J13" s="71" t="s">
        <v>86</v>
      </c>
      <c r="K13" s="75">
        <v>42306</v>
      </c>
    </row>
    <row r="14" spans="1:17" s="73" customFormat="1">
      <c r="A14" s="73" t="s">
        <v>59</v>
      </c>
      <c r="B14" s="73" t="s">
        <v>60</v>
      </c>
      <c r="C14" s="74" t="s">
        <v>71</v>
      </c>
      <c r="D14" s="71" t="s">
        <v>72</v>
      </c>
      <c r="E14" s="16">
        <v>41732</v>
      </c>
      <c r="F14" s="16">
        <v>41745</v>
      </c>
      <c r="G14" s="16">
        <v>41744</v>
      </c>
      <c r="H14" s="16"/>
      <c r="I14" s="15">
        <v>3</v>
      </c>
      <c r="J14" s="71"/>
      <c r="K14" s="75">
        <v>42306</v>
      </c>
    </row>
    <row r="15" spans="1:17" s="73" customFormat="1">
      <c r="A15" s="73" t="s">
        <v>59</v>
      </c>
      <c r="B15" s="73" t="s">
        <v>60</v>
      </c>
      <c r="C15" s="74" t="s">
        <v>93</v>
      </c>
      <c r="D15" s="71" t="s">
        <v>92</v>
      </c>
      <c r="E15" s="16">
        <v>41926</v>
      </c>
      <c r="F15" s="16">
        <v>41961</v>
      </c>
      <c r="G15" s="16">
        <v>41956</v>
      </c>
      <c r="H15" s="16"/>
      <c r="I15" s="15">
        <v>3</v>
      </c>
      <c r="J15" s="71"/>
      <c r="K15" s="75">
        <v>42306</v>
      </c>
    </row>
    <row r="16" spans="1:17" s="91" customFormat="1" ht="45">
      <c r="A16" s="91" t="s">
        <v>59</v>
      </c>
      <c r="B16" s="91" t="s">
        <v>60</v>
      </c>
      <c r="C16" s="92" t="s">
        <v>73</v>
      </c>
      <c r="D16" s="93" t="s">
        <v>74</v>
      </c>
      <c r="E16" s="94">
        <v>41743</v>
      </c>
      <c r="F16" s="94">
        <v>41754</v>
      </c>
      <c r="G16" s="94">
        <v>41753</v>
      </c>
      <c r="H16" s="94"/>
      <c r="I16" s="95">
        <v>3</v>
      </c>
      <c r="J16" s="93"/>
      <c r="K16" s="96">
        <v>42306</v>
      </c>
      <c r="L16" s="97" t="s">
        <v>97</v>
      </c>
    </row>
    <row r="17" spans="1:12">
      <c r="A17" s="73" t="s">
        <v>59</v>
      </c>
      <c r="B17" s="73" t="s">
        <v>60</v>
      </c>
      <c r="C17" s="74" t="s">
        <v>94</v>
      </c>
      <c r="D17" s="71" t="s">
        <v>95</v>
      </c>
      <c r="E17" s="16">
        <v>41927</v>
      </c>
      <c r="F17" s="16">
        <v>41960</v>
      </c>
      <c r="G17" s="16">
        <v>41957</v>
      </c>
      <c r="H17" s="16"/>
      <c r="I17" s="15">
        <v>2</v>
      </c>
      <c r="J17" s="71"/>
      <c r="K17" s="75">
        <v>42306</v>
      </c>
      <c r="L17" s="73"/>
    </row>
    <row r="18" spans="1:12" ht="30">
      <c r="A18" s="73" t="s">
        <v>59</v>
      </c>
      <c r="B18" s="73" t="s">
        <v>60</v>
      </c>
      <c r="C18" s="74" t="s">
        <v>75</v>
      </c>
      <c r="D18" s="71" t="s">
        <v>76</v>
      </c>
      <c r="E18" s="16">
        <v>41702</v>
      </c>
      <c r="F18" s="16">
        <v>41757</v>
      </c>
      <c r="G18" s="16">
        <v>41754</v>
      </c>
      <c r="H18" s="16"/>
      <c r="I18" s="15"/>
      <c r="J18" s="71" t="s">
        <v>87</v>
      </c>
      <c r="K18" s="75">
        <v>42306</v>
      </c>
      <c r="L18" s="73"/>
    </row>
    <row r="19" spans="1:12">
      <c r="A19" s="73" t="s">
        <v>59</v>
      </c>
      <c r="B19" s="73" t="s">
        <v>60</v>
      </c>
      <c r="C19" s="74" t="s">
        <v>77</v>
      </c>
      <c r="D19" s="71" t="s">
        <v>78</v>
      </c>
      <c r="E19" s="16">
        <v>41698</v>
      </c>
      <c r="F19" s="16">
        <v>41759</v>
      </c>
      <c r="G19" s="16">
        <v>41757</v>
      </c>
      <c r="H19" s="16"/>
      <c r="I19" s="15">
        <v>7</v>
      </c>
      <c r="J19" s="71"/>
      <c r="K19" s="75">
        <v>42306</v>
      </c>
      <c r="L19" s="73"/>
    </row>
    <row r="20" spans="1:12">
      <c r="A20" s="28"/>
      <c r="B20" s="28"/>
      <c r="C20" s="27" t="s">
        <v>15</v>
      </c>
      <c r="D20" s="33">
        <f>SUBTOTAL(3,D8:D19)</f>
        <v>12</v>
      </c>
      <c r="E20" s="33">
        <f>SUBTOTAL(3,[Date de réception convention financière])</f>
        <v>12</v>
      </c>
      <c r="F20" s="33">
        <f>SUBTOTAL(3,[Date de réception AR kit])</f>
        <v>12</v>
      </c>
      <c r="G20" s="33">
        <f>SUBTOTAL(3,[Date de MEP])</f>
        <v>12</v>
      </c>
      <c r="H20" s="76">
        <f>SUBTOTAL(3,[Desistement])</f>
        <v>2</v>
      </c>
      <c r="I20" s="27">
        <f>SUBTOTAL(109,I8:I19)</f>
        <v>30</v>
      </c>
      <c r="J20" s="31"/>
      <c r="K20" s="32"/>
    </row>
    <row r="21" spans="1:12">
      <c r="D21" s="10"/>
      <c r="J21" s="10"/>
    </row>
    <row r="22" spans="1:12">
      <c r="C22" s="26" t="s">
        <v>14</v>
      </c>
    </row>
  </sheetData>
  <mergeCells count="1">
    <mergeCell ref="G2:I2"/>
  </mergeCells>
  <pageMargins left="0.31496062992125984" right="0.31496062992125984" top="0.74803149606299213" bottom="0.74803149606299213" header="0.31496062992125984" footer="0.31496062992125984"/>
  <pageSetup paperSize="9" scale="6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198</v>
      </c>
      <c r="N4" s="102" t="str">
        <f>$C$10</f>
        <v>ANDRY-BENZAQUEN Pascale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198</v>
      </c>
      <c r="C10" s="42" t="s">
        <v>62</v>
      </c>
      <c r="D10" s="19">
        <v>1</v>
      </c>
      <c r="E10" s="25">
        <v>41905</v>
      </c>
      <c r="F10" s="25">
        <v>41907</v>
      </c>
      <c r="G10" s="25"/>
      <c r="H10" s="25">
        <v>41907</v>
      </c>
      <c r="I10" s="44" t="s">
        <v>84</v>
      </c>
      <c r="J10" s="25">
        <v>41917</v>
      </c>
      <c r="K10" s="25"/>
      <c r="L10" s="25">
        <v>41976</v>
      </c>
      <c r="M10" s="25"/>
      <c r="N10" s="25">
        <v>42025</v>
      </c>
      <c r="O10" s="25"/>
      <c r="P10" s="25"/>
      <c r="Q10" s="25">
        <v>42270</v>
      </c>
      <c r="R10" s="25">
        <v>42087</v>
      </c>
      <c r="S10" s="25">
        <v>42158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198</v>
      </c>
      <c r="C11" t="s">
        <v>62</v>
      </c>
      <c r="D11" s="19">
        <v>2</v>
      </c>
      <c r="E11" s="25">
        <v>41989</v>
      </c>
      <c r="F11" s="25">
        <v>41991</v>
      </c>
      <c r="H11" s="25">
        <v>42017</v>
      </c>
      <c r="I11" t="s">
        <v>96</v>
      </c>
      <c r="J11" s="25">
        <v>42001</v>
      </c>
      <c r="K11" s="25">
        <v>42018</v>
      </c>
      <c r="L11" s="25">
        <v>42060</v>
      </c>
      <c r="M11" s="25">
        <v>42074</v>
      </c>
      <c r="N11" s="25">
        <v>42109</v>
      </c>
      <c r="Q11" s="25">
        <v>42354</v>
      </c>
      <c r="R11" s="25">
        <v>42083</v>
      </c>
      <c r="S11" s="25">
        <v>42088</v>
      </c>
      <c r="T11" t="s">
        <v>61</v>
      </c>
      <c r="U11" s="12">
        <v>42306</v>
      </c>
    </row>
    <row r="12" spans="2:48">
      <c r="B12">
        <v>198</v>
      </c>
      <c r="C12" t="s">
        <v>62</v>
      </c>
      <c r="D12" s="19">
        <v>3</v>
      </c>
      <c r="I12" t="s">
        <v>57</v>
      </c>
      <c r="T12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7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$U$12</f>
        <v>42306</v>
      </c>
      <c r="G4" s="50"/>
      <c r="H4" s="50"/>
      <c r="I4" s="34"/>
      <c r="J4" s="50"/>
      <c r="K4" s="50"/>
      <c r="L4" s="78" t="s">
        <v>17</v>
      </c>
      <c r="M4" s="63">
        <f>$B$12</f>
        <v>413</v>
      </c>
      <c r="N4" s="102" t="str">
        <f>$C$12</f>
        <v>CARDINNE Anne-Marie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0" t="s">
        <v>32</v>
      </c>
      <c r="M8" s="80" t="s">
        <v>31</v>
      </c>
      <c r="N8" s="79" t="s">
        <v>33</v>
      </c>
      <c r="O8" s="79" t="s">
        <v>34</v>
      </c>
      <c r="P8" s="79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413</v>
      </c>
      <c r="C10" s="42" t="s">
        <v>91</v>
      </c>
      <c r="D10" s="19">
        <v>1</v>
      </c>
      <c r="E10" s="25">
        <v>41934</v>
      </c>
      <c r="F10" s="25">
        <v>41941</v>
      </c>
      <c r="G10" s="25"/>
      <c r="H10" s="25"/>
      <c r="I10" s="70" t="s">
        <v>57</v>
      </c>
      <c r="J10" s="25">
        <v>41946</v>
      </c>
      <c r="K10" s="25"/>
      <c r="L10" s="25">
        <v>42005</v>
      </c>
      <c r="M10" s="25"/>
      <c r="N10" s="25">
        <v>42054</v>
      </c>
      <c r="O10" s="25">
        <v>41968</v>
      </c>
      <c r="P10" s="25">
        <v>41982</v>
      </c>
      <c r="Q10" s="25">
        <v>42299</v>
      </c>
      <c r="R10" s="25"/>
      <c r="S10" s="25"/>
      <c r="T10" s="42" t="s">
        <v>90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9">
        <v>413</v>
      </c>
      <c r="C11" s="90" t="s">
        <v>91</v>
      </c>
      <c r="D11" s="19">
        <v>2</v>
      </c>
      <c r="E11" s="25">
        <v>41937</v>
      </c>
      <c r="F11" s="25">
        <v>41940</v>
      </c>
      <c r="G11" s="25">
        <v>41940</v>
      </c>
      <c r="H11" s="25">
        <v>41940</v>
      </c>
      <c r="I11" s="70" t="s">
        <v>81</v>
      </c>
      <c r="J11" s="25">
        <v>41949</v>
      </c>
      <c r="K11" s="25">
        <v>41961</v>
      </c>
      <c r="L11" s="25">
        <v>42008</v>
      </c>
      <c r="M11" s="25">
        <v>41984</v>
      </c>
      <c r="N11" s="25">
        <v>42057</v>
      </c>
      <c r="O11" s="25">
        <v>41978</v>
      </c>
      <c r="P11" s="25">
        <v>41982</v>
      </c>
      <c r="Q11" s="25">
        <v>42302</v>
      </c>
      <c r="T11" s="90" t="s">
        <v>90</v>
      </c>
      <c r="U11" s="12">
        <v>42306</v>
      </c>
    </row>
    <row r="12" spans="2:48" ht="25.5">
      <c r="B12" s="89">
        <v>413</v>
      </c>
      <c r="C12" s="90" t="s">
        <v>91</v>
      </c>
      <c r="D12" s="19">
        <v>3</v>
      </c>
      <c r="E12" s="25">
        <v>41940</v>
      </c>
      <c r="F12" s="25">
        <v>41946</v>
      </c>
      <c r="G12" s="25">
        <v>41946</v>
      </c>
      <c r="H12" s="25">
        <v>41946</v>
      </c>
      <c r="I12" s="70" t="s">
        <v>85</v>
      </c>
      <c r="J12" s="25">
        <v>41952</v>
      </c>
      <c r="K12" s="25">
        <v>41969</v>
      </c>
      <c r="L12" s="25">
        <v>42011</v>
      </c>
      <c r="M12" s="25">
        <v>42025</v>
      </c>
      <c r="N12" s="25">
        <v>42060</v>
      </c>
      <c r="Q12" s="25">
        <v>42305</v>
      </c>
      <c r="T12" s="90" t="s">
        <v>90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199</v>
      </c>
      <c r="N4" s="102" t="str">
        <f>$C$14</f>
        <v>CARREAU Olivier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199</v>
      </c>
      <c r="C10" s="42" t="s">
        <v>64</v>
      </c>
      <c r="D10" s="19">
        <v>1</v>
      </c>
      <c r="E10" s="25">
        <v>41765</v>
      </c>
      <c r="F10" s="25">
        <v>41782</v>
      </c>
      <c r="G10" s="25"/>
      <c r="H10" s="25"/>
      <c r="I10" s="44" t="s">
        <v>57</v>
      </c>
      <c r="J10" s="25">
        <v>41777</v>
      </c>
      <c r="K10" s="25"/>
      <c r="L10" s="25">
        <v>41836</v>
      </c>
      <c r="M10" s="25"/>
      <c r="N10" s="25">
        <v>41885</v>
      </c>
      <c r="O10" s="25"/>
      <c r="P10" s="25"/>
      <c r="Q10" s="25">
        <v>42130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199</v>
      </c>
      <c r="C11" s="69" t="s">
        <v>64</v>
      </c>
      <c r="D11" s="19">
        <v>2</v>
      </c>
      <c r="E11" s="25">
        <v>41772</v>
      </c>
      <c r="F11" s="25">
        <v>41782</v>
      </c>
      <c r="H11" s="25">
        <v>41786</v>
      </c>
      <c r="I11" s="70" t="s">
        <v>79</v>
      </c>
      <c r="J11" s="25">
        <v>41784</v>
      </c>
      <c r="K11" s="25">
        <v>41786</v>
      </c>
      <c r="L11" s="25">
        <v>41843</v>
      </c>
      <c r="M11" s="25">
        <v>41835</v>
      </c>
      <c r="N11" s="25">
        <v>41892</v>
      </c>
      <c r="Q11" s="25">
        <v>42137</v>
      </c>
      <c r="T11" s="69" t="s">
        <v>63</v>
      </c>
      <c r="U11" s="12">
        <v>42306</v>
      </c>
    </row>
    <row r="12" spans="2:48" ht="25.5">
      <c r="B12" s="68">
        <v>199</v>
      </c>
      <c r="C12" s="69" t="s">
        <v>64</v>
      </c>
      <c r="D12" s="19">
        <v>3</v>
      </c>
      <c r="E12" s="25">
        <v>41772</v>
      </c>
      <c r="F12" s="25">
        <v>41782</v>
      </c>
      <c r="H12" s="25">
        <v>41780</v>
      </c>
      <c r="I12" s="70" t="s">
        <v>80</v>
      </c>
      <c r="J12" s="25">
        <v>41784</v>
      </c>
      <c r="K12" s="25">
        <v>41782</v>
      </c>
      <c r="L12" s="25">
        <v>41843</v>
      </c>
      <c r="N12" s="25">
        <v>41892</v>
      </c>
      <c r="Q12" s="25">
        <v>42137</v>
      </c>
      <c r="T12" s="69" t="s">
        <v>63</v>
      </c>
      <c r="U12" s="12">
        <v>42306</v>
      </c>
    </row>
    <row r="13" spans="2:48" ht="25.5">
      <c r="B13" s="68">
        <v>199</v>
      </c>
      <c r="C13" s="69" t="s">
        <v>64</v>
      </c>
      <c r="D13" s="19">
        <v>4</v>
      </c>
      <c r="I13" s="70" t="s">
        <v>57</v>
      </c>
      <c r="T13" s="69" t="s">
        <v>63</v>
      </c>
      <c r="U13" s="12">
        <v>42306</v>
      </c>
    </row>
    <row r="14" spans="2:48" ht="25.5">
      <c r="B14" s="68">
        <v>199</v>
      </c>
      <c r="C14" s="69" t="s">
        <v>64</v>
      </c>
      <c r="D14" s="19">
        <v>5</v>
      </c>
      <c r="I14" s="70" t="s">
        <v>57</v>
      </c>
      <c r="T14" s="69" t="s">
        <v>63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259</v>
      </c>
      <c r="N4" s="102" t="str">
        <f>$C$12</f>
        <v>CHAZERAIN Véronique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259</v>
      </c>
      <c r="C10" s="42" t="s">
        <v>66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259</v>
      </c>
      <c r="C11" s="69" t="s">
        <v>66</v>
      </c>
      <c r="D11" s="19">
        <v>2</v>
      </c>
      <c r="I11" s="70" t="s">
        <v>57</v>
      </c>
      <c r="T11" s="69" t="s">
        <v>65</v>
      </c>
      <c r="U11" s="12">
        <v>42306</v>
      </c>
    </row>
    <row r="12" spans="2:48" ht="25.5">
      <c r="B12" s="68">
        <v>259</v>
      </c>
      <c r="C12" s="69" t="s">
        <v>66</v>
      </c>
      <c r="D12" s="19">
        <v>3</v>
      </c>
      <c r="I12" s="70" t="s">
        <v>57</v>
      </c>
      <c r="T12" s="69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200</v>
      </c>
      <c r="N4" s="102" t="str">
        <f>$C$12</f>
        <v>CIABRINI Marie-Dominique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200</v>
      </c>
      <c r="C10" s="42" t="s">
        <v>68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200</v>
      </c>
      <c r="C11" s="69" t="s">
        <v>68</v>
      </c>
      <c r="D11" s="19">
        <v>2</v>
      </c>
      <c r="I11" s="44" t="s">
        <v>57</v>
      </c>
      <c r="T11" s="69" t="s">
        <v>67</v>
      </c>
      <c r="U11" s="12">
        <v>42306</v>
      </c>
    </row>
    <row r="12" spans="2:48" ht="25.5">
      <c r="B12" s="68">
        <v>200</v>
      </c>
      <c r="C12" s="69" t="s">
        <v>68</v>
      </c>
      <c r="D12" s="19">
        <v>3</v>
      </c>
      <c r="I12" s="44" t="s">
        <v>57</v>
      </c>
      <c r="T12" s="69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265</v>
      </c>
      <c r="N4" s="102" t="str">
        <f>$C$14</f>
        <v>DEWERDT-MABECQUE Sylvie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265</v>
      </c>
      <c r="C10" s="42" t="s">
        <v>70</v>
      </c>
      <c r="D10" s="19">
        <v>1</v>
      </c>
      <c r="E10" s="25">
        <v>41765</v>
      </c>
      <c r="F10" s="25">
        <v>41771</v>
      </c>
      <c r="G10" s="25"/>
      <c r="H10" s="25">
        <v>41774</v>
      </c>
      <c r="I10" s="44" t="s">
        <v>81</v>
      </c>
      <c r="J10" s="25">
        <v>41777</v>
      </c>
      <c r="K10" s="25">
        <v>41774</v>
      </c>
      <c r="L10" s="25">
        <v>41836</v>
      </c>
      <c r="M10" s="25">
        <v>41815</v>
      </c>
      <c r="N10" s="25">
        <v>41885</v>
      </c>
      <c r="O10" s="25">
        <v>41894</v>
      </c>
      <c r="P10" s="25">
        <v>41905</v>
      </c>
      <c r="Q10" s="25">
        <v>42130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265</v>
      </c>
      <c r="C11" s="69" t="s">
        <v>70</v>
      </c>
      <c r="D11" s="19">
        <v>2</v>
      </c>
      <c r="E11" s="25">
        <v>41758</v>
      </c>
      <c r="F11" s="25">
        <v>41761</v>
      </c>
      <c r="G11" s="25">
        <v>41761</v>
      </c>
      <c r="I11" s="70" t="s">
        <v>57</v>
      </c>
      <c r="J11" s="25">
        <v>41770</v>
      </c>
      <c r="L11" s="25">
        <v>41829</v>
      </c>
      <c r="N11" s="25">
        <v>41878</v>
      </c>
      <c r="Q11" s="25">
        <v>42123</v>
      </c>
      <c r="R11" s="25">
        <v>41899</v>
      </c>
      <c r="S11" s="25">
        <v>41905</v>
      </c>
      <c r="T11" s="69" t="s">
        <v>69</v>
      </c>
      <c r="U11" s="12">
        <v>42306</v>
      </c>
    </row>
    <row r="12" spans="2:48" ht="25.5">
      <c r="B12" s="68">
        <v>265</v>
      </c>
      <c r="C12" s="69" t="s">
        <v>70</v>
      </c>
      <c r="D12" s="19">
        <v>3</v>
      </c>
      <c r="E12" s="25">
        <v>41758</v>
      </c>
      <c r="F12" s="25">
        <v>41761</v>
      </c>
      <c r="G12" s="25">
        <v>41761</v>
      </c>
      <c r="I12" s="70" t="s">
        <v>57</v>
      </c>
      <c r="J12" s="25">
        <v>41770</v>
      </c>
      <c r="L12" s="25">
        <v>41829</v>
      </c>
      <c r="N12" s="25">
        <v>41878</v>
      </c>
      <c r="O12" s="25">
        <v>41899</v>
      </c>
      <c r="P12" s="25">
        <v>41905</v>
      </c>
      <c r="Q12" s="25">
        <v>42123</v>
      </c>
      <c r="T12" s="69" t="s">
        <v>69</v>
      </c>
      <c r="U12" s="12">
        <v>42306</v>
      </c>
    </row>
    <row r="13" spans="2:48" ht="25.5">
      <c r="B13" s="68">
        <v>265</v>
      </c>
      <c r="C13" s="69" t="s">
        <v>70</v>
      </c>
      <c r="D13" s="19">
        <v>4</v>
      </c>
      <c r="I13" s="70" t="s">
        <v>57</v>
      </c>
      <c r="T13" s="69" t="s">
        <v>69</v>
      </c>
      <c r="U13" s="12">
        <v>42306</v>
      </c>
    </row>
    <row r="14" spans="2:48" ht="25.5">
      <c r="B14" s="68">
        <v>265</v>
      </c>
      <c r="C14" s="69" t="s">
        <v>70</v>
      </c>
      <c r="D14" s="19">
        <v>5</v>
      </c>
      <c r="E14" s="25">
        <v>41802</v>
      </c>
      <c r="F14" s="25">
        <v>41806</v>
      </c>
      <c r="H14" s="25">
        <v>41816</v>
      </c>
      <c r="I14" s="70" t="s">
        <v>81</v>
      </c>
      <c r="J14" s="25">
        <v>41814</v>
      </c>
      <c r="K14" s="25">
        <v>41816</v>
      </c>
      <c r="L14" s="25">
        <v>41873</v>
      </c>
      <c r="M14" s="25">
        <v>41894</v>
      </c>
      <c r="N14" s="25">
        <v>41922</v>
      </c>
      <c r="Q14" s="25">
        <v>42167</v>
      </c>
      <c r="R14" s="25">
        <v>41955</v>
      </c>
      <c r="S14" s="25">
        <v>41960</v>
      </c>
      <c r="T14" s="69" t="s">
        <v>69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8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$U$12</f>
        <v>42306</v>
      </c>
      <c r="G4" s="50"/>
      <c r="H4" s="50"/>
      <c r="I4" s="34"/>
      <c r="J4" s="50"/>
      <c r="K4" s="50"/>
      <c r="L4" s="82" t="s">
        <v>17</v>
      </c>
      <c r="M4" s="63">
        <f>$B$12</f>
        <v>419</v>
      </c>
      <c r="N4" s="102" t="str">
        <f>$C$12</f>
        <v>GAUTIER DESNOYERS Françoise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4" t="s">
        <v>32</v>
      </c>
      <c r="M8" s="84" t="s">
        <v>31</v>
      </c>
      <c r="N8" s="83" t="s">
        <v>33</v>
      </c>
      <c r="O8" s="83" t="s">
        <v>34</v>
      </c>
      <c r="P8" s="8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419</v>
      </c>
      <c r="C10" s="42" t="s">
        <v>92</v>
      </c>
      <c r="D10" s="19">
        <v>1</v>
      </c>
      <c r="E10" s="25">
        <v>41957</v>
      </c>
      <c r="F10" s="25">
        <v>41960</v>
      </c>
      <c r="G10" s="25">
        <v>41969</v>
      </c>
      <c r="H10" s="25">
        <v>41969</v>
      </c>
      <c r="I10" s="70" t="s">
        <v>96</v>
      </c>
      <c r="J10" s="25">
        <v>41969</v>
      </c>
      <c r="K10" s="25">
        <v>41976</v>
      </c>
      <c r="L10" s="25">
        <v>42028</v>
      </c>
      <c r="M10" s="25">
        <v>42037</v>
      </c>
      <c r="N10" s="25">
        <v>42077</v>
      </c>
      <c r="O10" s="25">
        <v>41992</v>
      </c>
      <c r="P10" s="25">
        <v>41995</v>
      </c>
      <c r="Q10" s="25">
        <v>42322</v>
      </c>
      <c r="R10" s="25"/>
      <c r="S10" s="25"/>
      <c r="T10" s="42" t="s">
        <v>93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89">
        <v>419</v>
      </c>
      <c r="C11" s="90" t="s">
        <v>92</v>
      </c>
      <c r="D11" s="19">
        <v>2</v>
      </c>
      <c r="E11" s="25">
        <v>41958</v>
      </c>
      <c r="F11" s="25">
        <v>41962</v>
      </c>
      <c r="G11" s="25">
        <v>41962</v>
      </c>
      <c r="H11" s="25">
        <v>41964</v>
      </c>
      <c r="I11" s="70" t="s">
        <v>85</v>
      </c>
      <c r="J11" s="25">
        <v>41970</v>
      </c>
      <c r="K11" s="25">
        <v>41968</v>
      </c>
      <c r="L11" s="25">
        <v>42029</v>
      </c>
      <c r="M11" s="25">
        <v>42027</v>
      </c>
      <c r="N11" s="25">
        <v>42078</v>
      </c>
      <c r="O11" s="25">
        <v>41979</v>
      </c>
      <c r="P11" s="25">
        <v>41982</v>
      </c>
      <c r="Q11" s="25">
        <v>42323</v>
      </c>
      <c r="T11" s="90" t="s">
        <v>93</v>
      </c>
      <c r="U11" s="12">
        <v>42306</v>
      </c>
    </row>
    <row r="12" spans="2:48" ht="18" customHeight="1">
      <c r="B12" s="89">
        <v>419</v>
      </c>
      <c r="C12" s="90" t="s">
        <v>92</v>
      </c>
      <c r="D12" s="19">
        <v>3</v>
      </c>
      <c r="E12" s="25">
        <v>41976</v>
      </c>
      <c r="F12" s="25">
        <v>41978</v>
      </c>
      <c r="G12" s="25">
        <v>41978</v>
      </c>
      <c r="H12" s="25">
        <v>42087</v>
      </c>
      <c r="I12" s="70" t="s">
        <v>96</v>
      </c>
      <c r="J12" s="25">
        <v>41988</v>
      </c>
      <c r="K12" s="25">
        <v>42087</v>
      </c>
      <c r="L12" s="25">
        <v>42047</v>
      </c>
      <c r="M12" s="25">
        <v>42087</v>
      </c>
      <c r="N12" s="25">
        <v>42096</v>
      </c>
      <c r="O12" s="25">
        <v>42070</v>
      </c>
      <c r="P12" s="25">
        <v>42074</v>
      </c>
      <c r="Q12" s="25">
        <v>42341</v>
      </c>
      <c r="T12" s="90" t="s">
        <v>93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202</v>
      </c>
      <c r="N4" s="102" t="str">
        <f>$C$12</f>
        <v>FEKIR Khadidja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202</v>
      </c>
      <c r="C10" s="42" t="s">
        <v>72</v>
      </c>
      <c r="D10" s="19">
        <v>1</v>
      </c>
      <c r="E10" s="25">
        <v>41759</v>
      </c>
      <c r="F10" s="25">
        <v>41829</v>
      </c>
      <c r="G10" s="25">
        <v>41829</v>
      </c>
      <c r="H10" s="25"/>
      <c r="I10" s="44" t="s">
        <v>57</v>
      </c>
      <c r="J10" s="25">
        <v>41771</v>
      </c>
      <c r="K10" s="25">
        <v>41829</v>
      </c>
      <c r="L10" s="25">
        <v>41830</v>
      </c>
      <c r="M10" s="25">
        <v>41831</v>
      </c>
      <c r="N10" s="25">
        <v>41879</v>
      </c>
      <c r="O10" s="25">
        <v>41827</v>
      </c>
      <c r="P10" s="25">
        <v>41829</v>
      </c>
      <c r="Q10" s="25">
        <v>42124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202</v>
      </c>
      <c r="C11" s="69" t="s">
        <v>72</v>
      </c>
      <c r="D11" s="19">
        <v>2</v>
      </c>
      <c r="E11" s="25">
        <v>41764</v>
      </c>
      <c r="F11" s="25">
        <v>41829</v>
      </c>
      <c r="G11" s="25">
        <v>41802</v>
      </c>
      <c r="H11" s="25">
        <v>41802</v>
      </c>
      <c r="I11" s="44" t="s">
        <v>82</v>
      </c>
      <c r="J11" s="25">
        <v>41776</v>
      </c>
      <c r="K11" s="25">
        <v>41802</v>
      </c>
      <c r="L11" s="25">
        <v>41835</v>
      </c>
      <c r="M11" s="25">
        <v>41907</v>
      </c>
      <c r="N11" s="25">
        <v>41884</v>
      </c>
      <c r="O11" s="25">
        <v>41800</v>
      </c>
      <c r="P11" s="25">
        <v>41802</v>
      </c>
      <c r="Q11" s="25">
        <v>42129</v>
      </c>
      <c r="T11" s="69" t="s">
        <v>71</v>
      </c>
      <c r="U11" s="12">
        <v>42306</v>
      </c>
    </row>
    <row r="12" spans="2:48" ht="18" customHeight="1">
      <c r="B12" s="68">
        <v>202</v>
      </c>
      <c r="C12" s="69" t="s">
        <v>72</v>
      </c>
      <c r="D12" s="19">
        <v>3</v>
      </c>
      <c r="E12" s="25">
        <v>41821</v>
      </c>
      <c r="F12" s="25">
        <v>41829</v>
      </c>
      <c r="H12" s="25">
        <v>41836</v>
      </c>
      <c r="I12" s="44" t="s">
        <v>81</v>
      </c>
      <c r="J12" s="25">
        <v>41833</v>
      </c>
      <c r="K12" s="25">
        <v>41843</v>
      </c>
      <c r="L12" s="25">
        <v>41892</v>
      </c>
      <c r="M12" s="25">
        <v>41897</v>
      </c>
      <c r="N12" s="25">
        <v>41941</v>
      </c>
      <c r="O12" s="25">
        <v>41852</v>
      </c>
      <c r="P12" s="25">
        <v>41899</v>
      </c>
      <c r="Q12" s="25">
        <v>42186</v>
      </c>
      <c r="T12" s="69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0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203</v>
      </c>
      <c r="N4" s="102" t="str">
        <f>$C$14</f>
        <v>MARCHAT Christine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203</v>
      </c>
      <c r="C10" s="42" t="s">
        <v>74</v>
      </c>
      <c r="D10" s="19">
        <v>1</v>
      </c>
      <c r="E10" s="25">
        <v>41758</v>
      </c>
      <c r="F10" s="25">
        <v>41761</v>
      </c>
      <c r="G10" s="25">
        <v>41761</v>
      </c>
      <c r="H10" s="25">
        <v>41761</v>
      </c>
      <c r="I10" s="44" t="s">
        <v>83</v>
      </c>
      <c r="J10" s="25">
        <v>41770</v>
      </c>
      <c r="K10" s="25">
        <v>41782</v>
      </c>
      <c r="L10" s="25">
        <v>41829</v>
      </c>
      <c r="M10" s="25">
        <v>41802</v>
      </c>
      <c r="N10" s="25">
        <v>41878</v>
      </c>
      <c r="O10" s="25">
        <v>41800</v>
      </c>
      <c r="P10" s="25">
        <v>41802</v>
      </c>
      <c r="Q10" s="25">
        <v>42123</v>
      </c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203</v>
      </c>
      <c r="C11" s="69" t="s">
        <v>74</v>
      </c>
      <c r="D11" s="19">
        <v>2</v>
      </c>
      <c r="E11" s="25">
        <v>41772</v>
      </c>
      <c r="F11" s="25">
        <v>41774</v>
      </c>
      <c r="G11" s="25">
        <v>41778</v>
      </c>
      <c r="H11" s="25">
        <v>41774</v>
      </c>
      <c r="I11" s="70" t="s">
        <v>84</v>
      </c>
      <c r="J11" s="25">
        <v>41784</v>
      </c>
      <c r="K11" s="25">
        <v>41781</v>
      </c>
      <c r="L11" s="25">
        <v>41843</v>
      </c>
      <c r="M11" s="25">
        <v>41843</v>
      </c>
      <c r="N11" s="25">
        <v>41892</v>
      </c>
      <c r="Q11" s="25">
        <v>42137</v>
      </c>
      <c r="T11" s="69" t="s">
        <v>73</v>
      </c>
      <c r="U11" s="12">
        <v>42306</v>
      </c>
    </row>
    <row r="12" spans="2:48" ht="18" customHeight="1">
      <c r="B12" s="68">
        <v>203</v>
      </c>
      <c r="C12" s="69" t="s">
        <v>74</v>
      </c>
      <c r="D12" s="19">
        <v>3</v>
      </c>
      <c r="E12" s="25">
        <v>41778</v>
      </c>
      <c r="F12" s="25">
        <v>41782</v>
      </c>
      <c r="H12" s="25">
        <v>41782</v>
      </c>
      <c r="I12" s="70" t="s">
        <v>85</v>
      </c>
      <c r="J12" s="25">
        <v>41790</v>
      </c>
      <c r="K12" s="25">
        <v>41801</v>
      </c>
      <c r="L12" s="25">
        <v>41849</v>
      </c>
      <c r="M12" s="25">
        <v>41879</v>
      </c>
      <c r="N12" s="25">
        <v>41898</v>
      </c>
      <c r="Q12" s="25">
        <v>42143</v>
      </c>
      <c r="T12" s="69" t="s">
        <v>73</v>
      </c>
      <c r="U12" s="12">
        <v>42306</v>
      </c>
    </row>
    <row r="13" spans="2:48" ht="25.5">
      <c r="B13" s="68">
        <v>203</v>
      </c>
      <c r="C13" s="69" t="s">
        <v>74</v>
      </c>
      <c r="D13" s="19">
        <v>4</v>
      </c>
      <c r="I13" s="70" t="s">
        <v>57</v>
      </c>
      <c r="T13" s="69" t="s">
        <v>73</v>
      </c>
      <c r="U13" s="12">
        <v>42306</v>
      </c>
    </row>
    <row r="14" spans="2:48" ht="25.5">
      <c r="B14" s="68">
        <v>203</v>
      </c>
      <c r="C14" s="69" t="s">
        <v>74</v>
      </c>
      <c r="D14" s="19">
        <v>5</v>
      </c>
      <c r="I14" s="70" t="s">
        <v>57</v>
      </c>
      <c r="T14" s="69" t="s">
        <v>73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1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8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$U$12</f>
        <v>42306</v>
      </c>
      <c r="G4" s="50"/>
      <c r="H4" s="50"/>
      <c r="I4" s="34"/>
      <c r="J4" s="50"/>
      <c r="K4" s="50"/>
      <c r="L4" s="86" t="s">
        <v>17</v>
      </c>
      <c r="M4" s="63">
        <f>$B$12</f>
        <v>417</v>
      </c>
      <c r="N4" s="102" t="str">
        <f>$C$12</f>
        <v>MASSIS Françoise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8" t="s">
        <v>32</v>
      </c>
      <c r="M8" s="88" t="s">
        <v>31</v>
      </c>
      <c r="N8" s="87" t="s">
        <v>33</v>
      </c>
      <c r="O8" s="87" t="s">
        <v>34</v>
      </c>
      <c r="P8" s="8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417</v>
      </c>
      <c r="C10" s="42" t="s">
        <v>95</v>
      </c>
      <c r="D10" s="19">
        <v>1</v>
      </c>
      <c r="E10" s="25">
        <v>41974</v>
      </c>
      <c r="F10" s="25">
        <v>42059</v>
      </c>
      <c r="G10" s="25">
        <v>42059</v>
      </c>
      <c r="H10" s="25"/>
      <c r="I10" s="70" t="s">
        <v>57</v>
      </c>
      <c r="J10" s="25">
        <v>41986</v>
      </c>
      <c r="K10" s="25"/>
      <c r="L10" s="25">
        <v>42045</v>
      </c>
      <c r="M10" s="25"/>
      <c r="N10" s="25">
        <v>42094</v>
      </c>
      <c r="O10" s="25">
        <v>42083</v>
      </c>
      <c r="P10" s="25">
        <v>42165</v>
      </c>
      <c r="Q10" s="25">
        <v>42339</v>
      </c>
      <c r="R10" s="25">
        <v>42188</v>
      </c>
      <c r="S10" s="25">
        <v>42256</v>
      </c>
      <c r="T10" s="42" t="s">
        <v>94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89">
        <v>417</v>
      </c>
      <c r="C11" s="90" t="s">
        <v>95</v>
      </c>
      <c r="D11" s="19">
        <v>2</v>
      </c>
      <c r="E11" s="25">
        <v>41985</v>
      </c>
      <c r="F11" s="25">
        <v>42059</v>
      </c>
      <c r="I11" s="70" t="s">
        <v>57</v>
      </c>
      <c r="J11" s="25">
        <v>41997</v>
      </c>
      <c r="L11" s="25">
        <v>42056</v>
      </c>
      <c r="N11" s="25">
        <v>42105</v>
      </c>
      <c r="O11" s="25">
        <v>42070</v>
      </c>
      <c r="P11" s="25">
        <v>42073</v>
      </c>
      <c r="Q11" s="25">
        <v>42350</v>
      </c>
      <c r="R11" s="25">
        <v>42186</v>
      </c>
      <c r="S11" s="25">
        <v>42256</v>
      </c>
      <c r="T11" s="90" t="s">
        <v>94</v>
      </c>
      <c r="U11" s="12">
        <v>42306</v>
      </c>
    </row>
    <row r="12" spans="2:48" ht="18" customHeight="1">
      <c r="B12" s="89">
        <v>417</v>
      </c>
      <c r="C12" s="90" t="s">
        <v>95</v>
      </c>
      <c r="D12" s="19">
        <v>3</v>
      </c>
      <c r="I12" s="70" t="s">
        <v>57</v>
      </c>
      <c r="T12" s="90" t="s">
        <v>94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2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271</v>
      </c>
      <c r="N4" s="102" t="str">
        <f>$C$14</f>
        <v>OLIVE Sylvie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271</v>
      </c>
      <c r="C10" s="42" t="s">
        <v>76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271</v>
      </c>
      <c r="C11" s="69" t="s">
        <v>76</v>
      </c>
      <c r="D11" s="19">
        <v>2</v>
      </c>
      <c r="I11" s="70" t="s">
        <v>57</v>
      </c>
      <c r="T11" s="69" t="s">
        <v>75</v>
      </c>
      <c r="U11" s="12">
        <v>42306</v>
      </c>
    </row>
    <row r="12" spans="2:48" ht="18" customHeight="1">
      <c r="B12" s="68">
        <v>271</v>
      </c>
      <c r="C12" s="69" t="s">
        <v>76</v>
      </c>
      <c r="D12" s="19">
        <v>3</v>
      </c>
      <c r="I12" s="70" t="s">
        <v>57</v>
      </c>
      <c r="T12" s="69" t="s">
        <v>75</v>
      </c>
      <c r="U12" s="12">
        <v>42306</v>
      </c>
    </row>
    <row r="13" spans="2:48" ht="25.5">
      <c r="B13" s="68">
        <v>271</v>
      </c>
      <c r="C13" s="69" t="s">
        <v>76</v>
      </c>
      <c r="D13" s="19">
        <v>4</v>
      </c>
      <c r="I13" s="70" t="s">
        <v>57</v>
      </c>
      <c r="T13" s="69" t="s">
        <v>75</v>
      </c>
      <c r="U13" s="12">
        <v>42306</v>
      </c>
    </row>
    <row r="14" spans="2:48" ht="25.5">
      <c r="B14" s="68">
        <v>271</v>
      </c>
      <c r="C14" s="69" t="s">
        <v>76</v>
      </c>
      <c r="D14" s="19">
        <v>5</v>
      </c>
      <c r="I14" s="70" t="s">
        <v>57</v>
      </c>
      <c r="T14" s="69" t="s">
        <v>75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3"/>
  <dimension ref="B1:AV16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4" t="s">
        <v>58</v>
      </c>
      <c r="E4" s="114"/>
      <c r="F4" s="53">
        <f>$U$16</f>
        <v>42306</v>
      </c>
      <c r="G4" s="50"/>
      <c r="H4" s="50"/>
      <c r="I4" s="34"/>
      <c r="J4" s="50"/>
      <c r="K4" s="50"/>
      <c r="L4" s="65" t="s">
        <v>17</v>
      </c>
      <c r="M4" s="63">
        <f>$B$16</f>
        <v>201</v>
      </c>
      <c r="N4" s="102" t="str">
        <f>$C$16</f>
        <v>PENSO Dominique Elsa</v>
      </c>
      <c r="O4" s="102"/>
      <c r="P4" s="102"/>
      <c r="Q4" s="102"/>
      <c r="R4" s="10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5" t="s">
        <v>19</v>
      </c>
      <c r="F7" s="106"/>
      <c r="G7" s="106"/>
      <c r="H7" s="106"/>
      <c r="I7" s="106"/>
      <c r="J7" s="107" t="s">
        <v>20</v>
      </c>
      <c r="K7" s="108"/>
      <c r="L7" s="109" t="s">
        <v>21</v>
      </c>
      <c r="M7" s="109"/>
      <c r="N7" s="110" t="s">
        <v>22</v>
      </c>
      <c r="O7" s="111"/>
      <c r="P7" s="112"/>
      <c r="Q7" s="113" t="s">
        <v>23</v>
      </c>
      <c r="R7" s="111"/>
      <c r="S7" s="11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201</v>
      </c>
      <c r="C10" s="42" t="s">
        <v>78</v>
      </c>
      <c r="D10" s="19">
        <v>1</v>
      </c>
      <c r="E10" s="25">
        <v>41759</v>
      </c>
      <c r="F10" s="25">
        <v>41764</v>
      </c>
      <c r="G10" s="25">
        <v>41764</v>
      </c>
      <c r="H10" s="25"/>
      <c r="I10" s="44" t="s">
        <v>57</v>
      </c>
      <c r="J10" s="25">
        <v>41771</v>
      </c>
      <c r="K10" s="25"/>
      <c r="L10" s="25">
        <v>41830</v>
      </c>
      <c r="M10" s="25"/>
      <c r="N10" s="25">
        <v>41879</v>
      </c>
      <c r="O10" s="25"/>
      <c r="P10" s="25"/>
      <c r="Q10" s="25">
        <v>42124</v>
      </c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68">
        <v>201</v>
      </c>
      <c r="C11" s="69" t="s">
        <v>78</v>
      </c>
      <c r="D11" s="19">
        <v>2</v>
      </c>
      <c r="E11" s="25">
        <v>41773</v>
      </c>
      <c r="F11" s="25">
        <v>41775</v>
      </c>
      <c r="G11" s="25">
        <v>41775</v>
      </c>
      <c r="I11" s="44" t="s">
        <v>57</v>
      </c>
      <c r="J11" s="25">
        <v>41785</v>
      </c>
      <c r="K11" s="25">
        <v>41793</v>
      </c>
      <c r="L11" s="25">
        <v>41844</v>
      </c>
      <c r="N11" s="25">
        <v>41893</v>
      </c>
      <c r="O11" s="25">
        <v>41806</v>
      </c>
      <c r="P11" s="25">
        <v>41808</v>
      </c>
      <c r="Q11" s="25">
        <v>42138</v>
      </c>
      <c r="T11" s="69" t="s">
        <v>77</v>
      </c>
      <c r="U11" s="12">
        <v>42306</v>
      </c>
    </row>
    <row r="12" spans="2:48" ht="18" customHeight="1">
      <c r="B12" s="68">
        <v>201</v>
      </c>
      <c r="C12" s="69" t="s">
        <v>78</v>
      </c>
      <c r="D12" s="19">
        <v>3</v>
      </c>
      <c r="E12" s="25">
        <v>41778</v>
      </c>
      <c r="F12" s="25">
        <v>41780</v>
      </c>
      <c r="G12" s="25">
        <v>41780</v>
      </c>
      <c r="H12" s="25">
        <v>41831</v>
      </c>
      <c r="I12" s="44" t="s">
        <v>84</v>
      </c>
      <c r="J12" s="25">
        <v>41790</v>
      </c>
      <c r="K12" s="25">
        <v>41803</v>
      </c>
      <c r="L12" s="25">
        <v>41849</v>
      </c>
      <c r="M12" s="25">
        <v>41862</v>
      </c>
      <c r="N12" s="25">
        <v>41898</v>
      </c>
      <c r="O12" s="25">
        <v>41813</v>
      </c>
      <c r="P12" s="25">
        <v>41815</v>
      </c>
      <c r="Q12" s="25">
        <v>42143</v>
      </c>
      <c r="R12" s="25">
        <v>42016</v>
      </c>
      <c r="S12" s="25">
        <v>42018</v>
      </c>
      <c r="T12" s="69" t="s">
        <v>77</v>
      </c>
      <c r="U12" s="12">
        <v>42306</v>
      </c>
    </row>
    <row r="13" spans="2:48" ht="25.5">
      <c r="B13" s="43">
        <v>201</v>
      </c>
      <c r="C13" s="72" t="s">
        <v>78</v>
      </c>
      <c r="D13" s="19">
        <v>4</v>
      </c>
      <c r="E13" s="25">
        <v>41808</v>
      </c>
      <c r="F13" s="25">
        <v>41810</v>
      </c>
      <c r="G13" s="25">
        <v>41810</v>
      </c>
      <c r="H13" s="25">
        <v>41857</v>
      </c>
      <c r="I13" s="44" t="s">
        <v>88</v>
      </c>
      <c r="J13" s="25">
        <v>41820</v>
      </c>
      <c r="K13" s="25">
        <v>41865</v>
      </c>
      <c r="L13" s="25">
        <v>41879</v>
      </c>
      <c r="M13" s="25">
        <v>41893</v>
      </c>
      <c r="N13" s="25">
        <v>41928</v>
      </c>
      <c r="O13" s="25">
        <v>41872</v>
      </c>
      <c r="P13" s="25">
        <v>41876</v>
      </c>
      <c r="Q13" s="25">
        <v>42173</v>
      </c>
      <c r="R13" s="25">
        <v>42264</v>
      </c>
      <c r="S13" s="25">
        <v>42268</v>
      </c>
      <c r="T13" s="72" t="s">
        <v>77</v>
      </c>
      <c r="U13" s="12">
        <v>42306</v>
      </c>
    </row>
    <row r="14" spans="2:48" ht="25.5">
      <c r="B14" s="43">
        <v>201</v>
      </c>
      <c r="C14" s="72" t="s">
        <v>78</v>
      </c>
      <c r="D14" s="19">
        <v>5</v>
      </c>
      <c r="E14" s="25">
        <v>41913</v>
      </c>
      <c r="F14" s="25">
        <v>41918</v>
      </c>
      <c r="G14" s="25">
        <v>41918</v>
      </c>
      <c r="I14" s="70" t="s">
        <v>57</v>
      </c>
      <c r="J14" s="25">
        <v>41925</v>
      </c>
      <c r="K14" s="25">
        <v>41934</v>
      </c>
      <c r="L14" s="25">
        <v>41984</v>
      </c>
      <c r="M14" s="25">
        <v>41989</v>
      </c>
      <c r="N14" s="25">
        <v>42033</v>
      </c>
      <c r="O14" s="25">
        <v>41962</v>
      </c>
      <c r="P14" s="25">
        <v>41964</v>
      </c>
      <c r="Q14" s="25">
        <v>42278</v>
      </c>
      <c r="T14" s="72" t="s">
        <v>77</v>
      </c>
      <c r="U14" s="12">
        <v>42306</v>
      </c>
    </row>
    <row r="15" spans="2:48" ht="25.5">
      <c r="B15" s="89">
        <v>201</v>
      </c>
      <c r="C15" s="90" t="s">
        <v>78</v>
      </c>
      <c r="D15" s="19">
        <v>6</v>
      </c>
      <c r="E15" s="25">
        <v>41960</v>
      </c>
      <c r="F15" s="25">
        <v>41962</v>
      </c>
      <c r="G15" s="25">
        <v>41962</v>
      </c>
      <c r="H15" s="25">
        <v>41967</v>
      </c>
      <c r="I15" s="70" t="s">
        <v>96</v>
      </c>
      <c r="J15" s="25">
        <v>41972</v>
      </c>
      <c r="K15" s="25">
        <v>41976</v>
      </c>
      <c r="L15" s="25">
        <v>42031</v>
      </c>
      <c r="M15" s="25">
        <v>42027</v>
      </c>
      <c r="N15" s="25">
        <v>42080</v>
      </c>
      <c r="O15" s="25">
        <v>42079</v>
      </c>
      <c r="P15" s="25">
        <v>42081</v>
      </c>
      <c r="Q15" s="25">
        <v>42325</v>
      </c>
      <c r="R15" s="25">
        <v>42177</v>
      </c>
      <c r="S15" s="25">
        <v>42180</v>
      </c>
      <c r="T15" s="90" t="s">
        <v>77</v>
      </c>
      <c r="U15" s="12">
        <v>42306</v>
      </c>
    </row>
    <row r="16" spans="2:48" ht="25.5">
      <c r="B16" s="89">
        <v>201</v>
      </c>
      <c r="C16" s="90" t="s">
        <v>78</v>
      </c>
      <c r="D16" s="19">
        <v>7</v>
      </c>
      <c r="E16" s="25">
        <v>41995</v>
      </c>
      <c r="F16" s="25">
        <v>41996</v>
      </c>
      <c r="G16" s="25">
        <v>41996</v>
      </c>
      <c r="I16" s="70" t="s">
        <v>57</v>
      </c>
      <c r="J16" s="25">
        <v>42007</v>
      </c>
      <c r="L16" s="25">
        <v>42066</v>
      </c>
      <c r="N16" s="25">
        <v>42115</v>
      </c>
      <c r="O16" s="25">
        <v>42037</v>
      </c>
      <c r="P16" s="25">
        <v>42039</v>
      </c>
      <c r="Q16" s="25">
        <v>42360</v>
      </c>
      <c r="T16" s="90" t="s">
        <v>77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Secteur DE0308</vt:lpstr>
      <vt:lpstr>00164185</vt:lpstr>
      <vt:lpstr>01631560</vt:lpstr>
      <vt:lpstr>01661227</vt:lpstr>
      <vt:lpstr>01939535</vt:lpstr>
      <vt:lpstr>08769759</vt:lpstr>
      <vt:lpstr>02259312</vt:lpstr>
      <vt:lpstr>03873870</vt:lpstr>
      <vt:lpstr>03441808</vt:lpstr>
      <vt:lpstr>06081291</vt:lpstr>
      <vt:lpstr>06231164</vt:lpstr>
      <vt:lpstr>06931750</vt:lpstr>
      <vt:lpstr>07159009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2014-10-16T12:09:16Z</cp:lastPrinted>
  <dcterms:created xsi:type="dcterms:W3CDTF">2014-04-10T15:52:05Z</dcterms:created>
  <dcterms:modified xsi:type="dcterms:W3CDTF">2015-10-29T22:02:48Z</dcterms:modified>
</cp:coreProperties>
</file>