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8" sheetId="1" r:id="rId1"/>
    <sheet name="05211431" sheetId="6" r:id="rId2"/>
    <sheet name="04130245" sheetId="2" r:id="rId3"/>
    <sheet name="05417965" sheetId="3" r:id="rId4"/>
    <sheet name="07298061" sheetId="4" r:id="rId5"/>
    <sheet name="08605152" sheetId="8" r:id="rId6"/>
  </sheets>
  <definedNames>
    <definedName name="Lancer_la_requête_à_partir_de_MS_Access_Database" localSheetId="2" hidden="1">'04130245'!$B$9:$U$13</definedName>
    <definedName name="Lancer_la_requête_à_partir_de_MS_Access_Database" localSheetId="1" hidden="1">'05211431'!$B$9:$U$14</definedName>
    <definedName name="Lancer_la_requête_à_partir_de_MS_Access_Database" localSheetId="3" hidden="1">'05417965'!$B$9:$U$12</definedName>
    <definedName name="Lancer_la_requête_à_partir_de_MS_Access_Database" localSheetId="4" hidden="1">'07298061'!$B$9:$U$12</definedName>
    <definedName name="Lancer_la_requête_à_partir_de_MS_Access_Database" localSheetId="5" hidden="1">'08605152'!$B$9:$U$12</definedName>
    <definedName name="Lancer_la_requête_à_partir_de_MS_Access_Database_1" localSheetId="0" hidden="1">'Secteur DE0108'!$A$7:$K$12</definedName>
  </definedNames>
  <calcPr calcId="125725"/>
</workbook>
</file>

<file path=xl/calcChain.xml><?xml version="1.0" encoding="utf-8"?>
<calcChain xmlns="http://schemas.openxmlformats.org/spreadsheetml/2006/main">
  <c r="D13" i="1"/>
  <c r="E13"/>
  <c r="F13"/>
  <c r="G13"/>
  <c r="H13"/>
  <c r="I13"/>
  <c r="N4" i="8"/>
  <c r="M4"/>
  <c r="F4"/>
  <c r="N4" i="6" l="1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8')_x000d__x000a_ORDER BY Req_REPORT_SECTEURS_GLOBAL.Medecin"/>
  </connection>
  <connection id="2" name="Lancer la requête à partir de MS Access Database041302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130245')"/>
  </connection>
  <connection id="3" name="Lancer la requête à partir de MS Access Database0521143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211431')"/>
  </connection>
  <connection id="4" name="Lancer la requête à partir de MS Access Database054179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417965')"/>
  </connection>
  <connection id="5" name="Lancer la requête à partir de MS Access Database0729806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298061')"/>
  </connection>
  <connection id="6" name="Lancer la requête à partir de MS Access Database0860515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605152')"/>
  </connection>
</connections>
</file>

<file path=xl/sharedStrings.xml><?xml version="1.0" encoding="utf-8"?>
<sst xmlns="http://schemas.openxmlformats.org/spreadsheetml/2006/main" count="321" uniqueCount="77">
  <si>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</si>
  <si>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</si>
  <si>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</si>
  <si>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</si>
  <si>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</si>
  <si>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</si>
  <si>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</si>
  <si>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</si>
  <si>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</si>
  <si>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</si>
  <si>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</si>
  <si>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</si>
  <si>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</si>
  <si>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</si>
  <si>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</si>
  <si>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</si>
  <si>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</si>
  <si>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</si>
  <si>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</si>
  <si>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</si>
  <si>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</si>
  <si>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</si>
  <si>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</si>
  <si>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</si>
  <si>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</si>
  <si>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</si>
  <si>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</si>
  <si>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</si>
  <si>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</si>
  <si>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</si>
  <si>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</si>
  <si>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</si>
  <si>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</si>
  <si>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</si>
  <si>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</si>
  <si>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</si>
  <si>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</si>
  <si>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</si>
  <si>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</si>
  <si>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</si>
  <si>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</si>
  <si>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</si>
  <si>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</si>
  <si>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</si>
  <si>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</si>
  <si>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</si>
  <si>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</si>
  <si>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</si>
  <si>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</si>
  <si>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</si>
  <si>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</si>
  <si>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</si>
  <si>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</si>
  <si>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</si>
  <si>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</si>
  <si>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</si>
  <si>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</si>
  <si>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</si>
  <si>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</si>
  <si>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DE0108</t>
  </si>
  <si>
    <t>ALLEE Emmanuelle</t>
  </si>
  <si>
    <t>WFRM04130245</t>
  </si>
  <si>
    <t>GOUDAL-TIMSIT Isabelle</t>
  </si>
  <si>
    <t>WFRM05417965</t>
  </si>
  <si>
    <t>LE CAM Jean-Yves</t>
  </si>
  <si>
    <t>WFRM07298061</t>
  </si>
  <si>
    <t>PICARD DAHAN Catherine</t>
  </si>
  <si>
    <t>CHAUVIN Gaëlle</t>
  </si>
  <si>
    <t>WFRM05211431</t>
  </si>
  <si>
    <t>Via médecin</t>
  </si>
  <si>
    <t>Mail</t>
  </si>
  <si>
    <t>Courrier 22août : envoi courrier pour relance à faire patient 1 n'a pas renvoyé son auto-questionnaire 2 mois.</t>
  </si>
  <si>
    <t>SMS - Via médecin</t>
  </si>
  <si>
    <t>WFRM08605152</t>
  </si>
  <si>
    <t>STAMATOPOULOU Zoé</t>
  </si>
  <si>
    <t>SMS - Mail - Courrier</t>
  </si>
  <si>
    <t>Courrier</t>
  </si>
</sst>
</file>

<file path=xl/styles.xml><?xml version="1.0" encoding="utf-8"?>
<styleSheet xmlns="http://schemas.openxmlformats.org/spreadsheetml/2006/main">
  <numFmts count="1">
    <numFmt numFmtId="164" formatCode="dd/mm/yy;@"/>
  </numFmts>
  <fonts count="26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164" fontId="0" fillId="0" borderId="0" xfId="0" applyNumberFormat="1" applyBorder="1"/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5" fillId="2" borderId="0" xfId="1" applyFont="1" applyFill="1" applyAlignment="1">
      <alignment horizontal="left" wrapText="1"/>
    </xf>
    <xf numFmtId="0" fontId="5" fillId="2" borderId="0" xfId="1" applyFont="1" applyFill="1" applyBorder="1" applyAlignment="1">
      <alignment horizontal="left" wrapText="1"/>
    </xf>
    <xf numFmtId="0" fontId="0" fillId="0" borderId="0" xfId="0" applyBorder="1" applyAlignment="1">
      <alignment wrapText="1"/>
    </xf>
    <xf numFmtId="22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vertical="center" wrapText="1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22" fontId="0" fillId="0" borderId="0" xfId="0" applyNumberFormat="1" applyBorder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139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alignment horizontal="general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138"/>
      <tableStyleElement type="headerRow" dxfId="137"/>
      <tableStyleElement type="totalRow" dxfId="136"/>
      <tableStyleElement type="firstColumn" dxfId="135"/>
      <tableStyleElement type="lastColumn" dxfId="134"/>
      <tableStyleElement type="firstRowStripe" dxfId="133"/>
      <tableStyleElement type="secondRowStripe" dxfId="132"/>
      <tableStyleElement type="firstColumnStripe" dxfId="131"/>
      <tableStyleElement type="secondColumnStripe" dxfId="130"/>
    </tableStyle>
    <tableStyle name="TableStyleLight8 2" pivot="0" count="9">
      <tableStyleElement type="wholeTable" dxfId="129"/>
      <tableStyleElement type="headerRow" dxfId="128"/>
      <tableStyleElement type="totalRow" dxfId="127"/>
      <tableStyleElement type="firstColumn" dxfId="126"/>
      <tableStyleElement type="lastColumn" dxfId="125"/>
      <tableStyleElement type="firstRowStripe" dxfId="124"/>
      <tableStyleElement type="secondRowStripe" dxfId="123"/>
      <tableStyleElement type="firstColumnStripe" dxfId="122"/>
      <tableStyleElement type="secondColumnStripe" dxfId="121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3" tableType="queryTable" totalsRowCount="1" headerRowDxfId="120">
  <tableColumns count="11">
    <tableColumn id="1" uniqueName="1" name="Code Secteur" queryTableFieldId="1" totalsRowDxfId="109"/>
    <tableColumn id="2" uniqueName="2" name="VM" queryTableFieldId="2" totalsRowDxfId="110"/>
    <tableColumn id="3" uniqueName="3" name="Code médecin" totalsRowLabel="TOTAL" queryTableFieldId="3" dataDxfId="108" totalsRowDxfId="111" dataCellStyle="Lien hypertexte"/>
    <tableColumn id="4" uniqueName="4" name="Medecin" totalsRowFunction="custom" queryTableFieldId="4" dataDxfId="107" totalsRowDxfId="112">
      <totalsRowFormula>SUBTOTAL(3,D8:D12)</totalsRowFormula>
    </tableColumn>
    <tableColumn id="5" uniqueName="5" name="Date de réception convention financière" totalsRowFunction="custom" queryTableFieldId="5" dataDxfId="106" totalsRowDxfId="113">
      <totalsRowFormula>SUBTOTAL(3,[Date de réception convention financière])</totalsRowFormula>
    </tableColumn>
    <tableColumn id="6" uniqueName="6" name="Date de réception AR kit" totalsRowFunction="custom" queryTableFieldId="6" dataDxfId="105" totalsRowDxfId="114">
      <totalsRowFormula>SUBTOTAL(3,[Date de réception AR kit])</totalsRowFormula>
    </tableColumn>
    <tableColumn id="7" uniqueName="7" name="Date de MEP" totalsRowFunction="custom" queryTableFieldId="7" dataDxfId="104" totalsRowDxfId="115">
      <totalsRowFormula>SUBTOTAL(3,[Date de MEP])</totalsRowFormula>
    </tableColumn>
    <tableColumn id="8" uniqueName="8" name="Desistement" totalsRowFunction="custom" queryTableFieldId="8" dataDxfId="103" totalsRowDxfId="116">
      <totalsRowFormula>SUBTOTAL(3,[Desistement])</totalsRowFormula>
    </tableColumn>
    <tableColumn id="9" uniqueName="9" name="Nb Total Patients inclus" totalsRowFunction="custom" queryTableFieldId="9" dataDxfId="102" totalsRowDxfId="117">
      <totalsRowFormula>SUBTOTAL(109,I8:I12)</totalsRowFormula>
    </tableColumn>
    <tableColumn id="10" uniqueName="10" name="Comptes-rendus contact médecin-GECEM" queryTableFieldId="10" dataDxfId="101" totalsRowDxfId="118"/>
    <tableColumn id="11" uniqueName="11" name="Date" queryTableFieldId="11" dataDxfId="100" totalsRowDxfId="119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" name="Tableau_Lancer_la_requête_à_partir_de_MS_Access_Database" displayName="Tableau_Lancer_la_requête_à_partir_de_MS_Access_Database" ref="B9:U13" tableType="queryTable" totalsRowShown="0">
  <autoFilter ref="B9:U13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7" name="Tableau_Lancer_la_requête_à_partir_de_MS_Access_Database458" displayName="Tableau_Lancer_la_requête_à_partir_de_MS_Access_Database458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5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style="77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J1" s="73"/>
      <c r="K1" s="2"/>
    </row>
    <row r="2" spans="1:17" s="3" customFormat="1" ht="15.75">
      <c r="C2" s="17"/>
      <c r="D2" s="4"/>
      <c r="E2" s="11" t="s">
        <v>13</v>
      </c>
      <c r="F2" s="30" t="str">
        <f>$A$12</f>
        <v>DE0108</v>
      </c>
      <c r="G2" s="96" t="str">
        <f>$B$12</f>
        <v>ALLEE Emmanuelle</v>
      </c>
      <c r="H2" s="96"/>
      <c r="I2" s="96"/>
      <c r="J2" s="73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$K$12</f>
        <v>42306</v>
      </c>
      <c r="E3" s="22"/>
      <c r="F3" s="22"/>
      <c r="G3" s="22"/>
      <c r="H3" s="22"/>
      <c r="I3" s="17"/>
      <c r="J3" s="73"/>
      <c r="K3" s="2"/>
    </row>
    <row r="4" spans="1:17" s="3" customFormat="1">
      <c r="C4" s="17"/>
      <c r="D4" s="4"/>
      <c r="E4" s="22"/>
      <c r="F4" s="22"/>
      <c r="G4" s="22"/>
      <c r="H4" s="22"/>
      <c r="I4" s="17"/>
      <c r="J4" s="73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4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75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ht="30">
      <c r="A8" t="s">
        <v>59</v>
      </c>
      <c r="B8" t="s">
        <v>60</v>
      </c>
      <c r="C8" s="78" t="s">
        <v>68</v>
      </c>
      <c r="D8" s="79" t="s">
        <v>67</v>
      </c>
      <c r="E8" s="80">
        <v>41751</v>
      </c>
      <c r="F8" s="80">
        <v>41759</v>
      </c>
      <c r="G8" s="80">
        <v>41758</v>
      </c>
      <c r="H8" s="80"/>
      <c r="I8" s="81">
        <v>5</v>
      </c>
      <c r="J8" s="82" t="s">
        <v>71</v>
      </c>
      <c r="K8" s="12">
        <v>42306</v>
      </c>
    </row>
    <row r="9" spans="1:17">
      <c r="A9" t="s">
        <v>59</v>
      </c>
      <c r="B9" t="s">
        <v>60</v>
      </c>
      <c r="C9" s="78" t="s">
        <v>61</v>
      </c>
      <c r="D9" s="79" t="s">
        <v>62</v>
      </c>
      <c r="E9" s="80">
        <v>41705</v>
      </c>
      <c r="F9" s="80">
        <v>41753</v>
      </c>
      <c r="G9" s="80">
        <v>41752</v>
      </c>
      <c r="H9" s="80"/>
      <c r="I9" s="81">
        <v>3</v>
      </c>
      <c r="J9" s="82"/>
      <c r="K9" s="12">
        <v>42306</v>
      </c>
    </row>
    <row r="10" spans="1:17">
      <c r="A10" t="s">
        <v>59</v>
      </c>
      <c r="B10" t="s">
        <v>60</v>
      </c>
      <c r="C10" s="78" t="s">
        <v>63</v>
      </c>
      <c r="D10" s="79" t="s">
        <v>64</v>
      </c>
      <c r="E10" s="80">
        <v>41712</v>
      </c>
      <c r="F10" s="80">
        <v>41746</v>
      </c>
      <c r="G10" s="80">
        <v>41745</v>
      </c>
      <c r="H10" s="80"/>
      <c r="I10" s="81">
        <v>2</v>
      </c>
      <c r="J10" s="82"/>
      <c r="K10" s="12">
        <v>42306</v>
      </c>
    </row>
    <row r="11" spans="1:17">
      <c r="A11" t="s">
        <v>59</v>
      </c>
      <c r="B11" t="s">
        <v>60</v>
      </c>
      <c r="C11" s="78" t="s">
        <v>65</v>
      </c>
      <c r="D11" s="79" t="s">
        <v>66</v>
      </c>
      <c r="E11" s="80">
        <v>41704</v>
      </c>
      <c r="F11" s="80">
        <v>41759</v>
      </c>
      <c r="G11" s="80">
        <v>41757</v>
      </c>
      <c r="H11" s="80"/>
      <c r="I11" s="81">
        <v>3</v>
      </c>
      <c r="J11" s="82"/>
      <c r="K11" s="12">
        <v>42306</v>
      </c>
    </row>
    <row r="12" spans="1:17">
      <c r="A12" t="s">
        <v>59</v>
      </c>
      <c r="B12" t="s">
        <v>60</v>
      </c>
      <c r="C12" s="78" t="s">
        <v>73</v>
      </c>
      <c r="D12" s="79" t="s">
        <v>74</v>
      </c>
      <c r="E12" s="80">
        <v>41939</v>
      </c>
      <c r="F12" s="80">
        <v>41948</v>
      </c>
      <c r="G12" s="80">
        <v>41947</v>
      </c>
      <c r="H12" s="80"/>
      <c r="I12" s="81">
        <v>3</v>
      </c>
      <c r="J12" s="82"/>
      <c r="K12" s="12">
        <v>42306</v>
      </c>
    </row>
    <row r="13" spans="1:17">
      <c r="A13" s="28"/>
      <c r="B13" s="28"/>
      <c r="C13" s="83" t="s">
        <v>15</v>
      </c>
      <c r="D13" s="84">
        <f>SUBTOTAL(3,D8:D12)</f>
        <v>5</v>
      </c>
      <c r="E13" s="84">
        <f>SUBTOTAL(3,[Date de réception convention financière])</f>
        <v>5</v>
      </c>
      <c r="F13" s="84">
        <f>SUBTOTAL(3,[Date de réception AR kit])</f>
        <v>5</v>
      </c>
      <c r="G13" s="84">
        <f>SUBTOTAL(3,[Date de MEP])</f>
        <v>5</v>
      </c>
      <c r="H13" s="85">
        <f>SUBTOTAL(3,[Desistement])</f>
        <v>0</v>
      </c>
      <c r="I13" s="83">
        <f>SUBTOTAL(109,I8:I12)</f>
        <v>16</v>
      </c>
      <c r="J13" s="86"/>
      <c r="K13" s="31"/>
    </row>
    <row r="14" spans="1:17">
      <c r="D14" s="10"/>
      <c r="J14" s="76"/>
    </row>
    <row r="15" spans="1:17">
      <c r="C15" s="26" t="s">
        <v>14</v>
      </c>
    </row>
  </sheetData>
  <mergeCells count="1">
    <mergeCell ref="G2:I2"/>
  </mergeCells>
  <pageMargins left="0.31496062992125984" right="0.31496062992125984" top="0.74803149606299213" bottom="0.74803149606299213" header="0.31496062992125984" footer="0.31496062992125984"/>
  <pageSetup paperSize="9" scale="6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2"/>
      <c r="D1" s="52"/>
      <c r="E1" s="48"/>
      <c r="F1" s="48"/>
      <c r="G1" s="48"/>
      <c r="H1" s="48"/>
      <c r="I1" s="32"/>
      <c r="J1" s="48"/>
      <c r="K1" s="48"/>
      <c r="L1" s="48"/>
      <c r="M1" s="48"/>
      <c r="N1" s="48"/>
      <c r="O1" s="48"/>
      <c r="P1" s="48"/>
      <c r="Q1" s="48"/>
      <c r="R1" s="48"/>
      <c r="S1" s="48"/>
      <c r="T1" s="32"/>
      <c r="U1" s="4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</row>
    <row r="2" spans="2:48" ht="27">
      <c r="C2" s="32"/>
      <c r="D2" s="20" t="s">
        <v>0</v>
      </c>
      <c r="E2" s="49"/>
      <c r="F2" s="50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2"/>
      <c r="U2" s="43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</row>
    <row r="3" spans="2:48" ht="27">
      <c r="C3" s="32"/>
      <c r="D3" s="53"/>
      <c r="E3" s="50"/>
      <c r="F3" s="50"/>
      <c r="G3" s="48"/>
      <c r="H3" s="48"/>
      <c r="I3" s="32"/>
      <c r="J3" s="48"/>
      <c r="K3" s="48"/>
      <c r="L3" s="99"/>
      <c r="M3" s="99"/>
      <c r="N3" s="99"/>
      <c r="O3" s="66"/>
      <c r="P3" s="48"/>
      <c r="Q3" s="48"/>
      <c r="R3" s="48"/>
      <c r="S3" s="48"/>
      <c r="T3" s="32"/>
      <c r="U3" s="43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</row>
    <row r="4" spans="2:48" ht="24" customHeight="1">
      <c r="C4" s="32"/>
      <c r="D4" s="100" t="s">
        <v>58</v>
      </c>
      <c r="E4" s="100"/>
      <c r="F4" s="51">
        <f>$U$14</f>
        <v>42306</v>
      </c>
      <c r="G4" s="48"/>
      <c r="H4" s="48"/>
      <c r="I4" s="32"/>
      <c r="J4" s="48"/>
      <c r="K4" s="48"/>
      <c r="L4" s="67" t="s">
        <v>17</v>
      </c>
      <c r="M4" s="61">
        <f>$B$14</f>
        <v>91</v>
      </c>
      <c r="N4" s="101" t="str">
        <f>$C$14</f>
        <v>CHAUVIN Gaëlle</v>
      </c>
      <c r="O4" s="101"/>
      <c r="P4" s="101"/>
      <c r="Q4" s="101"/>
      <c r="R4" s="101"/>
      <c r="S4" s="48"/>
      <c r="T4" s="32"/>
      <c r="U4" s="43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</row>
    <row r="5" spans="2:48">
      <c r="C5" s="32"/>
      <c r="D5" s="52"/>
      <c r="E5" s="48"/>
      <c r="F5" s="48"/>
      <c r="G5" s="48"/>
      <c r="H5" s="48"/>
      <c r="I5" s="32"/>
      <c r="J5" s="48"/>
      <c r="K5" s="48"/>
      <c r="L5" s="48"/>
      <c r="M5" s="48"/>
      <c r="N5" s="48"/>
      <c r="O5" s="48"/>
      <c r="P5" s="48"/>
      <c r="Q5" s="48"/>
      <c r="R5" s="56" t="s">
        <v>18</v>
      </c>
      <c r="S5" s="48"/>
      <c r="T5" s="32"/>
      <c r="U5" s="43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</row>
    <row r="6" spans="2:48" s="34" customFormat="1" ht="19.5" customHeight="1">
      <c r="C6" s="33"/>
      <c r="D6" s="102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33"/>
      <c r="U6" s="44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</row>
    <row r="7" spans="2:48" s="34" customFormat="1" ht="39.75" customHeight="1">
      <c r="C7" s="33"/>
      <c r="D7" s="35"/>
      <c r="E7" s="104" t="s">
        <v>19</v>
      </c>
      <c r="F7" s="105"/>
      <c r="G7" s="105"/>
      <c r="H7" s="105"/>
      <c r="I7" s="105"/>
      <c r="J7" s="106" t="s">
        <v>20</v>
      </c>
      <c r="K7" s="107"/>
      <c r="L7" s="108" t="s">
        <v>21</v>
      </c>
      <c r="M7" s="108"/>
      <c r="N7" s="109" t="s">
        <v>22</v>
      </c>
      <c r="O7" s="110"/>
      <c r="P7" s="111"/>
      <c r="Q7" s="112" t="s">
        <v>23</v>
      </c>
      <c r="R7" s="110"/>
      <c r="S7" s="111"/>
      <c r="T7" s="33"/>
      <c r="U7" s="44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</row>
    <row r="8" spans="2:48" s="39" customFormat="1" ht="76.5">
      <c r="C8" s="36"/>
      <c r="D8" s="37" t="s">
        <v>24</v>
      </c>
      <c r="E8" s="47" t="s">
        <v>25</v>
      </c>
      <c r="F8" s="47" t="s">
        <v>26</v>
      </c>
      <c r="G8" s="47" t="s">
        <v>27</v>
      </c>
      <c r="H8" s="47" t="s">
        <v>28</v>
      </c>
      <c r="I8" s="38" t="s">
        <v>29</v>
      </c>
      <c r="J8" s="57" t="s">
        <v>30</v>
      </c>
      <c r="K8" s="57" t="s">
        <v>31</v>
      </c>
      <c r="L8" s="69" t="s">
        <v>32</v>
      </c>
      <c r="M8" s="69" t="s">
        <v>31</v>
      </c>
      <c r="N8" s="68" t="s">
        <v>33</v>
      </c>
      <c r="O8" s="68" t="s">
        <v>34</v>
      </c>
      <c r="P8" s="68" t="s">
        <v>35</v>
      </c>
      <c r="Q8" s="60" t="s">
        <v>36</v>
      </c>
      <c r="R8" s="60" t="s">
        <v>34</v>
      </c>
      <c r="S8" s="60" t="s">
        <v>37</v>
      </c>
      <c r="T8" s="36"/>
      <c r="U8" s="45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</row>
    <row r="9" spans="2:48" s="41" customFormat="1" hidden="1">
      <c r="B9" s="41" t="s">
        <v>38</v>
      </c>
      <c r="C9" s="40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0" t="s">
        <v>56</v>
      </c>
      <c r="U9" s="46" t="s">
        <v>11</v>
      </c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</row>
    <row r="10" spans="2:48" s="41" customFormat="1" ht="17.25" customHeight="1">
      <c r="B10" s="41">
        <v>91</v>
      </c>
      <c r="C10" s="40" t="s">
        <v>67</v>
      </c>
      <c r="D10" s="19">
        <v>1</v>
      </c>
      <c r="E10" s="25">
        <v>41781</v>
      </c>
      <c r="F10" s="25">
        <v>41802</v>
      </c>
      <c r="G10" s="25">
        <v>41802</v>
      </c>
      <c r="H10" s="25">
        <v>41802</v>
      </c>
      <c r="I10" s="72" t="s">
        <v>69</v>
      </c>
      <c r="J10" s="25">
        <v>41793</v>
      </c>
      <c r="K10" s="25">
        <v>41814</v>
      </c>
      <c r="L10" s="25">
        <v>41852</v>
      </c>
      <c r="M10" s="25">
        <v>41897</v>
      </c>
      <c r="N10" s="25">
        <v>41901</v>
      </c>
      <c r="O10" s="25"/>
      <c r="P10" s="25"/>
      <c r="Q10" s="25">
        <v>42146</v>
      </c>
      <c r="R10" s="25"/>
      <c r="S10" s="25"/>
      <c r="T10" s="40" t="s">
        <v>68</v>
      </c>
      <c r="U10" s="12">
        <v>42306</v>
      </c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</row>
    <row r="11" spans="2:48" ht="25.5">
      <c r="B11" s="70">
        <v>91</v>
      </c>
      <c r="C11" s="71" t="s">
        <v>67</v>
      </c>
      <c r="D11" s="19">
        <v>2</v>
      </c>
      <c r="E11" s="25">
        <v>41800</v>
      </c>
      <c r="F11" s="25">
        <v>41803</v>
      </c>
      <c r="G11" s="25">
        <v>41803</v>
      </c>
      <c r="I11" s="72" t="s">
        <v>57</v>
      </c>
      <c r="J11" s="25">
        <v>41812</v>
      </c>
      <c r="K11" s="25">
        <v>41813</v>
      </c>
      <c r="L11" s="25">
        <v>41871</v>
      </c>
      <c r="M11" s="25">
        <v>41869</v>
      </c>
      <c r="N11" s="25">
        <v>41920</v>
      </c>
      <c r="O11" s="25">
        <v>41925</v>
      </c>
      <c r="P11" s="25">
        <v>41927</v>
      </c>
      <c r="Q11" s="25">
        <v>42165</v>
      </c>
      <c r="T11" s="71" t="s">
        <v>68</v>
      </c>
      <c r="U11" s="12">
        <v>42306</v>
      </c>
    </row>
    <row r="12" spans="2:48" ht="25.5">
      <c r="B12" s="70">
        <v>91</v>
      </c>
      <c r="C12" s="71" t="s">
        <v>67</v>
      </c>
      <c r="D12" s="19">
        <v>3</v>
      </c>
      <c r="E12" s="25">
        <v>41800</v>
      </c>
      <c r="F12" s="25">
        <v>41802</v>
      </c>
      <c r="G12" s="25">
        <v>41802</v>
      </c>
      <c r="H12" s="25">
        <v>41802</v>
      </c>
      <c r="I12" s="72" t="s">
        <v>70</v>
      </c>
      <c r="J12" s="25">
        <v>41812</v>
      </c>
      <c r="K12" s="25">
        <v>41810</v>
      </c>
      <c r="L12" s="25">
        <v>41871</v>
      </c>
      <c r="M12" s="25">
        <v>41876</v>
      </c>
      <c r="N12" s="25">
        <v>41920</v>
      </c>
      <c r="Q12" s="25">
        <v>42165</v>
      </c>
      <c r="T12" s="71" t="s">
        <v>68</v>
      </c>
      <c r="U12" s="12">
        <v>42306</v>
      </c>
    </row>
    <row r="13" spans="2:48" ht="25.5">
      <c r="B13" s="87">
        <v>91</v>
      </c>
      <c r="C13" s="88" t="s">
        <v>67</v>
      </c>
      <c r="D13" s="19">
        <v>4</v>
      </c>
      <c r="E13" s="25">
        <v>41891</v>
      </c>
      <c r="F13" s="25">
        <v>41899</v>
      </c>
      <c r="G13" s="25">
        <v>41899</v>
      </c>
      <c r="H13" s="25">
        <v>41899</v>
      </c>
      <c r="I13" s="89" t="s">
        <v>69</v>
      </c>
      <c r="J13" s="25">
        <v>41903</v>
      </c>
      <c r="K13" s="25">
        <v>41905</v>
      </c>
      <c r="L13" s="25">
        <v>41962</v>
      </c>
      <c r="M13" s="25">
        <v>41961</v>
      </c>
      <c r="N13" s="25">
        <v>42011</v>
      </c>
      <c r="O13" s="25">
        <v>41963</v>
      </c>
      <c r="P13" s="25">
        <v>41989</v>
      </c>
      <c r="Q13" s="25">
        <v>42256</v>
      </c>
      <c r="T13" s="88" t="s">
        <v>68</v>
      </c>
      <c r="U13" s="12">
        <v>42306</v>
      </c>
    </row>
    <row r="14" spans="2:48" ht="25.5">
      <c r="B14" s="87">
        <v>91</v>
      </c>
      <c r="C14" s="88" t="s">
        <v>67</v>
      </c>
      <c r="D14" s="19">
        <v>5</v>
      </c>
      <c r="E14" s="25">
        <v>41907</v>
      </c>
      <c r="F14" s="25">
        <v>41921</v>
      </c>
      <c r="G14" s="25">
        <v>41921</v>
      </c>
      <c r="H14" s="25">
        <v>41921</v>
      </c>
      <c r="I14" s="89" t="s">
        <v>69</v>
      </c>
      <c r="J14" s="25">
        <v>41919</v>
      </c>
      <c r="K14" s="25">
        <v>41976</v>
      </c>
      <c r="L14" s="25">
        <v>41978</v>
      </c>
      <c r="M14" s="25">
        <v>41989</v>
      </c>
      <c r="N14" s="25">
        <v>42027</v>
      </c>
      <c r="O14" s="25">
        <v>41981</v>
      </c>
      <c r="P14" s="25">
        <v>41989</v>
      </c>
      <c r="Q14" s="25">
        <v>42272</v>
      </c>
      <c r="T14" s="88" t="s">
        <v>68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/>
  <dimension ref="B1:AV13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2"/>
      <c r="D1" s="52"/>
      <c r="E1" s="48"/>
      <c r="F1" s="48"/>
      <c r="G1" s="48"/>
      <c r="H1" s="48"/>
      <c r="I1" s="32"/>
      <c r="J1" s="48"/>
      <c r="K1" s="48"/>
      <c r="L1" s="48"/>
      <c r="M1" s="48"/>
      <c r="N1" s="48"/>
      <c r="O1" s="48"/>
      <c r="P1" s="48"/>
      <c r="Q1" s="48"/>
      <c r="R1" s="48"/>
      <c r="S1" s="48"/>
      <c r="T1" s="32"/>
      <c r="U1" s="4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</row>
    <row r="2" spans="2:48" ht="27">
      <c r="C2" s="32"/>
      <c r="D2" s="20" t="s">
        <v>0</v>
      </c>
      <c r="E2" s="49"/>
      <c r="F2" s="50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2"/>
      <c r="U2" s="43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</row>
    <row r="3" spans="2:48" ht="27">
      <c r="C3" s="32"/>
      <c r="D3" s="53"/>
      <c r="E3" s="50"/>
      <c r="F3" s="50"/>
      <c r="G3" s="48"/>
      <c r="H3" s="48"/>
      <c r="I3" s="32"/>
      <c r="J3" s="48"/>
      <c r="K3" s="48"/>
      <c r="L3" s="99"/>
      <c r="M3" s="99"/>
      <c r="N3" s="99"/>
      <c r="O3" s="54"/>
      <c r="P3" s="48"/>
      <c r="Q3" s="48"/>
      <c r="R3" s="48"/>
      <c r="S3" s="48"/>
      <c r="T3" s="32"/>
      <c r="U3" s="43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</row>
    <row r="4" spans="2:48" ht="24" customHeight="1">
      <c r="C4" s="32"/>
      <c r="D4" s="100" t="s">
        <v>58</v>
      </c>
      <c r="E4" s="100"/>
      <c r="F4" s="51">
        <f>$U$13</f>
        <v>42306</v>
      </c>
      <c r="G4" s="48"/>
      <c r="H4" s="48"/>
      <c r="I4" s="32"/>
      <c r="J4" s="48"/>
      <c r="K4" s="48"/>
      <c r="L4" s="55" t="s">
        <v>17</v>
      </c>
      <c r="M4" s="61">
        <f>$B$13</f>
        <v>95</v>
      </c>
      <c r="N4" s="101" t="str">
        <f>$C$13</f>
        <v>GOUDAL-TIMSIT Isabelle</v>
      </c>
      <c r="O4" s="101"/>
      <c r="P4" s="101"/>
      <c r="Q4" s="101"/>
      <c r="R4" s="101"/>
      <c r="S4" s="48"/>
      <c r="T4" s="32"/>
      <c r="U4" s="43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</row>
    <row r="5" spans="2:48">
      <c r="C5" s="32"/>
      <c r="D5" s="52"/>
      <c r="E5" s="48"/>
      <c r="F5" s="48"/>
      <c r="G5" s="48"/>
      <c r="H5" s="48"/>
      <c r="I5" s="32"/>
      <c r="J5" s="48"/>
      <c r="K5" s="48"/>
      <c r="L5" s="48"/>
      <c r="M5" s="48"/>
      <c r="N5" s="48"/>
      <c r="O5" s="48"/>
      <c r="P5" s="48"/>
      <c r="Q5" s="48"/>
      <c r="R5" s="56" t="s">
        <v>18</v>
      </c>
      <c r="S5" s="48"/>
      <c r="T5" s="32"/>
      <c r="U5" s="43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</row>
    <row r="6" spans="2:48" s="34" customFormat="1" ht="19.5" customHeight="1">
      <c r="C6" s="33"/>
      <c r="D6" s="102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33"/>
      <c r="U6" s="44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</row>
    <row r="7" spans="2:48" s="34" customFormat="1" ht="39.75" customHeight="1">
      <c r="C7" s="33"/>
      <c r="D7" s="35"/>
      <c r="E7" s="104" t="s">
        <v>19</v>
      </c>
      <c r="F7" s="105"/>
      <c r="G7" s="105"/>
      <c r="H7" s="105"/>
      <c r="I7" s="105"/>
      <c r="J7" s="106" t="s">
        <v>20</v>
      </c>
      <c r="K7" s="107"/>
      <c r="L7" s="108" t="s">
        <v>21</v>
      </c>
      <c r="M7" s="108"/>
      <c r="N7" s="109" t="s">
        <v>22</v>
      </c>
      <c r="O7" s="110"/>
      <c r="P7" s="111"/>
      <c r="Q7" s="112" t="s">
        <v>23</v>
      </c>
      <c r="R7" s="110"/>
      <c r="S7" s="111"/>
      <c r="T7" s="33"/>
      <c r="U7" s="44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</row>
    <row r="8" spans="2:48" s="39" customFormat="1" ht="76.5">
      <c r="C8" s="36"/>
      <c r="D8" s="37" t="s">
        <v>24</v>
      </c>
      <c r="E8" s="47" t="s">
        <v>25</v>
      </c>
      <c r="F8" s="47" t="s">
        <v>26</v>
      </c>
      <c r="G8" s="47" t="s">
        <v>27</v>
      </c>
      <c r="H8" s="47" t="s">
        <v>28</v>
      </c>
      <c r="I8" s="38" t="s">
        <v>29</v>
      </c>
      <c r="J8" s="57" t="s">
        <v>30</v>
      </c>
      <c r="K8" s="57" t="s">
        <v>31</v>
      </c>
      <c r="L8" s="58" t="s">
        <v>32</v>
      </c>
      <c r="M8" s="58" t="s">
        <v>31</v>
      </c>
      <c r="N8" s="59" t="s">
        <v>33</v>
      </c>
      <c r="O8" s="59" t="s">
        <v>34</v>
      </c>
      <c r="P8" s="59" t="s">
        <v>35</v>
      </c>
      <c r="Q8" s="60" t="s">
        <v>36</v>
      </c>
      <c r="R8" s="60" t="s">
        <v>34</v>
      </c>
      <c r="S8" s="60" t="s">
        <v>37</v>
      </c>
      <c r="T8" s="36"/>
      <c r="U8" s="45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</row>
    <row r="9" spans="2:48" s="41" customFormat="1" hidden="1">
      <c r="B9" s="41" t="s">
        <v>38</v>
      </c>
      <c r="C9" s="40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0" t="s">
        <v>56</v>
      </c>
      <c r="U9" s="46" t="s">
        <v>11</v>
      </c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</row>
    <row r="10" spans="2:48" s="41" customFormat="1" ht="17.25" customHeight="1">
      <c r="B10" s="41">
        <v>95</v>
      </c>
      <c r="C10" s="40" t="s">
        <v>62</v>
      </c>
      <c r="D10" s="19">
        <v>1</v>
      </c>
      <c r="E10" s="25">
        <v>41778</v>
      </c>
      <c r="F10" s="25">
        <v>41785</v>
      </c>
      <c r="G10" s="25">
        <v>41785</v>
      </c>
      <c r="H10" s="25"/>
      <c r="I10" s="42" t="s">
        <v>57</v>
      </c>
      <c r="J10" s="25">
        <v>41790</v>
      </c>
      <c r="K10" s="25"/>
      <c r="L10" s="25">
        <v>41849</v>
      </c>
      <c r="M10" s="25"/>
      <c r="N10" s="25">
        <v>41898</v>
      </c>
      <c r="O10" s="25"/>
      <c r="P10" s="25"/>
      <c r="Q10" s="25">
        <v>42143</v>
      </c>
      <c r="R10" s="25"/>
      <c r="S10" s="25"/>
      <c r="T10" s="40" t="s">
        <v>61</v>
      </c>
      <c r="U10" s="12">
        <v>42306</v>
      </c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</row>
    <row r="11" spans="2:48" ht="25.5">
      <c r="B11" s="70">
        <v>95</v>
      </c>
      <c r="C11" s="71" t="s">
        <v>62</v>
      </c>
      <c r="D11" s="19">
        <v>2</v>
      </c>
      <c r="E11" s="25">
        <v>41781</v>
      </c>
      <c r="F11" s="25">
        <v>41785</v>
      </c>
      <c r="G11" s="25">
        <v>41785</v>
      </c>
      <c r="I11" s="42" t="s">
        <v>57</v>
      </c>
      <c r="J11" s="25">
        <v>41793</v>
      </c>
      <c r="L11" s="25">
        <v>41852</v>
      </c>
      <c r="N11" s="25">
        <v>41901</v>
      </c>
      <c r="Q11" s="25">
        <v>42146</v>
      </c>
      <c r="T11" s="71" t="s">
        <v>61</v>
      </c>
      <c r="U11" s="12">
        <v>42306</v>
      </c>
    </row>
    <row r="12" spans="2:48" ht="25.5">
      <c r="B12" s="70">
        <v>95</v>
      </c>
      <c r="C12" s="71" t="s">
        <v>62</v>
      </c>
      <c r="D12" s="19">
        <v>3</v>
      </c>
      <c r="E12" s="25">
        <v>41919</v>
      </c>
      <c r="F12" s="25">
        <v>41946</v>
      </c>
      <c r="G12" s="25">
        <v>41946</v>
      </c>
      <c r="I12" s="89" t="s">
        <v>57</v>
      </c>
      <c r="J12" s="25">
        <v>41931</v>
      </c>
      <c r="L12" s="25">
        <v>41990</v>
      </c>
      <c r="N12" s="25">
        <v>42039</v>
      </c>
      <c r="Q12" s="25">
        <v>42284</v>
      </c>
      <c r="T12" s="71" t="s">
        <v>61</v>
      </c>
      <c r="U12" s="12">
        <v>42306</v>
      </c>
    </row>
    <row r="13" spans="2:48" ht="25.5">
      <c r="B13" s="94">
        <v>95</v>
      </c>
      <c r="C13" s="95" t="s">
        <v>62</v>
      </c>
      <c r="D13" s="19">
        <v>4</v>
      </c>
      <c r="I13" s="89" t="s">
        <v>57</v>
      </c>
      <c r="T13" s="95" t="s">
        <v>61</v>
      </c>
      <c r="U13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2"/>
      <c r="D1" s="52"/>
      <c r="E1" s="48"/>
      <c r="F1" s="48"/>
      <c r="G1" s="48"/>
      <c r="H1" s="48"/>
      <c r="I1" s="32"/>
      <c r="J1" s="48"/>
      <c r="K1" s="48"/>
      <c r="L1" s="48"/>
      <c r="M1" s="48"/>
      <c r="N1" s="48"/>
      <c r="O1" s="48"/>
      <c r="P1" s="48"/>
      <c r="Q1" s="48"/>
      <c r="R1" s="48"/>
      <c r="S1" s="48"/>
      <c r="T1" s="32"/>
      <c r="U1" s="4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</row>
    <row r="2" spans="2:48" ht="27">
      <c r="C2" s="32"/>
      <c r="D2" s="20" t="s">
        <v>0</v>
      </c>
      <c r="E2" s="49"/>
      <c r="F2" s="50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2"/>
      <c r="U2" s="43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</row>
    <row r="3" spans="2:48" ht="27">
      <c r="C3" s="32"/>
      <c r="D3" s="53"/>
      <c r="E3" s="50"/>
      <c r="F3" s="50"/>
      <c r="G3" s="48"/>
      <c r="H3" s="48"/>
      <c r="I3" s="32"/>
      <c r="J3" s="48"/>
      <c r="K3" s="48"/>
      <c r="L3" s="99"/>
      <c r="M3" s="99"/>
      <c r="N3" s="99"/>
      <c r="O3" s="62"/>
      <c r="P3" s="48"/>
      <c r="Q3" s="48"/>
      <c r="R3" s="48"/>
      <c r="S3" s="48"/>
      <c r="T3" s="32"/>
      <c r="U3" s="43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</row>
    <row r="4" spans="2:48" ht="24" customHeight="1">
      <c r="C4" s="32"/>
      <c r="D4" s="100" t="s">
        <v>58</v>
      </c>
      <c r="E4" s="100"/>
      <c r="F4" s="51">
        <f>$U$12</f>
        <v>42306</v>
      </c>
      <c r="G4" s="48"/>
      <c r="H4" s="48"/>
      <c r="I4" s="32"/>
      <c r="J4" s="48"/>
      <c r="K4" s="48"/>
      <c r="L4" s="63" t="s">
        <v>17</v>
      </c>
      <c r="M4" s="61">
        <f>$B$12</f>
        <v>93</v>
      </c>
      <c r="N4" s="101" t="str">
        <f>$C$12</f>
        <v>LE CAM Jean-Yves</v>
      </c>
      <c r="O4" s="101"/>
      <c r="P4" s="101"/>
      <c r="Q4" s="101"/>
      <c r="R4" s="101"/>
      <c r="S4" s="48"/>
      <c r="T4" s="32"/>
      <c r="U4" s="43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</row>
    <row r="5" spans="2:48">
      <c r="C5" s="32"/>
      <c r="D5" s="52"/>
      <c r="E5" s="48"/>
      <c r="F5" s="48"/>
      <c r="G5" s="48"/>
      <c r="H5" s="48"/>
      <c r="I5" s="32"/>
      <c r="J5" s="48"/>
      <c r="K5" s="48"/>
      <c r="L5" s="48"/>
      <c r="M5" s="48"/>
      <c r="N5" s="48"/>
      <c r="O5" s="48"/>
      <c r="P5" s="48"/>
      <c r="Q5" s="48"/>
      <c r="R5" s="56" t="s">
        <v>18</v>
      </c>
      <c r="S5" s="48"/>
      <c r="T5" s="32"/>
      <c r="U5" s="43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</row>
    <row r="6" spans="2:48" s="34" customFormat="1" ht="19.5" customHeight="1">
      <c r="C6" s="33"/>
      <c r="D6" s="102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33"/>
      <c r="U6" s="44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</row>
    <row r="7" spans="2:48" s="34" customFormat="1" ht="39.75" customHeight="1">
      <c r="C7" s="33"/>
      <c r="D7" s="35"/>
      <c r="E7" s="104" t="s">
        <v>19</v>
      </c>
      <c r="F7" s="105"/>
      <c r="G7" s="105"/>
      <c r="H7" s="105"/>
      <c r="I7" s="105"/>
      <c r="J7" s="106" t="s">
        <v>20</v>
      </c>
      <c r="K7" s="107"/>
      <c r="L7" s="108" t="s">
        <v>21</v>
      </c>
      <c r="M7" s="108"/>
      <c r="N7" s="109" t="s">
        <v>22</v>
      </c>
      <c r="O7" s="110"/>
      <c r="P7" s="111"/>
      <c r="Q7" s="112" t="s">
        <v>23</v>
      </c>
      <c r="R7" s="110"/>
      <c r="S7" s="111"/>
      <c r="T7" s="33"/>
      <c r="U7" s="44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</row>
    <row r="8" spans="2:48" s="39" customFormat="1" ht="76.5">
      <c r="C8" s="36"/>
      <c r="D8" s="37" t="s">
        <v>24</v>
      </c>
      <c r="E8" s="47" t="s">
        <v>25</v>
      </c>
      <c r="F8" s="47" t="s">
        <v>26</v>
      </c>
      <c r="G8" s="47" t="s">
        <v>27</v>
      </c>
      <c r="H8" s="47" t="s">
        <v>28</v>
      </c>
      <c r="I8" s="38" t="s">
        <v>29</v>
      </c>
      <c r="J8" s="57" t="s">
        <v>30</v>
      </c>
      <c r="K8" s="57" t="s">
        <v>31</v>
      </c>
      <c r="L8" s="65" t="s">
        <v>32</v>
      </c>
      <c r="M8" s="65" t="s">
        <v>31</v>
      </c>
      <c r="N8" s="64" t="s">
        <v>33</v>
      </c>
      <c r="O8" s="64" t="s">
        <v>34</v>
      </c>
      <c r="P8" s="64" t="s">
        <v>35</v>
      </c>
      <c r="Q8" s="60" t="s">
        <v>36</v>
      </c>
      <c r="R8" s="60" t="s">
        <v>34</v>
      </c>
      <c r="S8" s="60" t="s">
        <v>37</v>
      </c>
      <c r="T8" s="36"/>
      <c r="U8" s="45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</row>
    <row r="9" spans="2:48" s="41" customFormat="1" hidden="1">
      <c r="B9" s="41" t="s">
        <v>38</v>
      </c>
      <c r="C9" s="40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0" t="s">
        <v>56</v>
      </c>
      <c r="U9" s="46" t="s">
        <v>11</v>
      </c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</row>
    <row r="10" spans="2:48" s="41" customFormat="1" ht="17.25" customHeight="1">
      <c r="B10" s="41">
        <v>93</v>
      </c>
      <c r="C10" s="40" t="s">
        <v>64</v>
      </c>
      <c r="D10" s="19">
        <v>1</v>
      </c>
      <c r="E10" s="25">
        <v>41796</v>
      </c>
      <c r="F10" s="25">
        <v>41803</v>
      </c>
      <c r="G10" s="25">
        <v>41803</v>
      </c>
      <c r="H10" s="25">
        <v>41803</v>
      </c>
      <c r="I10" s="42" t="s">
        <v>69</v>
      </c>
      <c r="J10" s="25">
        <v>41808</v>
      </c>
      <c r="K10" s="25">
        <v>41807</v>
      </c>
      <c r="L10" s="25">
        <v>41867</v>
      </c>
      <c r="M10" s="25">
        <v>41873</v>
      </c>
      <c r="N10" s="25">
        <v>41916</v>
      </c>
      <c r="O10" s="25">
        <v>41871</v>
      </c>
      <c r="P10" s="25">
        <v>41873</v>
      </c>
      <c r="Q10" s="25">
        <v>42161</v>
      </c>
      <c r="R10" s="25"/>
      <c r="S10" s="25"/>
      <c r="T10" s="40" t="s">
        <v>63</v>
      </c>
      <c r="U10" s="12">
        <v>42306</v>
      </c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</row>
    <row r="11" spans="2:48" ht="25.5">
      <c r="B11" s="70">
        <v>93</v>
      </c>
      <c r="C11" s="71" t="s">
        <v>64</v>
      </c>
      <c r="D11" s="19">
        <v>2</v>
      </c>
      <c r="E11" s="25">
        <v>41802</v>
      </c>
      <c r="F11" s="25">
        <v>41807</v>
      </c>
      <c r="G11" s="25">
        <v>41807</v>
      </c>
      <c r="H11" s="25">
        <v>41807</v>
      </c>
      <c r="I11" s="72" t="s">
        <v>69</v>
      </c>
      <c r="J11" s="25">
        <v>41814</v>
      </c>
      <c r="K11" s="25">
        <v>41813</v>
      </c>
      <c r="L11" s="25">
        <v>41873</v>
      </c>
      <c r="N11" s="25">
        <v>41922</v>
      </c>
      <c r="O11" s="25">
        <v>41897</v>
      </c>
      <c r="P11" s="25">
        <v>41899</v>
      </c>
      <c r="Q11" s="25">
        <v>42167</v>
      </c>
      <c r="T11" s="71" t="s">
        <v>63</v>
      </c>
      <c r="U11" s="12">
        <v>42306</v>
      </c>
    </row>
    <row r="12" spans="2:48" ht="25.5">
      <c r="B12" s="70">
        <v>93</v>
      </c>
      <c r="C12" s="71" t="s">
        <v>64</v>
      </c>
      <c r="D12" s="19">
        <v>3</v>
      </c>
      <c r="I12" s="72" t="s">
        <v>57</v>
      </c>
      <c r="T12" s="71" t="s">
        <v>63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2"/>
      <c r="D1" s="52"/>
      <c r="E1" s="48"/>
      <c r="F1" s="48"/>
      <c r="G1" s="48"/>
      <c r="H1" s="48"/>
      <c r="I1" s="32"/>
      <c r="J1" s="48"/>
      <c r="K1" s="48"/>
      <c r="L1" s="48"/>
      <c r="M1" s="48"/>
      <c r="N1" s="48"/>
      <c r="O1" s="48"/>
      <c r="P1" s="48"/>
      <c r="Q1" s="48"/>
      <c r="R1" s="48"/>
      <c r="S1" s="48"/>
      <c r="T1" s="32"/>
      <c r="U1" s="4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</row>
    <row r="2" spans="2:48" ht="27">
      <c r="C2" s="32"/>
      <c r="D2" s="20" t="s">
        <v>0</v>
      </c>
      <c r="E2" s="49"/>
      <c r="F2" s="50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2"/>
      <c r="U2" s="43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</row>
    <row r="3" spans="2:48" ht="27">
      <c r="C3" s="32"/>
      <c r="D3" s="53"/>
      <c r="E3" s="50"/>
      <c r="F3" s="50"/>
      <c r="G3" s="48"/>
      <c r="H3" s="48"/>
      <c r="I3" s="32"/>
      <c r="J3" s="48"/>
      <c r="K3" s="48"/>
      <c r="L3" s="99"/>
      <c r="M3" s="99"/>
      <c r="N3" s="99"/>
      <c r="O3" s="62"/>
      <c r="P3" s="48"/>
      <c r="Q3" s="48"/>
      <c r="R3" s="48"/>
      <c r="S3" s="48"/>
      <c r="T3" s="32"/>
      <c r="U3" s="43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</row>
    <row r="4" spans="2:48" ht="24" customHeight="1">
      <c r="C4" s="32"/>
      <c r="D4" s="100" t="s">
        <v>58</v>
      </c>
      <c r="E4" s="100"/>
      <c r="F4" s="51">
        <f>$U$12</f>
        <v>42306</v>
      </c>
      <c r="G4" s="48"/>
      <c r="H4" s="48"/>
      <c r="I4" s="32"/>
      <c r="J4" s="48"/>
      <c r="K4" s="48"/>
      <c r="L4" s="63" t="s">
        <v>17</v>
      </c>
      <c r="M4" s="61">
        <f>$B$12</f>
        <v>92</v>
      </c>
      <c r="N4" s="101" t="str">
        <f>$C$12</f>
        <v>PICARD DAHAN Catherine</v>
      </c>
      <c r="O4" s="101"/>
      <c r="P4" s="101"/>
      <c r="Q4" s="101"/>
      <c r="R4" s="101"/>
      <c r="S4" s="48"/>
      <c r="T4" s="32"/>
      <c r="U4" s="43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</row>
    <row r="5" spans="2:48">
      <c r="C5" s="32"/>
      <c r="D5" s="52"/>
      <c r="E5" s="48"/>
      <c r="F5" s="48"/>
      <c r="G5" s="48"/>
      <c r="H5" s="48"/>
      <c r="I5" s="32"/>
      <c r="J5" s="48"/>
      <c r="K5" s="48"/>
      <c r="L5" s="48"/>
      <c r="M5" s="48"/>
      <c r="N5" s="48"/>
      <c r="O5" s="48"/>
      <c r="P5" s="48"/>
      <c r="Q5" s="48"/>
      <c r="R5" s="56" t="s">
        <v>18</v>
      </c>
      <c r="S5" s="48"/>
      <c r="T5" s="32"/>
      <c r="U5" s="43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</row>
    <row r="6" spans="2:48" s="34" customFormat="1" ht="19.5" customHeight="1">
      <c r="C6" s="33"/>
      <c r="D6" s="102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33"/>
      <c r="U6" s="44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</row>
    <row r="7" spans="2:48" s="34" customFormat="1" ht="39.75" customHeight="1">
      <c r="C7" s="33"/>
      <c r="D7" s="35"/>
      <c r="E7" s="104" t="s">
        <v>19</v>
      </c>
      <c r="F7" s="105"/>
      <c r="G7" s="105"/>
      <c r="H7" s="105"/>
      <c r="I7" s="105"/>
      <c r="J7" s="106" t="s">
        <v>20</v>
      </c>
      <c r="K7" s="107"/>
      <c r="L7" s="108" t="s">
        <v>21</v>
      </c>
      <c r="M7" s="108"/>
      <c r="N7" s="109" t="s">
        <v>22</v>
      </c>
      <c r="O7" s="110"/>
      <c r="P7" s="111"/>
      <c r="Q7" s="112" t="s">
        <v>23</v>
      </c>
      <c r="R7" s="110"/>
      <c r="S7" s="111"/>
      <c r="T7" s="33"/>
      <c r="U7" s="44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</row>
    <row r="8" spans="2:48" s="39" customFormat="1" ht="76.5">
      <c r="C8" s="36"/>
      <c r="D8" s="37" t="s">
        <v>24</v>
      </c>
      <c r="E8" s="47" t="s">
        <v>25</v>
      </c>
      <c r="F8" s="47" t="s">
        <v>26</v>
      </c>
      <c r="G8" s="47" t="s">
        <v>27</v>
      </c>
      <c r="H8" s="47" t="s">
        <v>28</v>
      </c>
      <c r="I8" s="38" t="s">
        <v>29</v>
      </c>
      <c r="J8" s="57" t="s">
        <v>30</v>
      </c>
      <c r="K8" s="57" t="s">
        <v>31</v>
      </c>
      <c r="L8" s="65" t="s">
        <v>32</v>
      </c>
      <c r="M8" s="65" t="s">
        <v>31</v>
      </c>
      <c r="N8" s="64" t="s">
        <v>33</v>
      </c>
      <c r="O8" s="64" t="s">
        <v>34</v>
      </c>
      <c r="P8" s="64" t="s">
        <v>35</v>
      </c>
      <c r="Q8" s="60" t="s">
        <v>36</v>
      </c>
      <c r="R8" s="60" t="s">
        <v>34</v>
      </c>
      <c r="S8" s="60" t="s">
        <v>37</v>
      </c>
      <c r="T8" s="36"/>
      <c r="U8" s="45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</row>
    <row r="9" spans="2:48" s="41" customFormat="1" hidden="1">
      <c r="B9" s="41" t="s">
        <v>38</v>
      </c>
      <c r="C9" s="40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0" t="s">
        <v>56</v>
      </c>
      <c r="U9" s="46" t="s">
        <v>11</v>
      </c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</row>
    <row r="10" spans="2:48" s="41" customFormat="1" ht="17.25" customHeight="1">
      <c r="B10" s="41">
        <v>92</v>
      </c>
      <c r="C10" s="40" t="s">
        <v>66</v>
      </c>
      <c r="D10" s="19">
        <v>1</v>
      </c>
      <c r="E10" s="25">
        <v>41844</v>
      </c>
      <c r="F10" s="25">
        <v>41848</v>
      </c>
      <c r="G10" s="25">
        <v>41855</v>
      </c>
      <c r="H10" s="25">
        <v>41899</v>
      </c>
      <c r="I10" s="72" t="s">
        <v>72</v>
      </c>
      <c r="J10" s="25">
        <v>41856</v>
      </c>
      <c r="K10" s="25">
        <v>41855</v>
      </c>
      <c r="L10" s="25">
        <v>41915</v>
      </c>
      <c r="M10" s="25">
        <v>41899</v>
      </c>
      <c r="N10" s="25">
        <v>41964</v>
      </c>
      <c r="O10" s="25">
        <v>41897</v>
      </c>
      <c r="P10" s="25">
        <v>41899</v>
      </c>
      <c r="Q10" s="25">
        <v>42209</v>
      </c>
      <c r="R10" s="25">
        <v>42058</v>
      </c>
      <c r="S10" s="25">
        <v>42060</v>
      </c>
      <c r="T10" s="40" t="s">
        <v>65</v>
      </c>
      <c r="U10" s="12">
        <v>42306</v>
      </c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</row>
    <row r="11" spans="2:48" ht="25.5">
      <c r="B11" s="70">
        <v>92</v>
      </c>
      <c r="C11" s="71" t="s">
        <v>66</v>
      </c>
      <c r="D11" s="19">
        <v>2</v>
      </c>
      <c r="E11" s="25">
        <v>41884</v>
      </c>
      <c r="F11" s="25">
        <v>41906</v>
      </c>
      <c r="G11" s="25">
        <v>41891</v>
      </c>
      <c r="H11" s="25">
        <v>41886</v>
      </c>
      <c r="I11" s="72" t="s">
        <v>70</v>
      </c>
      <c r="J11" s="25">
        <v>41896</v>
      </c>
      <c r="K11" s="25">
        <v>41893</v>
      </c>
      <c r="L11" s="25">
        <v>41955</v>
      </c>
      <c r="N11" s="25">
        <v>42004</v>
      </c>
      <c r="O11" s="25">
        <v>41919</v>
      </c>
      <c r="P11" s="25">
        <v>41921</v>
      </c>
      <c r="Q11" s="25">
        <v>42249</v>
      </c>
      <c r="R11" s="25">
        <v>42206</v>
      </c>
      <c r="S11" s="25">
        <v>42208</v>
      </c>
      <c r="T11" s="71" t="s">
        <v>65</v>
      </c>
      <c r="U11" s="12">
        <v>42306</v>
      </c>
    </row>
    <row r="12" spans="2:48" ht="25.5">
      <c r="B12" s="70">
        <v>92</v>
      </c>
      <c r="C12" s="71" t="s">
        <v>66</v>
      </c>
      <c r="D12" s="19">
        <v>3</v>
      </c>
      <c r="E12" s="25">
        <v>41907</v>
      </c>
      <c r="F12" s="25">
        <v>41911</v>
      </c>
      <c r="G12" s="25">
        <v>41911</v>
      </c>
      <c r="H12" s="25">
        <v>41911</v>
      </c>
      <c r="I12" s="72" t="s">
        <v>70</v>
      </c>
      <c r="J12" s="25">
        <v>41919</v>
      </c>
      <c r="K12" s="25">
        <v>41926</v>
      </c>
      <c r="L12" s="25">
        <v>41978</v>
      </c>
      <c r="M12" s="25">
        <v>42017</v>
      </c>
      <c r="N12" s="25">
        <v>42027</v>
      </c>
      <c r="O12" s="25">
        <v>41949</v>
      </c>
      <c r="P12" s="25">
        <v>41950</v>
      </c>
      <c r="Q12" s="25">
        <v>42272</v>
      </c>
      <c r="R12" s="25">
        <v>42177</v>
      </c>
      <c r="S12" s="25">
        <v>42179</v>
      </c>
      <c r="T12" s="71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2"/>
      <c r="D1" s="52"/>
      <c r="E1" s="48"/>
      <c r="F1" s="48"/>
      <c r="G1" s="48"/>
      <c r="H1" s="48"/>
      <c r="I1" s="32"/>
      <c r="J1" s="48"/>
      <c r="K1" s="48"/>
      <c r="L1" s="48"/>
      <c r="M1" s="48"/>
      <c r="N1" s="48"/>
      <c r="O1" s="48"/>
      <c r="P1" s="48"/>
      <c r="Q1" s="48"/>
      <c r="R1" s="48"/>
      <c r="S1" s="48"/>
      <c r="T1" s="32"/>
      <c r="U1" s="4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</row>
    <row r="2" spans="2:48" ht="27">
      <c r="C2" s="32"/>
      <c r="D2" s="20" t="s">
        <v>0</v>
      </c>
      <c r="E2" s="49"/>
      <c r="F2" s="50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2"/>
      <c r="U2" s="43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</row>
    <row r="3" spans="2:48" ht="27">
      <c r="C3" s="32"/>
      <c r="D3" s="53"/>
      <c r="E3" s="50"/>
      <c r="F3" s="50"/>
      <c r="G3" s="48"/>
      <c r="H3" s="48"/>
      <c r="I3" s="32"/>
      <c r="J3" s="48"/>
      <c r="K3" s="48"/>
      <c r="L3" s="99"/>
      <c r="M3" s="99"/>
      <c r="N3" s="99"/>
      <c r="O3" s="90"/>
      <c r="P3" s="48"/>
      <c r="Q3" s="48"/>
      <c r="R3" s="48"/>
      <c r="S3" s="48"/>
      <c r="T3" s="32"/>
      <c r="U3" s="43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</row>
    <row r="4" spans="2:48" ht="24" customHeight="1">
      <c r="C4" s="32"/>
      <c r="D4" s="100" t="s">
        <v>58</v>
      </c>
      <c r="E4" s="100"/>
      <c r="F4" s="51">
        <f>$U$12</f>
        <v>42306</v>
      </c>
      <c r="G4" s="48"/>
      <c r="H4" s="48"/>
      <c r="I4" s="32"/>
      <c r="J4" s="48"/>
      <c r="K4" s="48"/>
      <c r="L4" s="91" t="s">
        <v>17</v>
      </c>
      <c r="M4" s="61">
        <f>$B$12</f>
        <v>430</v>
      </c>
      <c r="N4" s="101" t="str">
        <f>$C$12</f>
        <v>STAMATOPOULOU Zoé</v>
      </c>
      <c r="O4" s="101"/>
      <c r="P4" s="101"/>
      <c r="Q4" s="101"/>
      <c r="R4" s="101"/>
      <c r="S4" s="48"/>
      <c r="T4" s="32"/>
      <c r="U4" s="43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</row>
    <row r="5" spans="2:48">
      <c r="C5" s="32"/>
      <c r="D5" s="52"/>
      <c r="E5" s="48"/>
      <c r="F5" s="48"/>
      <c r="G5" s="48"/>
      <c r="H5" s="48"/>
      <c r="I5" s="32"/>
      <c r="J5" s="48"/>
      <c r="K5" s="48"/>
      <c r="L5" s="48"/>
      <c r="M5" s="48"/>
      <c r="N5" s="48"/>
      <c r="O5" s="48"/>
      <c r="P5" s="48"/>
      <c r="Q5" s="48"/>
      <c r="R5" s="56" t="s">
        <v>18</v>
      </c>
      <c r="S5" s="48"/>
      <c r="T5" s="32"/>
      <c r="U5" s="43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</row>
    <row r="6" spans="2:48" s="34" customFormat="1" ht="19.5" customHeight="1">
      <c r="C6" s="33"/>
      <c r="D6" s="102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33"/>
      <c r="U6" s="44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</row>
    <row r="7" spans="2:48" s="34" customFormat="1" ht="39.75" customHeight="1">
      <c r="C7" s="33"/>
      <c r="D7" s="35"/>
      <c r="E7" s="104" t="s">
        <v>19</v>
      </c>
      <c r="F7" s="105"/>
      <c r="G7" s="105"/>
      <c r="H7" s="105"/>
      <c r="I7" s="105"/>
      <c r="J7" s="106" t="s">
        <v>20</v>
      </c>
      <c r="K7" s="107"/>
      <c r="L7" s="108" t="s">
        <v>21</v>
      </c>
      <c r="M7" s="108"/>
      <c r="N7" s="109" t="s">
        <v>22</v>
      </c>
      <c r="O7" s="110"/>
      <c r="P7" s="111"/>
      <c r="Q7" s="112" t="s">
        <v>23</v>
      </c>
      <c r="R7" s="110"/>
      <c r="S7" s="111"/>
      <c r="T7" s="33"/>
      <c r="U7" s="44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</row>
    <row r="8" spans="2:48" s="39" customFormat="1" ht="76.5">
      <c r="C8" s="36"/>
      <c r="D8" s="37" t="s">
        <v>24</v>
      </c>
      <c r="E8" s="47" t="s">
        <v>25</v>
      </c>
      <c r="F8" s="47" t="s">
        <v>26</v>
      </c>
      <c r="G8" s="47" t="s">
        <v>27</v>
      </c>
      <c r="H8" s="47" t="s">
        <v>28</v>
      </c>
      <c r="I8" s="38" t="s">
        <v>29</v>
      </c>
      <c r="J8" s="57" t="s">
        <v>30</v>
      </c>
      <c r="K8" s="57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0" t="s">
        <v>36</v>
      </c>
      <c r="R8" s="60" t="s">
        <v>34</v>
      </c>
      <c r="S8" s="60" t="s">
        <v>37</v>
      </c>
      <c r="T8" s="36"/>
      <c r="U8" s="45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</row>
    <row r="9" spans="2:48" s="41" customFormat="1" hidden="1">
      <c r="B9" s="41" t="s">
        <v>38</v>
      </c>
      <c r="C9" s="40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0" t="s">
        <v>56</v>
      </c>
      <c r="U9" s="46" t="s">
        <v>11</v>
      </c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</row>
    <row r="10" spans="2:48" s="41" customFormat="1" ht="17.25" customHeight="1">
      <c r="B10" s="41">
        <v>430</v>
      </c>
      <c r="C10" s="40" t="s">
        <v>74</v>
      </c>
      <c r="D10" s="19">
        <v>1</v>
      </c>
      <c r="E10" s="25">
        <v>41948</v>
      </c>
      <c r="F10" s="25">
        <v>41950</v>
      </c>
      <c r="G10" s="25"/>
      <c r="H10" s="25">
        <v>41950</v>
      </c>
      <c r="I10" s="89" t="s">
        <v>75</v>
      </c>
      <c r="J10" s="25">
        <v>41960</v>
      </c>
      <c r="K10" s="25">
        <v>41962</v>
      </c>
      <c r="L10" s="25">
        <v>42019</v>
      </c>
      <c r="M10" s="25">
        <v>42011</v>
      </c>
      <c r="N10" s="25">
        <v>42068</v>
      </c>
      <c r="O10" s="25">
        <v>41971</v>
      </c>
      <c r="P10" s="25">
        <v>41974</v>
      </c>
      <c r="Q10" s="25">
        <v>42313</v>
      </c>
      <c r="R10" s="25">
        <v>42019</v>
      </c>
      <c r="S10" s="25">
        <v>42025</v>
      </c>
      <c r="T10" s="40" t="s">
        <v>73</v>
      </c>
      <c r="U10" s="12">
        <v>42306</v>
      </c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</row>
    <row r="11" spans="2:48" ht="25.5">
      <c r="B11" s="94">
        <v>430</v>
      </c>
      <c r="C11" s="95" t="s">
        <v>74</v>
      </c>
      <c r="D11" s="19">
        <v>2</v>
      </c>
      <c r="E11" s="25">
        <v>41983</v>
      </c>
      <c r="F11" s="25">
        <v>41985</v>
      </c>
      <c r="G11" s="25">
        <v>41985</v>
      </c>
      <c r="H11" s="25">
        <v>41985</v>
      </c>
      <c r="I11" s="89" t="s">
        <v>76</v>
      </c>
      <c r="J11" s="25">
        <v>41995</v>
      </c>
      <c r="L11" s="25">
        <v>42054</v>
      </c>
      <c r="M11" s="25">
        <v>42114</v>
      </c>
      <c r="N11" s="25">
        <v>42103</v>
      </c>
      <c r="Q11" s="25">
        <v>42348</v>
      </c>
      <c r="T11" s="95" t="s">
        <v>73</v>
      </c>
      <c r="U11" s="12">
        <v>42306</v>
      </c>
    </row>
    <row r="12" spans="2:48" ht="25.5">
      <c r="B12" s="94">
        <v>430</v>
      </c>
      <c r="C12" s="95" t="s">
        <v>74</v>
      </c>
      <c r="D12" s="19">
        <v>3</v>
      </c>
      <c r="E12" s="25">
        <v>41990</v>
      </c>
      <c r="F12" s="25">
        <v>41992</v>
      </c>
      <c r="I12" s="89" t="s">
        <v>57</v>
      </c>
      <c r="J12" s="25">
        <v>42002</v>
      </c>
      <c r="L12" s="25">
        <v>42061</v>
      </c>
      <c r="N12" s="25">
        <v>42110</v>
      </c>
      <c r="Q12" s="25">
        <v>42355</v>
      </c>
      <c r="T12" s="95" t="s">
        <v>73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Secteur DE0108</vt:lpstr>
      <vt:lpstr>05211431</vt:lpstr>
      <vt:lpstr>04130245</vt:lpstr>
      <vt:lpstr>05417965</vt:lpstr>
      <vt:lpstr>07298061</vt:lpstr>
      <vt:lpstr>08605152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2014-10-16T12:42:21Z</cp:lastPrinted>
  <dcterms:created xsi:type="dcterms:W3CDTF">2014-04-10T15:52:05Z</dcterms:created>
  <dcterms:modified xsi:type="dcterms:W3CDTF">2015-10-29T22:01:38Z</dcterms:modified>
</cp:coreProperties>
</file>