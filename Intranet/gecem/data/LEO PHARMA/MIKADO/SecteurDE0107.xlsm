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6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107" sheetId="1" r:id="rId1"/>
    <sheet name="00162155" sheetId="15" r:id="rId2"/>
    <sheet name="00609749" sheetId="10" r:id="rId3"/>
    <sheet name="08335185" sheetId="12" r:id="rId4"/>
    <sheet name="00020581" sheetId="13" r:id="rId5"/>
    <sheet name="02002371" sheetId="2" r:id="rId6"/>
    <sheet name="03262378" sheetId="14" r:id="rId7"/>
    <sheet name="00260976" sheetId="3" r:id="rId8"/>
    <sheet name="05385065" sheetId="4" r:id="rId9"/>
    <sheet name="05647689" sheetId="5" r:id="rId10"/>
    <sheet name="06711075" sheetId="6" r:id="rId11"/>
    <sheet name="07027118" sheetId="7" r:id="rId12"/>
    <sheet name="07236653" sheetId="11" r:id="rId13"/>
    <sheet name="07623765" sheetId="9" r:id="rId14"/>
    <sheet name="08530515" sheetId="8" r:id="rId15"/>
    <sheet name="08569537" sheetId="16" r:id="rId16"/>
  </sheets>
  <definedNames>
    <definedName name="Lancer_la_requête_à_partir_de_MS_Access_Database" localSheetId="4" hidden="1">'00020581'!$B$9:$U$14</definedName>
    <definedName name="Lancer_la_requête_à_partir_de_MS_Access_Database" localSheetId="1" hidden="1">'00162155'!$B$9:$U$12</definedName>
    <definedName name="Lancer_la_requête_à_partir_de_MS_Access_Database" localSheetId="7" hidden="1">'00260976'!$B$9:$U$12</definedName>
    <definedName name="Lancer_la_requête_à_partir_de_MS_Access_Database" localSheetId="2" hidden="1">'00609749'!$B$9:$U$12</definedName>
    <definedName name="Lancer_la_requête_à_partir_de_MS_Access_Database" localSheetId="5" hidden="1">'02002371'!$B$9:$U$17</definedName>
    <definedName name="Lancer_la_requête_à_partir_de_MS_Access_Database" localSheetId="6" hidden="1">'03262378'!$B$9:$U$12</definedName>
    <definedName name="Lancer_la_requête_à_partir_de_MS_Access_Database" localSheetId="8" hidden="1">'05385065'!$B$9:$U$12</definedName>
    <definedName name="Lancer_la_requête_à_partir_de_MS_Access_Database" localSheetId="9" hidden="1">'05647689'!$B$9:$U$16</definedName>
    <definedName name="Lancer_la_requête_à_partir_de_MS_Access_Database" localSheetId="10" hidden="1">'06711075'!$B$9:$U$14</definedName>
    <definedName name="Lancer_la_requête_à_partir_de_MS_Access_Database" localSheetId="11" hidden="1">'07027118'!$B$9:$U$14</definedName>
    <definedName name="Lancer_la_requête_à_partir_de_MS_Access_Database" localSheetId="12" hidden="1">'07236653'!$B$9:$U$12</definedName>
    <definedName name="Lancer_la_requête_à_partir_de_MS_Access_Database" localSheetId="13" hidden="1">'07623765'!$B$9:$U$12</definedName>
    <definedName name="Lancer_la_requête_à_partir_de_MS_Access_Database" localSheetId="3" hidden="1">'08335185'!$B$9:$U$12</definedName>
    <definedName name="Lancer_la_requête_à_partir_de_MS_Access_Database" localSheetId="14" hidden="1">'08530515'!$B$9:$U$17</definedName>
    <definedName name="Lancer_la_requête_à_partir_de_MS_Access_Database" localSheetId="15" hidden="1">'08569537'!$B$9:$U$12</definedName>
    <definedName name="Lancer_la_requête_à_partir_de_MS_Access_Database_1" localSheetId="0" hidden="1">'Secteur DE0107'!$A$7:$K$22</definedName>
  </definedNames>
  <calcPr calcId="125725"/>
</workbook>
</file>

<file path=xl/calcChain.xml><?xml version="1.0" encoding="utf-8"?>
<calcChain xmlns="http://schemas.openxmlformats.org/spreadsheetml/2006/main">
  <c r="D23" i="1"/>
  <c r="E23"/>
  <c r="F23"/>
  <c r="G23"/>
  <c r="H23"/>
  <c r="I23"/>
  <c r="N4" i="16"/>
  <c r="M4"/>
  <c r="F4"/>
  <c r="N4" i="15"/>
  <c r="M4"/>
  <c r="F4"/>
  <c r="N4" i="14"/>
  <c r="M4"/>
  <c r="F4"/>
  <c r="N4" i="13"/>
  <c r="M4"/>
  <c r="F4"/>
  <c r="N4" i="12" l="1"/>
  <c r="M4"/>
  <c r="F4"/>
  <c r="N4" i="11"/>
  <c r="M4"/>
  <c r="F4"/>
  <c r="N4" i="10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107')_x000d__x000a_ORDER BY Req_REPORT_SECTEURS_GLOBAL.Medecin"/>
  </connection>
  <connection id="2" name="Lancer la requête à partir de MS Access Database0002058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020581')"/>
  </connection>
  <connection id="3" name="Lancer la requête à partir de MS Access Database0016215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162155')"/>
  </connection>
  <connection id="4" name="Lancer la requête à partir de MS Access Database0026097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260976')"/>
  </connection>
  <connection id="5" name="Lancer la requête à partir de MS Access Database0060974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609749')"/>
  </connection>
  <connection id="6" name="Lancer la requête à partir de MS Access Database0200237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002371')"/>
  </connection>
  <connection id="7" name="Lancer la requête à partir de MS Access Database0326237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262378')"/>
  </connection>
  <connection id="8" name="Lancer la requête à partir de MS Access Database0538506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385065')"/>
  </connection>
  <connection id="9" name="Lancer la requête à partir de MS Access Database0564768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647689')"/>
  </connection>
  <connection id="10" name="Lancer la requête à partir de MS Access Database0671107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711075')"/>
  </connection>
  <connection id="11" name="Lancer la requête à partir de MS Access Database0702711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027118')"/>
  </connection>
  <connection id="12" name="Lancer la requête à partir de MS Access Database0723665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236653')"/>
  </connection>
  <connection id="13" name="Lancer la requête à partir de MS Access Database0762376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623765')"/>
  </connection>
  <connection id="14" name="Lancer la requête à partir de MS Access Database0833518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335185')"/>
  </connection>
  <connection id="15" name="Lancer la requête à partir de MS Access Database0853051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530515')"/>
  </connection>
  <connection id="16" name="Lancer la requête à partir de MS Access Database0856953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569537')"/>
  </connection>
</connections>
</file>

<file path=xl/sharedStrings.xml><?xml version="1.0" encoding="utf-8"?>
<sst xmlns="http://schemas.openxmlformats.org/spreadsheetml/2006/main" count="976" uniqueCount="117">
  <si>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</si>
  <si>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</si>
  <si>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</si>
  <si>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</si>
  <si>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</si>
  <si>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</si>
  <si>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</si>
  <si>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</si>
  <si>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</si>
  <si>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</si>
  <si>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</si>
  <si>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</si>
  <si>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</si>
  <si>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</si>
  <si>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</si>
  <si>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</si>
  <si>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</si>
  <si>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</si>
  <si>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</si>
  <si>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</si>
  <si>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</si>
  <si>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</si>
  <si>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</si>
  <si>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</si>
  <si>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</si>
  <si>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</si>
  <si>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</si>
  <si>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</si>
  <si>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</si>
  <si>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</si>
  <si>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</si>
  <si>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</si>
  <si>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</si>
  <si>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</si>
  <si>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</si>
  <si>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</si>
  <si>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</si>
  <si>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</si>
  <si>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</si>
  <si>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</si>
  <si>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</si>
  <si>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</si>
  <si>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</si>
  <si>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</si>
  <si>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</si>
  <si>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</si>
  <si>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</si>
  <si>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</si>
  <si>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</si>
  <si>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</si>
  <si>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</si>
  <si>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</si>
  <si>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</si>
  <si>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</si>
  <si>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</si>
  <si>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</si>
  <si>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</si>
  <si>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</si>
  <si>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</si>
  <si>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DE0107</t>
  </si>
  <si>
    <t>HOULES Nathalie</t>
  </si>
  <si>
    <t>WFRM02002371</t>
  </si>
  <si>
    <t>DELBARRE Marielle</t>
  </si>
  <si>
    <t>WFRM00260976</t>
  </si>
  <si>
    <t>HATCHUEL Jean</t>
  </si>
  <si>
    <t>WFRM05385065</t>
  </si>
  <si>
    <t>LAVILLONNIERE Lise</t>
  </si>
  <si>
    <t>WFRM05647689</t>
  </si>
  <si>
    <t>LEMAIRE-LUTRAN Véronique</t>
  </si>
  <si>
    <t>WFRM06711075</t>
  </si>
  <si>
    <t>MOURET Sylvie</t>
  </si>
  <si>
    <t>WFRM07027118</t>
  </si>
  <si>
    <t>NUZUM Marianne</t>
  </si>
  <si>
    <t>WFRM08530515</t>
  </si>
  <si>
    <t>SKOURNIK Roselyne</t>
  </si>
  <si>
    <t>WFRM07623765</t>
  </si>
  <si>
    <t>RABARY Gilles</t>
  </si>
  <si>
    <t>BEAULIEU Philippe</t>
  </si>
  <si>
    <t>WFRM00609749</t>
  </si>
  <si>
    <t>PETIT Alain</t>
  </si>
  <si>
    <t>WFRM07236653</t>
  </si>
  <si>
    <t>COHEN Karine</t>
  </si>
  <si>
    <t>WFRM08335185</t>
  </si>
  <si>
    <t>WFRM00020581</t>
  </si>
  <si>
    <t>DEJOIE Aline</t>
  </si>
  <si>
    <t>WFRM03262378</t>
  </si>
  <si>
    <t>ELBEZ Patricia</t>
  </si>
  <si>
    <t>22mai:Envoi enveloppe T par courrier pour récupérer page manquante visite inclusion</t>
  </si>
  <si>
    <t>WFRM00162155</t>
  </si>
  <si>
    <t>ANDRIEUX Dominique</t>
  </si>
  <si>
    <t>WFRM08569537</t>
  </si>
  <si>
    <t>SOUIED Marc</t>
  </si>
  <si>
    <t>18juin: refus de la secretaire de passer les appels, message laissé</t>
  </si>
  <si>
    <t>Via médecin</t>
  </si>
  <si>
    <t>SMS - Courrier</t>
  </si>
  <si>
    <t>Téléphone - Via médecin</t>
  </si>
  <si>
    <t>SMS - Mail - Courrier - Téléphone</t>
  </si>
  <si>
    <t>Courrier - Téléphone</t>
  </si>
  <si>
    <t>SMS - Courrier - Via médecin</t>
  </si>
  <si>
    <t>Téléphone</t>
  </si>
  <si>
    <t>SMS - Téléphone - Via médecin</t>
  </si>
  <si>
    <t>Courrier 05/08: demande envoi visite inclusion patient 1512 + relance à faire patient 3 n'a pas renvoyé son autoQ à 2 mois</t>
  </si>
  <si>
    <t>Courrier 05/08: demande envoi visite inclusion pour le patient 1</t>
  </si>
  <si>
    <t>SMS - Mail - Courrier - Via médecin</t>
  </si>
  <si>
    <t>03sept: Viens d'être mis en place. Est dans l'attente de patient pour pouvoir le faire. D'ici 10-15 jours</t>
  </si>
  <si>
    <t>05sept: A déjà inclus 1 patient mais avait oublié cette étude à cause des vacances.Il va donc s'y remettre pour l'inclusion de 2 autres patients supplémentaires et nous renvoyer les questionnaires d'inclusions.</t>
  </si>
  <si>
    <t>SMS</t>
  </si>
  <si>
    <t>23sept: a inclus ses 3 patients: souhaite 2 nouveaux cahiers</t>
  </si>
  <si>
    <t>Courrier</t>
  </si>
  <si>
    <t>ne souhaite plus participer</t>
  </si>
  <si>
    <t>15oct: accepte une réappro, envoi de 2 CRFs ce jour</t>
  </si>
  <si>
    <t>04nov: Souhaite recevoir 2 =&gt; envoyé le12nov</t>
  </si>
  <si>
    <t>Courrier - Via médecin</t>
  </si>
  <si>
    <t>Reste 2 patients à inclure</t>
  </si>
  <si>
    <t>Colonne1</t>
  </si>
  <si>
    <t>question PV</t>
  </si>
  <si>
    <t>réponses queries patient 1903</t>
  </si>
</sst>
</file>

<file path=xl/styles.xml><?xml version="1.0" encoding="utf-8"?>
<styleSheet xmlns="http://schemas.openxmlformats.org/spreadsheetml/2006/main">
  <numFmts count="1">
    <numFmt numFmtId="164" formatCode="dd/mm/yy;@"/>
  </numFmts>
  <fonts count="29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35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1" fillId="0" borderId="0" xfId="2" applyAlignment="1" applyProtection="1">
      <alignment horizontal="center" vertical="center"/>
    </xf>
    <xf numFmtId="22" fontId="0" fillId="0" borderId="0" xfId="0" applyNumberFormat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/>
    </xf>
    <xf numFmtId="0" fontId="0" fillId="0" borderId="0" xfId="0" applyNumberFormat="1" applyBorder="1" applyAlignment="1">
      <alignment horizont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0" fontId="0" fillId="11" borderId="0" xfId="0" applyFill="1" applyAlignment="1">
      <alignment vertical="center"/>
    </xf>
    <xf numFmtId="0" fontId="11" fillId="11" borderId="0" xfId="2" applyFill="1" applyAlignment="1" applyProtection="1">
      <alignment horizontal="center" vertical="center"/>
    </xf>
    <xf numFmtId="22" fontId="0" fillId="11" borderId="0" xfId="0" applyNumberFormat="1" applyFill="1" applyAlignment="1">
      <alignment vertical="center"/>
    </xf>
    <xf numFmtId="164" fontId="0" fillId="11" borderId="0" xfId="0" applyNumberForma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vertical="center"/>
    </xf>
    <xf numFmtId="0" fontId="28" fillId="12" borderId="5" xfId="0" applyFont="1" applyFill="1" applyBorder="1" applyAlignment="1">
      <alignment wrapText="1"/>
    </xf>
    <xf numFmtId="0" fontId="28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34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64" formatCode="dd/mm/yy;@"/>
      <alignment horizontal="general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342"/>
      <tableStyleElement type="headerRow" dxfId="341"/>
      <tableStyleElement type="totalRow" dxfId="340"/>
      <tableStyleElement type="firstColumn" dxfId="339"/>
      <tableStyleElement type="lastColumn" dxfId="338"/>
      <tableStyleElement type="firstRowStripe" dxfId="337"/>
      <tableStyleElement type="secondRowStripe" dxfId="336"/>
      <tableStyleElement type="firstColumnStripe" dxfId="335"/>
      <tableStyleElement type="secondColumnStripe" dxfId="334"/>
    </tableStyle>
    <tableStyle name="TableStyleLight8 2" pivot="0" count="9">
      <tableStyleElement type="wholeTable" dxfId="333"/>
      <tableStyleElement type="headerRow" dxfId="332"/>
      <tableStyleElement type="totalRow" dxfId="331"/>
      <tableStyleElement type="firstColumn" dxfId="330"/>
      <tableStyleElement type="lastColumn" dxfId="329"/>
      <tableStyleElement type="firstRowStripe" dxfId="328"/>
      <tableStyleElement type="secondRowStripe" dxfId="327"/>
      <tableStyleElement type="firstColumnStripe" dxfId="326"/>
      <tableStyleElement type="secondColumnStripe" dxfId="32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1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4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5.xml><?xml version="1.0" encoding="utf-8"?>
<queryTable xmlns="http://schemas.openxmlformats.org/spreadsheetml/2006/main" name="Lancer la requête à partir de MS Access Database" adjustColumnWidth="0" connectionId="1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6.xml><?xml version="1.0" encoding="utf-8"?>
<queryTable xmlns="http://schemas.openxmlformats.org/spreadsheetml/2006/main" name="Lancer la requête à partir de MS Access Database" adjustColumnWidth="0" connectionId="1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23" tableType="queryTable" totalsRowCount="1" headerRowDxfId="324" dataDxfId="323">
  <tableColumns count="12">
    <tableColumn id="1" uniqueName="1" name="Code Secteur" queryTableFieldId="1" dataDxfId="311" totalsRowDxfId="312"/>
    <tableColumn id="2" uniqueName="2" name="VM" queryTableFieldId="2" dataDxfId="310" totalsRowDxfId="313"/>
    <tableColumn id="3" uniqueName="3" name="Code médecin" totalsRowLabel="TOTAL" queryTableFieldId="3" dataDxfId="309" totalsRowDxfId="314" dataCellStyle="Lien hypertexte"/>
    <tableColumn id="4" uniqueName="4" name="Medecin" totalsRowFunction="custom" queryTableFieldId="4" dataDxfId="308" totalsRowDxfId="315">
      <totalsRowFormula>SUBTOTAL(3,D8:D22)</totalsRowFormula>
    </tableColumn>
    <tableColumn id="5" uniqueName="5" name="Date de réception convention financière" totalsRowFunction="custom" queryTableFieldId="5" dataDxfId="307" totalsRowDxfId="316">
      <totalsRowFormula>SUBTOTAL(3,[Date de réception convention financière])</totalsRowFormula>
    </tableColumn>
    <tableColumn id="6" uniqueName="6" name="Date de réception AR kit" totalsRowFunction="custom" queryTableFieldId="6" dataDxfId="306" totalsRowDxfId="317">
      <totalsRowFormula>SUBTOTAL(3,[Date de réception AR kit])</totalsRowFormula>
    </tableColumn>
    <tableColumn id="7" uniqueName="7" name="Date de MEP" totalsRowFunction="custom" queryTableFieldId="7" dataDxfId="305" totalsRowDxfId="318">
      <totalsRowFormula>SUBTOTAL(3,[Date de MEP])</totalsRowFormula>
    </tableColumn>
    <tableColumn id="8" uniqueName="8" name="Desistement" totalsRowFunction="custom" queryTableFieldId="8" dataDxfId="304" totalsRowDxfId="319">
      <totalsRowFormula>SUBTOTAL(3,[Desistement])</totalsRowFormula>
    </tableColumn>
    <tableColumn id="9" uniqueName="9" name="Nb Total Patients inclus" totalsRowFunction="custom" queryTableFieldId="9" dataDxfId="303" totalsRowDxfId="320">
      <totalsRowFormula>SUBTOTAL(109,I8:I22)</totalsRowFormula>
    </tableColumn>
    <tableColumn id="10" uniqueName="10" name="Comptes-rendus contact médecin-GECEM" queryTableFieldId="10" dataDxfId="302" totalsRowDxfId="321"/>
    <tableColumn id="11" uniqueName="11" name="Date" queryTableFieldId="11" dataDxfId="301" totalsRowDxfId="322"/>
    <tableColumn id="12" uniqueName="12" name="Colonne1" queryTableFieldId="12" dataDxfId="30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5" name="Tableau_Lancer_la_requête_à_partir_de_MS_Access_Database4561116" displayName="Tableau_Lancer_la_requête_à_partir_de_MS_Access_Database4561116" ref="B9:U12" tableType="queryTable" totalsRowShown="0">
  <autoFilter ref="B9:U12"/>
  <tableColumns count="20">
    <tableColumn id="1" uniqueName="1" name="Num_Centre" queryTableFieldId="1" dataDxfId="299"/>
    <tableColumn id="2" uniqueName="2" name="Investigateur" queryTableFieldId="2" dataDxfId="298"/>
    <tableColumn id="3" uniqueName="3" name="Num_Patient" queryTableFieldId="3" dataDxfId="297"/>
    <tableColumn id="4" uniqueName="4" name="INCLUSION_Visite" queryTableFieldId="4" dataDxfId="296"/>
    <tableColumn id="5" uniqueName="5" name="INCLUSION_Reception" queryTableFieldId="5" dataDxfId="295"/>
    <tableColumn id="6" uniqueName="6" name="AQINCLUSION_Reception" queryTableFieldId="6" dataDxfId="294"/>
    <tableColumn id="7" uniqueName="7" name="CONTACT_Reception" queryTableFieldId="7" dataDxfId="293"/>
    <tableColumn id="8" uniqueName="8" name="TypeRappel" queryTableFieldId="8" dataDxfId="292"/>
    <tableColumn id="9" uniqueName="9" name="AQ7Theo" queryTableFieldId="9" dataDxfId="291"/>
    <tableColumn id="10" uniqueName="10" name="AQJ7_Reception" queryTableFieldId="10" dataDxfId="290"/>
    <tableColumn id="11" uniqueName="11" name="AQ_M2_Theo" queryTableFieldId="11" dataDxfId="289"/>
    <tableColumn id="12" uniqueName="12" name="AQM2_Reception" queryTableFieldId="12" dataDxfId="288"/>
    <tableColumn id="13" uniqueName="13" name="VP_Theo" queryTableFieldId="13" dataDxfId="287"/>
    <tableColumn id="14" uniqueName="14" name="PRECOCE_Visite" queryTableFieldId="14" dataDxfId="286"/>
    <tableColumn id="15" uniqueName="15" name="PRECOCE_Reception" queryTableFieldId="15" dataDxfId="285"/>
    <tableColumn id="16" uniqueName="16" name="VT_Theo" queryTableFieldId="16" dataDxfId="284"/>
    <tableColumn id="17" uniqueName="17" name="TARDIF_Visite" queryTableFieldId="17" dataDxfId="283"/>
    <tableColumn id="18" uniqueName="18" name="TARDIF_Reception" queryTableFieldId="18" dataDxfId="282"/>
    <tableColumn id="19" uniqueName="19" name="Onekey" queryTableFieldId="19" dataDxfId="281"/>
    <tableColumn id="20" uniqueName="20" name="Date" queryTableFieldId="20" dataDxfId="28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0" name="Tableau_Lancer_la_requête_à_partir_de_MS_Access_Database45611" displayName="Tableau_Lancer_la_requête_à_partir_de_MS_Access_Database45611" ref="B9:U12" tableType="queryTable" totalsRowShown="0">
  <autoFilter ref="B9:U12"/>
  <tableColumns count="20">
    <tableColumn id="1" uniqueName="1" name="Num_Centre" queryTableFieldId="1" dataDxfId="279"/>
    <tableColumn id="2" uniqueName="2" name="Investigateur" queryTableFieldId="2" dataDxfId="278"/>
    <tableColumn id="3" uniqueName="3" name="Num_Patient" queryTableFieldId="3" dataDxfId="277"/>
    <tableColumn id="4" uniqueName="4" name="INCLUSION_Visite" queryTableFieldId="4" dataDxfId="276"/>
    <tableColumn id="5" uniqueName="5" name="INCLUSION_Reception" queryTableFieldId="5" dataDxfId="275"/>
    <tableColumn id="6" uniqueName="6" name="AQINCLUSION_Reception" queryTableFieldId="6" dataDxfId="274"/>
    <tableColumn id="7" uniqueName="7" name="CONTACT_Reception" queryTableFieldId="7" dataDxfId="273"/>
    <tableColumn id="8" uniqueName="8" name="TypeRappel" queryTableFieldId="8" dataDxfId="272"/>
    <tableColumn id="9" uniqueName="9" name="AQ7Theo" queryTableFieldId="9" dataDxfId="271"/>
    <tableColumn id="10" uniqueName="10" name="AQJ7_Reception" queryTableFieldId="10" dataDxfId="270"/>
    <tableColumn id="11" uniqueName="11" name="AQ_M2_Theo" queryTableFieldId="11" dataDxfId="269"/>
    <tableColumn id="12" uniqueName="12" name="AQM2_Reception" queryTableFieldId="12" dataDxfId="268"/>
    <tableColumn id="13" uniqueName="13" name="VP_Theo" queryTableFieldId="13" dataDxfId="267"/>
    <tableColumn id="14" uniqueName="14" name="PRECOCE_Visite" queryTableFieldId="14" dataDxfId="266"/>
    <tableColumn id="15" uniqueName="15" name="PRECOCE_Reception" queryTableFieldId="15" dataDxfId="265"/>
    <tableColumn id="16" uniqueName="16" name="VT_Theo" queryTableFieldId="16" dataDxfId="264"/>
    <tableColumn id="17" uniqueName="17" name="TARDIF_Visite" queryTableFieldId="17" dataDxfId="263"/>
    <tableColumn id="18" uniqueName="18" name="TARDIF_Reception" queryTableFieldId="18" dataDxfId="262"/>
    <tableColumn id="19" uniqueName="19" name="Onekey" queryTableFieldId="19" dataDxfId="261"/>
    <tableColumn id="20" uniqueName="20" name="Date" queryTableFieldId="20" dataDxfId="26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12" name="Tableau_Lancer_la_requête_à_partir_de_MS_Access_Database456111213" displayName="Tableau_Lancer_la_requête_à_partir_de_MS_Access_Database456111213" ref="B9:U12" tableType="queryTable" totalsRowShown="0">
  <autoFilter ref="B9:U12"/>
  <tableColumns count="20">
    <tableColumn id="1" uniqueName="1" name="Num_Centre" queryTableFieldId="1" dataDxfId="259"/>
    <tableColumn id="2" uniqueName="2" name="Investigateur" queryTableFieldId="2" dataDxfId="258"/>
    <tableColumn id="3" uniqueName="3" name="Num_Patient" queryTableFieldId="3" dataDxfId="257"/>
    <tableColumn id="4" uniqueName="4" name="INCLUSION_Visite" queryTableFieldId="4" dataDxfId="256"/>
    <tableColumn id="5" uniqueName="5" name="INCLUSION_Reception" queryTableFieldId="5" dataDxfId="255"/>
    <tableColumn id="6" uniqueName="6" name="AQINCLUSION_Reception" queryTableFieldId="6" dataDxfId="254"/>
    <tableColumn id="7" uniqueName="7" name="CONTACT_Reception" queryTableFieldId="7" dataDxfId="253"/>
    <tableColumn id="8" uniqueName="8" name="TypeRappel" queryTableFieldId="8" dataDxfId="252"/>
    <tableColumn id="9" uniqueName="9" name="AQ7Theo" queryTableFieldId="9" dataDxfId="251"/>
    <tableColumn id="10" uniqueName="10" name="AQJ7_Reception" queryTableFieldId="10" dataDxfId="250"/>
    <tableColumn id="11" uniqueName="11" name="AQ_M2_Theo" queryTableFieldId="11" dataDxfId="249"/>
    <tableColumn id="12" uniqueName="12" name="AQM2_Reception" queryTableFieldId="12" dataDxfId="248"/>
    <tableColumn id="13" uniqueName="13" name="VP_Theo" queryTableFieldId="13" dataDxfId="247"/>
    <tableColumn id="14" uniqueName="14" name="PRECOCE_Visite" queryTableFieldId="14" dataDxfId="246"/>
    <tableColumn id="15" uniqueName="15" name="PRECOCE_Reception" queryTableFieldId="15" dataDxfId="245"/>
    <tableColumn id="16" uniqueName="16" name="VT_Theo" queryTableFieldId="16" dataDxfId="244"/>
    <tableColumn id="17" uniqueName="17" name="TARDIF_Visite" queryTableFieldId="17" dataDxfId="243"/>
    <tableColumn id="18" uniqueName="18" name="TARDIF_Reception" queryTableFieldId="18" dataDxfId="242"/>
    <tableColumn id="19" uniqueName="19" name="Onekey" queryTableFieldId="19" dataDxfId="241"/>
    <tableColumn id="20" uniqueName="20" name="Date" queryTableFieldId="20" dataDxfId="24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13" name="Tableau_Lancer_la_requête_à_partir_de_MS_Access_Database45678914" displayName="Tableau_Lancer_la_requête_à_partir_de_MS_Access_Database45678914" ref="B9:U14" tableType="queryTable" totalsRowShown="0">
  <autoFilter ref="B9:U14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1" name="Tableau_Lancer_la_requête_à_partir_de_MS_Access_Database" displayName="Tableau_Lancer_la_requête_à_partir_de_MS_Access_Database" ref="B9:U17" tableType="queryTable" totalsRowShown="0">
  <autoFilter ref="B9:U17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14" name="Tableau_Lancer_la_requête_à_partir_de_MS_Access_Database45678915" displayName="Tableau_Lancer_la_requête_à_partir_de_MS_Access_Database45678915" ref="B9:U12" tableType="queryTable" totalsRowShown="0">
  <autoFilter ref="B9:U12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5" name="Tableau_Lancer_la_requête_à_partir_de_MS_Access_Database456" displayName="Tableau_Lancer_la_requête_à_partir_de_MS_Access_Database456" ref="B9:U16" tableType="queryTable" totalsRowShown="0">
  <autoFilter ref="B9:U16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4" tableType="queryTable" totalsRowShown="0">
  <autoFilter ref="B9:U14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4" tableType="queryTable" totalsRowShown="0">
  <autoFilter ref="B9:U14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11" name="Tableau_Lancer_la_requête_à_partir_de_MS_Access_Database4561112" displayName="Tableau_Lancer_la_requête_à_partir_de_MS_Access_Database4561112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4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5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7" tableType="queryTable" totalsRowShown="0">
  <autoFilter ref="B9:U17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6.xml><?xml version="1.0" encoding="utf-8"?>
<table xmlns="http://schemas.openxmlformats.org/spreadsheetml/2006/main" id="16" name="Tableau_Lancer_la_requête_à_partir_de_MS_Access_Database45678917" displayName="Tableau_Lancer_la_requête_à_partir_de_MS_Access_Database45678917" ref="B9:U12" tableType="queryTable" totalsRowShown="0">
  <autoFilter ref="B9:U12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25"/>
  <sheetViews>
    <sheetView tabSelected="1" topLeftCell="C1" workbookViewId="0">
      <selection activeCell="C22" sqref="C22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$A$22</f>
        <v>DE0107</v>
      </c>
      <c r="G2" s="118" t="str">
        <f>$B$22</f>
        <v>HOULES Nathalie</v>
      </c>
      <c r="H2" s="118"/>
      <c r="I2" s="118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$K$22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114</v>
      </c>
    </row>
    <row r="8" spans="1:17" s="91" customFormat="1">
      <c r="A8" s="91" t="s">
        <v>59</v>
      </c>
      <c r="B8" s="91" t="s">
        <v>60</v>
      </c>
      <c r="C8" s="92" t="s">
        <v>88</v>
      </c>
      <c r="D8" s="93" t="s">
        <v>89</v>
      </c>
      <c r="E8" s="94">
        <v>41817</v>
      </c>
      <c r="F8" s="94">
        <v>41900</v>
      </c>
      <c r="G8" s="94">
        <v>41890</v>
      </c>
      <c r="H8" s="94"/>
      <c r="I8" s="95">
        <v>1</v>
      </c>
      <c r="J8" s="96"/>
      <c r="K8" s="97">
        <v>42306</v>
      </c>
    </row>
    <row r="9" spans="1:17" s="91" customFormat="1" ht="60">
      <c r="A9" s="91" t="s">
        <v>59</v>
      </c>
      <c r="B9" s="91" t="s">
        <v>60</v>
      </c>
      <c r="C9" s="92" t="s">
        <v>78</v>
      </c>
      <c r="D9" s="93" t="s">
        <v>77</v>
      </c>
      <c r="E9" s="94">
        <v>41774</v>
      </c>
      <c r="F9" s="94">
        <v>41803</v>
      </c>
      <c r="G9" s="94">
        <v>41796</v>
      </c>
      <c r="H9" s="94"/>
      <c r="I9" s="95">
        <v>3</v>
      </c>
      <c r="J9" s="96" t="s">
        <v>105</v>
      </c>
      <c r="K9" s="97">
        <v>42306</v>
      </c>
    </row>
    <row r="10" spans="1:17" s="91" customFormat="1">
      <c r="A10" s="91" t="s">
        <v>59</v>
      </c>
      <c r="B10" s="91" t="s">
        <v>60</v>
      </c>
      <c r="C10" s="92" t="s">
        <v>82</v>
      </c>
      <c r="D10" s="93" t="s">
        <v>81</v>
      </c>
      <c r="E10" s="94">
        <v>41775</v>
      </c>
      <c r="F10" s="94">
        <v>41810</v>
      </c>
      <c r="G10" s="94">
        <v>41809</v>
      </c>
      <c r="H10" s="94">
        <v>41928</v>
      </c>
      <c r="I10" s="95"/>
      <c r="J10" s="96" t="s">
        <v>109</v>
      </c>
      <c r="K10" s="97">
        <v>42306</v>
      </c>
    </row>
    <row r="11" spans="1:17" s="91" customFormat="1">
      <c r="A11" s="91" t="s">
        <v>59</v>
      </c>
      <c r="B11" s="91" t="s">
        <v>60</v>
      </c>
      <c r="C11" s="92" t="s">
        <v>83</v>
      </c>
      <c r="D11" s="93" t="s">
        <v>84</v>
      </c>
      <c r="E11" s="94">
        <v>41792</v>
      </c>
      <c r="F11" s="94">
        <v>41803</v>
      </c>
      <c r="G11" s="94">
        <v>41802</v>
      </c>
      <c r="H11" s="94"/>
      <c r="I11" s="95">
        <v>5</v>
      </c>
      <c r="J11" s="96" t="s">
        <v>107</v>
      </c>
      <c r="K11" s="97">
        <v>42306</v>
      </c>
    </row>
    <row r="12" spans="1:17" s="109" customFormat="1" ht="45">
      <c r="A12" s="109" t="s">
        <v>59</v>
      </c>
      <c r="B12" s="109" t="s">
        <v>60</v>
      </c>
      <c r="C12" s="110" t="s">
        <v>61</v>
      </c>
      <c r="D12" s="111" t="s">
        <v>62</v>
      </c>
      <c r="E12" s="112">
        <v>41701</v>
      </c>
      <c r="F12" s="112">
        <v>41754</v>
      </c>
      <c r="G12" s="112">
        <v>41753</v>
      </c>
      <c r="H12" s="112"/>
      <c r="I12" s="113">
        <v>6</v>
      </c>
      <c r="J12" s="114" t="s">
        <v>115</v>
      </c>
      <c r="K12" s="115">
        <v>42306</v>
      </c>
      <c r="L12" s="117" t="s">
        <v>113</v>
      </c>
    </row>
    <row r="13" spans="1:17" s="91" customFormat="1">
      <c r="A13" s="91" t="s">
        <v>59</v>
      </c>
      <c r="B13" s="91" t="s">
        <v>60</v>
      </c>
      <c r="C13" s="92" t="s">
        <v>85</v>
      </c>
      <c r="D13" s="93" t="s">
        <v>86</v>
      </c>
      <c r="E13" s="94">
        <v>41792</v>
      </c>
      <c r="F13" s="94">
        <v>41817</v>
      </c>
      <c r="G13" s="94">
        <v>41813</v>
      </c>
      <c r="H13" s="94"/>
      <c r="I13" s="95"/>
      <c r="J13" s="96"/>
      <c r="K13" s="97">
        <v>42306</v>
      </c>
    </row>
    <row r="14" spans="1:17" s="91" customFormat="1" ht="30">
      <c r="A14" s="91" t="s">
        <v>59</v>
      </c>
      <c r="B14" s="91" t="s">
        <v>60</v>
      </c>
      <c r="C14" s="92" t="s">
        <v>63</v>
      </c>
      <c r="D14" s="93" t="s">
        <v>64</v>
      </c>
      <c r="E14" s="94">
        <v>41704</v>
      </c>
      <c r="F14" s="94">
        <v>41751</v>
      </c>
      <c r="G14" s="94">
        <v>41747</v>
      </c>
      <c r="H14" s="94"/>
      <c r="I14" s="95">
        <v>3</v>
      </c>
      <c r="J14" s="96" t="s">
        <v>87</v>
      </c>
      <c r="K14" s="97">
        <v>42306</v>
      </c>
    </row>
    <row r="15" spans="1:17" s="91" customFormat="1">
      <c r="A15" s="91" t="s">
        <v>59</v>
      </c>
      <c r="B15" s="91" t="s">
        <v>60</v>
      </c>
      <c r="C15" s="92" t="s">
        <v>65</v>
      </c>
      <c r="D15" s="93" t="s">
        <v>66</v>
      </c>
      <c r="E15" s="94">
        <v>41708</v>
      </c>
      <c r="F15" s="94">
        <v>41745</v>
      </c>
      <c r="G15" s="94">
        <v>41744</v>
      </c>
      <c r="H15" s="94">
        <v>41813</v>
      </c>
      <c r="I15" s="95"/>
      <c r="J15" s="96"/>
      <c r="K15" s="97">
        <v>42306</v>
      </c>
    </row>
    <row r="16" spans="1:17" s="109" customFormat="1" ht="45">
      <c r="A16" s="109" t="s">
        <v>59</v>
      </c>
      <c r="B16" s="109" t="s">
        <v>60</v>
      </c>
      <c r="C16" s="110" t="s">
        <v>67</v>
      </c>
      <c r="D16" s="111" t="s">
        <v>68</v>
      </c>
      <c r="E16" s="112">
        <v>41704</v>
      </c>
      <c r="F16" s="112">
        <v>41786</v>
      </c>
      <c r="G16" s="112">
        <v>41781</v>
      </c>
      <c r="H16" s="112"/>
      <c r="I16" s="113">
        <v>5</v>
      </c>
      <c r="J16" s="114" t="s">
        <v>111</v>
      </c>
      <c r="K16" s="115">
        <v>42306</v>
      </c>
      <c r="L16" s="116" t="s">
        <v>113</v>
      </c>
    </row>
    <row r="17" spans="1:12" s="91" customFormat="1" ht="30">
      <c r="A17" s="91" t="s">
        <v>59</v>
      </c>
      <c r="B17" s="91" t="s">
        <v>60</v>
      </c>
      <c r="C17" s="92" t="s">
        <v>69</v>
      </c>
      <c r="D17" s="93" t="s">
        <v>70</v>
      </c>
      <c r="E17" s="94">
        <v>41695</v>
      </c>
      <c r="F17" s="94">
        <v>41751</v>
      </c>
      <c r="G17" s="94">
        <v>41746</v>
      </c>
      <c r="H17" s="94"/>
      <c r="I17" s="95">
        <v>5</v>
      </c>
      <c r="J17" s="96" t="s">
        <v>101</v>
      </c>
      <c r="K17" s="97">
        <v>42306</v>
      </c>
    </row>
    <row r="18" spans="1:12" s="91" customFormat="1">
      <c r="A18" s="91" t="s">
        <v>59</v>
      </c>
      <c r="B18" s="91" t="s">
        <v>60</v>
      </c>
      <c r="C18" s="92" t="s">
        <v>71</v>
      </c>
      <c r="D18" s="93" t="s">
        <v>72</v>
      </c>
      <c r="E18" s="94">
        <v>41729</v>
      </c>
      <c r="F18" s="94">
        <v>41745</v>
      </c>
      <c r="G18" s="94">
        <v>41740</v>
      </c>
      <c r="H18" s="94"/>
      <c r="I18" s="95">
        <v>5</v>
      </c>
      <c r="J18" s="96" t="s">
        <v>110</v>
      </c>
      <c r="K18" s="97">
        <v>42306</v>
      </c>
    </row>
    <row r="19" spans="1:12" s="91" customFormat="1" ht="30">
      <c r="A19" s="91" t="s">
        <v>59</v>
      </c>
      <c r="B19" s="91" t="s">
        <v>60</v>
      </c>
      <c r="C19" s="92" t="s">
        <v>80</v>
      </c>
      <c r="D19" s="93" t="s">
        <v>79</v>
      </c>
      <c r="E19" s="94">
        <v>41774</v>
      </c>
      <c r="F19" s="94">
        <v>41786</v>
      </c>
      <c r="G19" s="94">
        <v>41785</v>
      </c>
      <c r="H19" s="94"/>
      <c r="I19" s="95">
        <v>1</v>
      </c>
      <c r="J19" s="96" t="s">
        <v>92</v>
      </c>
      <c r="K19" s="97">
        <v>42306</v>
      </c>
    </row>
    <row r="20" spans="1:12" s="91" customFormat="1">
      <c r="A20" s="91" t="s">
        <v>59</v>
      </c>
      <c r="B20" s="91" t="s">
        <v>60</v>
      </c>
      <c r="C20" s="92" t="s">
        <v>75</v>
      </c>
      <c r="D20" s="93" t="s">
        <v>76</v>
      </c>
      <c r="E20" s="94">
        <v>41724</v>
      </c>
      <c r="F20" s="94">
        <v>41747</v>
      </c>
      <c r="G20" s="94">
        <v>41745</v>
      </c>
      <c r="H20" s="94"/>
      <c r="I20" s="95">
        <v>1</v>
      </c>
      <c r="J20" s="96" t="s">
        <v>102</v>
      </c>
      <c r="K20" s="97">
        <v>42306</v>
      </c>
    </row>
    <row r="21" spans="1:12">
      <c r="A21" s="91" t="s">
        <v>59</v>
      </c>
      <c r="B21" s="91" t="s">
        <v>60</v>
      </c>
      <c r="C21" s="92" t="s">
        <v>73</v>
      </c>
      <c r="D21" s="93" t="s">
        <v>74</v>
      </c>
      <c r="E21" s="94">
        <v>41698</v>
      </c>
      <c r="F21" s="94">
        <v>41747</v>
      </c>
      <c r="G21" s="94">
        <v>41745</v>
      </c>
      <c r="H21" s="94"/>
      <c r="I21" s="95">
        <v>8</v>
      </c>
      <c r="J21" s="96" t="s">
        <v>116</v>
      </c>
      <c r="K21" s="97">
        <v>42306</v>
      </c>
      <c r="L21" s="91"/>
    </row>
    <row r="22" spans="1:12" ht="30">
      <c r="A22" s="91" t="s">
        <v>59</v>
      </c>
      <c r="B22" s="91" t="s">
        <v>60</v>
      </c>
      <c r="C22" s="92" t="s">
        <v>90</v>
      </c>
      <c r="D22" s="93" t="s">
        <v>91</v>
      </c>
      <c r="E22" s="94">
        <v>41820</v>
      </c>
      <c r="F22" s="94">
        <v>41879</v>
      </c>
      <c r="G22" s="94">
        <v>41871</v>
      </c>
      <c r="H22" s="94"/>
      <c r="I22" s="95"/>
      <c r="J22" s="96" t="s">
        <v>104</v>
      </c>
      <c r="K22" s="97">
        <v>42306</v>
      </c>
      <c r="L22" s="91"/>
    </row>
    <row r="23" spans="1:12">
      <c r="A23" s="28"/>
      <c r="B23" s="28"/>
      <c r="C23" s="27" t="s">
        <v>15</v>
      </c>
      <c r="D23" s="33">
        <f>SUBTOTAL(3,D8:D22)</f>
        <v>15</v>
      </c>
      <c r="E23" s="33">
        <f>SUBTOTAL(3,[Date de réception convention financière])</f>
        <v>15</v>
      </c>
      <c r="F23" s="33">
        <f>SUBTOTAL(3,[Date de réception AR kit])</f>
        <v>15</v>
      </c>
      <c r="G23" s="33">
        <f>SUBTOTAL(3,[Date de MEP])</f>
        <v>15</v>
      </c>
      <c r="H23" s="98">
        <f>SUBTOTAL(3,[Desistement])</f>
        <v>2</v>
      </c>
      <c r="I23" s="27">
        <f>SUBTOTAL(109,I8:I22)</f>
        <v>43</v>
      </c>
      <c r="J23" s="31"/>
      <c r="K23" s="32"/>
    </row>
    <row r="24" spans="1:12">
      <c r="D24" s="10"/>
      <c r="J24" s="10"/>
    </row>
    <row r="25" spans="1:12">
      <c r="C25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F29" sqref="F29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101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$U$12</f>
        <v>42306</v>
      </c>
      <c r="G4" s="50"/>
      <c r="H4" s="50"/>
      <c r="I4" s="34"/>
      <c r="J4" s="50"/>
      <c r="K4" s="50"/>
      <c r="L4" s="102" t="s">
        <v>17</v>
      </c>
      <c r="M4" s="63">
        <f>$B$12</f>
        <v>370</v>
      </c>
      <c r="N4" s="132" t="str">
        <f>$C$12</f>
        <v>ANDRIEUX Dominique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4" t="s">
        <v>32</v>
      </c>
      <c r="M8" s="104" t="s">
        <v>31</v>
      </c>
      <c r="N8" s="103" t="s">
        <v>33</v>
      </c>
      <c r="O8" s="103" t="s">
        <v>34</v>
      </c>
      <c r="P8" s="103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370</v>
      </c>
      <c r="C10" s="42" t="s">
        <v>89</v>
      </c>
      <c r="D10" s="19">
        <v>1</v>
      </c>
      <c r="E10" s="25">
        <v>41939</v>
      </c>
      <c r="F10" s="25">
        <v>41963</v>
      </c>
      <c r="G10" s="25">
        <v>41963</v>
      </c>
      <c r="H10" s="25">
        <v>41943</v>
      </c>
      <c r="I10" s="86" t="s">
        <v>98</v>
      </c>
      <c r="J10" s="25">
        <v>41951</v>
      </c>
      <c r="K10" s="25">
        <v>41957</v>
      </c>
      <c r="L10" s="25">
        <v>42010</v>
      </c>
      <c r="M10" s="25">
        <v>41997</v>
      </c>
      <c r="N10" s="25">
        <v>42059</v>
      </c>
      <c r="O10" s="25">
        <v>42018</v>
      </c>
      <c r="P10" s="25">
        <v>42062</v>
      </c>
      <c r="Q10" s="25">
        <v>42304</v>
      </c>
      <c r="R10" s="25"/>
      <c r="S10" s="25"/>
      <c r="T10" s="42" t="s">
        <v>88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107">
        <v>370</v>
      </c>
      <c r="C11" s="108" t="s">
        <v>89</v>
      </c>
      <c r="D11" s="19">
        <v>2</v>
      </c>
      <c r="I11" s="86" t="s">
        <v>57</v>
      </c>
      <c r="T11" s="108" t="s">
        <v>88</v>
      </c>
      <c r="U11" s="12">
        <v>42306</v>
      </c>
    </row>
    <row r="12" spans="2:48" ht="16.5" customHeight="1">
      <c r="B12" s="107">
        <v>370</v>
      </c>
      <c r="C12" s="108" t="s">
        <v>89</v>
      </c>
      <c r="D12" s="19">
        <v>3</v>
      </c>
      <c r="I12" s="86" t="s">
        <v>57</v>
      </c>
      <c r="T12" s="108" t="s">
        <v>88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7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$U$12</f>
        <v>42306</v>
      </c>
      <c r="G4" s="50"/>
      <c r="H4" s="50"/>
      <c r="I4" s="34"/>
      <c r="J4" s="50"/>
      <c r="K4" s="50"/>
      <c r="L4" s="77" t="s">
        <v>17</v>
      </c>
      <c r="M4" s="63">
        <f>$B$12</f>
        <v>292</v>
      </c>
      <c r="N4" s="132" t="str">
        <f>$C$12</f>
        <v>BEAULIEU Philippe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9" t="s">
        <v>32</v>
      </c>
      <c r="M8" s="79" t="s">
        <v>31</v>
      </c>
      <c r="N8" s="78" t="s">
        <v>33</v>
      </c>
      <c r="O8" s="78" t="s">
        <v>34</v>
      </c>
      <c r="P8" s="7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292</v>
      </c>
      <c r="C10" s="42" t="s">
        <v>77</v>
      </c>
      <c r="D10" s="19">
        <v>1</v>
      </c>
      <c r="E10" s="25">
        <v>41810</v>
      </c>
      <c r="F10" s="25">
        <v>41920</v>
      </c>
      <c r="G10" s="25"/>
      <c r="H10" s="25">
        <v>41920</v>
      </c>
      <c r="I10" s="86" t="s">
        <v>108</v>
      </c>
      <c r="J10" s="25">
        <v>41822</v>
      </c>
      <c r="K10" s="25"/>
      <c r="L10" s="25">
        <v>41881</v>
      </c>
      <c r="M10" s="25"/>
      <c r="N10" s="25">
        <v>41930</v>
      </c>
      <c r="O10" s="25"/>
      <c r="P10" s="25"/>
      <c r="Q10" s="25">
        <v>42175</v>
      </c>
      <c r="R10" s="25"/>
      <c r="S10" s="25"/>
      <c r="T10" s="42" t="s">
        <v>78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99">
        <v>292</v>
      </c>
      <c r="C11" s="100" t="s">
        <v>77</v>
      </c>
      <c r="D11" s="19">
        <v>2</v>
      </c>
      <c r="E11" s="25">
        <v>41897</v>
      </c>
      <c r="F11" s="25">
        <v>41920</v>
      </c>
      <c r="H11" s="25">
        <v>41905</v>
      </c>
      <c r="I11" s="86" t="s">
        <v>99</v>
      </c>
      <c r="J11" s="25">
        <v>41909</v>
      </c>
      <c r="K11" s="25">
        <v>41983</v>
      </c>
      <c r="L11" s="25">
        <v>41968</v>
      </c>
      <c r="M11" s="25">
        <v>41983</v>
      </c>
      <c r="N11" s="25">
        <v>42017</v>
      </c>
      <c r="O11" s="25">
        <v>41981</v>
      </c>
      <c r="P11" s="25">
        <v>41983</v>
      </c>
      <c r="Q11" s="25">
        <v>42262</v>
      </c>
      <c r="T11" s="100" t="s">
        <v>78</v>
      </c>
      <c r="U11" s="12">
        <v>42306</v>
      </c>
    </row>
    <row r="12" spans="2:48" ht="16.5" customHeight="1">
      <c r="B12" s="99">
        <v>292</v>
      </c>
      <c r="C12" s="100" t="s">
        <v>77</v>
      </c>
      <c r="D12" s="19">
        <v>3</v>
      </c>
      <c r="E12" s="25">
        <v>41918</v>
      </c>
      <c r="F12" s="25">
        <v>41920</v>
      </c>
      <c r="G12" s="25">
        <v>41983</v>
      </c>
      <c r="H12" s="25">
        <v>41920</v>
      </c>
      <c r="I12" s="86" t="s">
        <v>93</v>
      </c>
      <c r="J12" s="25">
        <v>41930</v>
      </c>
      <c r="K12" s="25">
        <v>41962</v>
      </c>
      <c r="L12" s="25">
        <v>41989</v>
      </c>
      <c r="M12" s="25">
        <v>41983</v>
      </c>
      <c r="N12" s="25">
        <v>42038</v>
      </c>
      <c r="O12" s="25">
        <v>41981</v>
      </c>
      <c r="P12" s="25">
        <v>41983</v>
      </c>
      <c r="Q12" s="25">
        <v>42283</v>
      </c>
      <c r="T12" s="100" t="s">
        <v>78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8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$U$12</f>
        <v>42306</v>
      </c>
      <c r="G4" s="50"/>
      <c r="H4" s="50"/>
      <c r="I4" s="34"/>
      <c r="J4" s="50"/>
      <c r="K4" s="50"/>
      <c r="L4" s="81" t="s">
        <v>17</v>
      </c>
      <c r="M4" s="63">
        <f>$B$12</f>
        <v>331</v>
      </c>
      <c r="N4" s="132" t="str">
        <f>$C$12</f>
        <v>COHEN Karine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3" t="s">
        <v>32</v>
      </c>
      <c r="M8" s="83" t="s">
        <v>31</v>
      </c>
      <c r="N8" s="82" t="s">
        <v>33</v>
      </c>
      <c r="O8" s="82" t="s">
        <v>34</v>
      </c>
      <c r="P8" s="8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331</v>
      </c>
      <c r="C10" s="42" t="s">
        <v>81</v>
      </c>
      <c r="D10" s="19">
        <v>1</v>
      </c>
      <c r="E10" s="25"/>
      <c r="F10" s="25"/>
      <c r="G10" s="25"/>
      <c r="H10" s="25"/>
      <c r="I10" s="86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82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99">
        <v>331</v>
      </c>
      <c r="C11" s="100" t="s">
        <v>81</v>
      </c>
      <c r="D11" s="19">
        <v>2</v>
      </c>
      <c r="I11" s="86" t="s">
        <v>57</v>
      </c>
      <c r="T11" s="100" t="s">
        <v>82</v>
      </c>
      <c r="U11" s="12">
        <v>42306</v>
      </c>
    </row>
    <row r="12" spans="2:48" ht="16.5" customHeight="1">
      <c r="B12" s="99">
        <v>331</v>
      </c>
      <c r="C12" s="100" t="s">
        <v>81</v>
      </c>
      <c r="D12" s="19">
        <v>3</v>
      </c>
      <c r="I12" s="86" t="s">
        <v>57</v>
      </c>
      <c r="T12" s="100" t="s">
        <v>82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K20" sqref="K2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87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$U$14</f>
        <v>42306</v>
      </c>
      <c r="G4" s="50"/>
      <c r="H4" s="50"/>
      <c r="I4" s="34"/>
      <c r="J4" s="50"/>
      <c r="K4" s="50"/>
      <c r="L4" s="88" t="s">
        <v>17</v>
      </c>
      <c r="M4" s="63">
        <f>$B$14</f>
        <v>332</v>
      </c>
      <c r="N4" s="132" t="str">
        <f>$C$14</f>
        <v>DEJOIE Aline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0" t="s">
        <v>32</v>
      </c>
      <c r="M8" s="90" t="s">
        <v>31</v>
      </c>
      <c r="N8" s="89" t="s">
        <v>33</v>
      </c>
      <c r="O8" s="89" t="s">
        <v>34</v>
      </c>
      <c r="P8" s="89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332</v>
      </c>
      <c r="C10" s="42" t="s">
        <v>84</v>
      </c>
      <c r="D10" s="19">
        <v>1</v>
      </c>
      <c r="E10" s="25">
        <v>41880</v>
      </c>
      <c r="F10" s="25">
        <v>41900</v>
      </c>
      <c r="G10" s="25"/>
      <c r="H10" s="25">
        <v>41900</v>
      </c>
      <c r="I10" s="86" t="s">
        <v>93</v>
      </c>
      <c r="J10" s="25">
        <v>41892</v>
      </c>
      <c r="K10" s="25">
        <v>41900</v>
      </c>
      <c r="L10" s="25">
        <v>41951</v>
      </c>
      <c r="M10" s="25">
        <v>41942</v>
      </c>
      <c r="N10" s="25">
        <v>42000</v>
      </c>
      <c r="O10" s="25">
        <v>41912</v>
      </c>
      <c r="P10" s="25">
        <v>41914</v>
      </c>
      <c r="Q10" s="25">
        <v>42245</v>
      </c>
      <c r="R10" s="25"/>
      <c r="S10" s="25"/>
      <c r="T10" s="42" t="s">
        <v>83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99">
        <v>332</v>
      </c>
      <c r="C11" s="100" t="s">
        <v>84</v>
      </c>
      <c r="D11" s="19">
        <v>2</v>
      </c>
      <c r="E11" s="25">
        <v>41901</v>
      </c>
      <c r="F11" s="25">
        <v>41904</v>
      </c>
      <c r="H11" s="25">
        <v>41906</v>
      </c>
      <c r="I11" s="86" t="s">
        <v>95</v>
      </c>
      <c r="J11" s="25">
        <v>41913</v>
      </c>
      <c r="K11" s="25">
        <v>41912</v>
      </c>
      <c r="L11" s="25">
        <v>41972</v>
      </c>
      <c r="M11" s="25">
        <v>41961</v>
      </c>
      <c r="N11" s="25">
        <v>42021</v>
      </c>
      <c r="O11" s="25">
        <v>41936</v>
      </c>
      <c r="P11" s="25">
        <v>41939</v>
      </c>
      <c r="Q11" s="25">
        <v>42266</v>
      </c>
      <c r="T11" s="100" t="s">
        <v>83</v>
      </c>
      <c r="U11" s="12">
        <v>42306</v>
      </c>
    </row>
    <row r="12" spans="2:48" ht="16.5" customHeight="1">
      <c r="B12" s="99">
        <v>332</v>
      </c>
      <c r="C12" s="100" t="s">
        <v>84</v>
      </c>
      <c r="D12" s="19">
        <v>3</v>
      </c>
      <c r="E12" s="25">
        <v>41905</v>
      </c>
      <c r="F12" s="25">
        <v>41908</v>
      </c>
      <c r="I12" s="86" t="s">
        <v>57</v>
      </c>
      <c r="J12" s="25">
        <v>41917</v>
      </c>
      <c r="K12" s="25">
        <v>41918</v>
      </c>
      <c r="L12" s="25">
        <v>41976</v>
      </c>
      <c r="M12" s="25">
        <v>41962</v>
      </c>
      <c r="N12" s="25">
        <v>42025</v>
      </c>
      <c r="O12" s="25">
        <v>41947</v>
      </c>
      <c r="P12" s="25">
        <v>41950</v>
      </c>
      <c r="Q12" s="25">
        <v>42270</v>
      </c>
      <c r="T12" s="100" t="s">
        <v>83</v>
      </c>
      <c r="U12" s="12">
        <v>42306</v>
      </c>
    </row>
    <row r="13" spans="2:48" ht="25.5">
      <c r="B13" s="107">
        <v>332</v>
      </c>
      <c r="C13" s="108" t="s">
        <v>84</v>
      </c>
      <c r="D13" s="19">
        <v>4</v>
      </c>
      <c r="E13" s="25">
        <v>41961</v>
      </c>
      <c r="F13" s="25">
        <v>41964</v>
      </c>
      <c r="H13" s="25">
        <v>41964</v>
      </c>
      <c r="I13" s="86" t="s">
        <v>106</v>
      </c>
      <c r="J13" s="25">
        <v>41973</v>
      </c>
      <c r="K13" s="25">
        <v>41970</v>
      </c>
      <c r="L13" s="25">
        <v>42032</v>
      </c>
      <c r="M13" s="25">
        <v>42023</v>
      </c>
      <c r="N13" s="25">
        <v>42081</v>
      </c>
      <c r="O13" s="25">
        <v>42020</v>
      </c>
      <c r="P13" s="25">
        <v>42031</v>
      </c>
      <c r="Q13" s="25">
        <v>42326</v>
      </c>
      <c r="T13" s="108" t="s">
        <v>83</v>
      </c>
      <c r="U13" s="12">
        <v>42306</v>
      </c>
    </row>
    <row r="14" spans="2:48" ht="25.5">
      <c r="B14" s="107">
        <v>332</v>
      </c>
      <c r="C14" s="108" t="s">
        <v>84</v>
      </c>
      <c r="D14" s="19">
        <v>5</v>
      </c>
      <c r="E14" s="25">
        <v>41978</v>
      </c>
      <c r="F14" s="25">
        <v>41981</v>
      </c>
      <c r="H14" s="25">
        <v>41981</v>
      </c>
      <c r="I14" s="86" t="s">
        <v>93</v>
      </c>
      <c r="J14" s="25">
        <v>41990</v>
      </c>
      <c r="K14" s="25">
        <v>41989</v>
      </c>
      <c r="L14" s="25">
        <v>42049</v>
      </c>
      <c r="M14" s="25">
        <v>42041</v>
      </c>
      <c r="N14" s="25">
        <v>42098</v>
      </c>
      <c r="O14" s="25">
        <v>42027</v>
      </c>
      <c r="P14" s="25">
        <v>42031</v>
      </c>
      <c r="Q14" s="25">
        <v>42343</v>
      </c>
      <c r="T14" s="108" t="s">
        <v>83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B1:AV17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$U$17</f>
        <v>42306</v>
      </c>
      <c r="G4" s="50"/>
      <c r="H4" s="50"/>
      <c r="I4" s="34"/>
      <c r="J4" s="50"/>
      <c r="K4" s="50"/>
      <c r="L4" s="57" t="s">
        <v>17</v>
      </c>
      <c r="M4" s="63">
        <f>$B$17</f>
        <v>84</v>
      </c>
      <c r="N4" s="132" t="str">
        <f>$C$17</f>
        <v>DELBARRE Marielle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84</v>
      </c>
      <c r="C10" s="42" t="s">
        <v>62</v>
      </c>
      <c r="D10" s="19">
        <v>1</v>
      </c>
      <c r="E10" s="25">
        <v>41775</v>
      </c>
      <c r="F10" s="25">
        <v>41785</v>
      </c>
      <c r="G10" s="25">
        <v>41785</v>
      </c>
      <c r="H10" s="25">
        <v>41785</v>
      </c>
      <c r="I10" s="75" t="s">
        <v>93</v>
      </c>
      <c r="J10" s="25">
        <v>41787</v>
      </c>
      <c r="K10" s="25"/>
      <c r="L10" s="25">
        <v>41846</v>
      </c>
      <c r="M10" s="25"/>
      <c r="N10" s="25">
        <v>41895</v>
      </c>
      <c r="O10" s="25"/>
      <c r="P10" s="25"/>
      <c r="Q10" s="25">
        <v>42140</v>
      </c>
      <c r="R10" s="25"/>
      <c r="S10" s="25"/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84">
        <v>84</v>
      </c>
      <c r="C11" s="85" t="s">
        <v>62</v>
      </c>
      <c r="D11" s="19">
        <v>2</v>
      </c>
      <c r="E11" s="25">
        <v>41776</v>
      </c>
      <c r="F11" s="25">
        <v>41785</v>
      </c>
      <c r="G11" s="25">
        <v>41785</v>
      </c>
      <c r="H11" s="25">
        <v>41785</v>
      </c>
      <c r="I11" s="75" t="s">
        <v>103</v>
      </c>
      <c r="J11" s="25">
        <v>41788</v>
      </c>
      <c r="K11" s="25">
        <v>41803</v>
      </c>
      <c r="L11" s="25">
        <v>41847</v>
      </c>
      <c r="M11" s="25">
        <v>41858</v>
      </c>
      <c r="N11" s="25">
        <v>41896</v>
      </c>
      <c r="Q11" s="25">
        <v>42141</v>
      </c>
      <c r="T11" s="85" t="s">
        <v>61</v>
      </c>
      <c r="U11" s="12">
        <v>42306</v>
      </c>
    </row>
    <row r="12" spans="2:48" ht="25.5">
      <c r="B12" s="84">
        <v>84</v>
      </c>
      <c r="C12" s="85" t="s">
        <v>62</v>
      </c>
      <c r="D12" s="19">
        <v>3</v>
      </c>
      <c r="E12" s="25">
        <v>41786</v>
      </c>
      <c r="F12" s="25">
        <v>41816</v>
      </c>
      <c r="H12" s="25">
        <v>41795</v>
      </c>
      <c r="I12" s="86" t="s">
        <v>93</v>
      </c>
      <c r="J12" s="25">
        <v>41798</v>
      </c>
      <c r="K12" s="25">
        <v>41801</v>
      </c>
      <c r="L12" s="25">
        <v>41857</v>
      </c>
      <c r="N12" s="25">
        <v>41906</v>
      </c>
      <c r="Q12" s="25">
        <v>42151</v>
      </c>
      <c r="T12" s="85" t="s">
        <v>61</v>
      </c>
      <c r="U12" s="12">
        <v>42306</v>
      </c>
    </row>
    <row r="13" spans="2:48" ht="25.5">
      <c r="B13" s="107">
        <v>84</v>
      </c>
      <c r="C13" s="108" t="s">
        <v>62</v>
      </c>
      <c r="D13" s="19">
        <v>4</v>
      </c>
      <c r="E13" s="25">
        <v>41922</v>
      </c>
      <c r="F13" s="25">
        <v>41932</v>
      </c>
      <c r="G13" s="25">
        <v>41932</v>
      </c>
      <c r="H13" s="25">
        <v>41932</v>
      </c>
      <c r="I13" s="86" t="s">
        <v>93</v>
      </c>
      <c r="J13" s="25">
        <v>41934</v>
      </c>
      <c r="K13" s="25">
        <v>41936</v>
      </c>
      <c r="L13" s="25">
        <v>41993</v>
      </c>
      <c r="N13" s="25">
        <v>42042</v>
      </c>
      <c r="Q13" s="25">
        <v>42287</v>
      </c>
      <c r="R13" s="25">
        <v>42013</v>
      </c>
      <c r="S13" s="25">
        <v>42017</v>
      </c>
      <c r="T13" s="108" t="s">
        <v>61</v>
      </c>
      <c r="U13" s="12">
        <v>42306</v>
      </c>
    </row>
    <row r="14" spans="2:48" ht="25.5">
      <c r="B14" s="107">
        <v>84</v>
      </c>
      <c r="C14" s="108" t="s">
        <v>62</v>
      </c>
      <c r="D14" s="19">
        <v>5</v>
      </c>
      <c r="E14" s="25">
        <v>41953</v>
      </c>
      <c r="F14" s="25">
        <v>41932</v>
      </c>
      <c r="G14" s="25">
        <v>41932</v>
      </c>
      <c r="H14" s="25">
        <v>41932</v>
      </c>
      <c r="I14" s="86" t="s">
        <v>93</v>
      </c>
      <c r="J14" s="25">
        <v>41965</v>
      </c>
      <c r="K14" s="25">
        <v>42017</v>
      </c>
      <c r="L14" s="25">
        <v>42024</v>
      </c>
      <c r="M14" s="25">
        <v>42017</v>
      </c>
      <c r="N14" s="25">
        <v>42073</v>
      </c>
      <c r="Q14" s="25">
        <v>42318</v>
      </c>
      <c r="T14" s="108" t="s">
        <v>61</v>
      </c>
      <c r="U14" s="12">
        <v>42306</v>
      </c>
    </row>
    <row r="15" spans="2:48" ht="25.5">
      <c r="B15" s="107">
        <v>84</v>
      </c>
      <c r="C15" s="108" t="s">
        <v>62</v>
      </c>
      <c r="D15" s="19">
        <v>6</v>
      </c>
      <c r="E15" s="25">
        <v>41922</v>
      </c>
      <c r="F15" s="25">
        <v>42002</v>
      </c>
      <c r="G15" s="25">
        <v>42002</v>
      </c>
      <c r="H15" s="25">
        <v>42002</v>
      </c>
      <c r="I15" s="86" t="s">
        <v>93</v>
      </c>
      <c r="J15" s="25">
        <v>41934</v>
      </c>
      <c r="K15" s="25">
        <v>41997</v>
      </c>
      <c r="L15" s="25">
        <v>41993</v>
      </c>
      <c r="M15" s="25">
        <v>41997</v>
      </c>
      <c r="N15" s="25">
        <v>42042</v>
      </c>
      <c r="Q15" s="25">
        <v>42287</v>
      </c>
      <c r="R15" s="25">
        <v>41995</v>
      </c>
      <c r="S15" s="25">
        <v>42002</v>
      </c>
      <c r="T15" s="108" t="s">
        <v>61</v>
      </c>
      <c r="U15" s="12">
        <v>42306</v>
      </c>
    </row>
    <row r="16" spans="2:48" ht="25.5">
      <c r="B16" s="107">
        <v>84</v>
      </c>
      <c r="C16" s="108" t="s">
        <v>62</v>
      </c>
      <c r="D16" s="19">
        <v>7</v>
      </c>
      <c r="I16" s="86" t="s">
        <v>57</v>
      </c>
      <c r="T16" s="108" t="s">
        <v>61</v>
      </c>
      <c r="U16" s="12">
        <v>42306</v>
      </c>
    </row>
    <row r="17" spans="2:21" ht="25.5">
      <c r="B17" s="107">
        <v>84</v>
      </c>
      <c r="C17" s="108" t="s">
        <v>62</v>
      </c>
      <c r="D17" s="19">
        <v>8</v>
      </c>
      <c r="I17" s="86" t="s">
        <v>57</v>
      </c>
      <c r="T17" s="108" t="s">
        <v>61</v>
      </c>
      <c r="U17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K21" sqref="K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87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$U$12</f>
        <v>42306</v>
      </c>
      <c r="G4" s="50"/>
      <c r="H4" s="50"/>
      <c r="I4" s="34"/>
      <c r="J4" s="50"/>
      <c r="K4" s="50"/>
      <c r="L4" s="88" t="s">
        <v>17</v>
      </c>
      <c r="M4" s="63">
        <f>$B$12</f>
        <v>304</v>
      </c>
      <c r="N4" s="132" t="str">
        <f>$C$12</f>
        <v>ELBEZ Patricia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0" t="s">
        <v>32</v>
      </c>
      <c r="M8" s="90" t="s">
        <v>31</v>
      </c>
      <c r="N8" s="89" t="s">
        <v>33</v>
      </c>
      <c r="O8" s="89" t="s">
        <v>34</v>
      </c>
      <c r="P8" s="89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304</v>
      </c>
      <c r="C10" s="42" t="s">
        <v>86</v>
      </c>
      <c r="D10" s="19">
        <v>1</v>
      </c>
      <c r="E10" s="25"/>
      <c r="F10" s="25"/>
      <c r="G10" s="25"/>
      <c r="H10" s="25"/>
      <c r="I10" s="86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85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99">
        <v>304</v>
      </c>
      <c r="C11" s="100" t="s">
        <v>86</v>
      </c>
      <c r="D11" s="19">
        <v>2</v>
      </c>
      <c r="I11" s="86" t="s">
        <v>57</v>
      </c>
      <c r="T11" s="100" t="s">
        <v>85</v>
      </c>
      <c r="U11" s="12">
        <v>42306</v>
      </c>
    </row>
    <row r="12" spans="2:48" ht="16.5" customHeight="1">
      <c r="B12" s="99">
        <v>304</v>
      </c>
      <c r="C12" s="100" t="s">
        <v>86</v>
      </c>
      <c r="D12" s="19">
        <v>3</v>
      </c>
      <c r="I12" s="86" t="s">
        <v>57</v>
      </c>
      <c r="T12" s="100" t="s">
        <v>85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88</v>
      </c>
      <c r="N4" s="132" t="str">
        <f>$C$12</f>
        <v>HATCHUEL Jean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88</v>
      </c>
      <c r="C10" s="42" t="s">
        <v>64</v>
      </c>
      <c r="D10" s="19">
        <v>1</v>
      </c>
      <c r="E10" s="25">
        <v>41761</v>
      </c>
      <c r="F10" s="25">
        <v>41766</v>
      </c>
      <c r="G10" s="25">
        <v>41785</v>
      </c>
      <c r="H10" s="25">
        <v>41774</v>
      </c>
      <c r="I10" s="44" t="s">
        <v>94</v>
      </c>
      <c r="J10" s="25">
        <v>41773</v>
      </c>
      <c r="K10" s="25">
        <v>41785</v>
      </c>
      <c r="L10" s="25">
        <v>41832</v>
      </c>
      <c r="M10" s="25">
        <v>41928</v>
      </c>
      <c r="N10" s="25">
        <v>41881</v>
      </c>
      <c r="O10" s="25"/>
      <c r="P10" s="25"/>
      <c r="Q10" s="25">
        <v>42126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3">
        <v>88</v>
      </c>
      <c r="C11" s="74" t="s">
        <v>64</v>
      </c>
      <c r="D11" s="19">
        <v>2</v>
      </c>
      <c r="E11" s="25">
        <v>41779</v>
      </c>
      <c r="F11" s="25">
        <v>41831</v>
      </c>
      <c r="H11" s="25">
        <v>41792</v>
      </c>
      <c r="I11" s="75" t="s">
        <v>95</v>
      </c>
      <c r="J11" s="25">
        <v>41791</v>
      </c>
      <c r="K11" s="25">
        <v>41800</v>
      </c>
      <c r="L11" s="25">
        <v>41850</v>
      </c>
      <c r="M11" s="25">
        <v>41848</v>
      </c>
      <c r="N11" s="25">
        <v>41899</v>
      </c>
      <c r="O11" s="25">
        <v>41841</v>
      </c>
      <c r="P11" s="25">
        <v>41844</v>
      </c>
      <c r="Q11" s="25">
        <v>42144</v>
      </c>
      <c r="R11" s="25">
        <v>41880</v>
      </c>
      <c r="S11" s="25">
        <v>41883</v>
      </c>
      <c r="T11" s="74" t="s">
        <v>63</v>
      </c>
      <c r="U11" s="12">
        <v>42306</v>
      </c>
    </row>
    <row r="12" spans="2:48" ht="25.5">
      <c r="B12" s="73">
        <v>88</v>
      </c>
      <c r="C12" s="74" t="s">
        <v>64</v>
      </c>
      <c r="D12" s="19">
        <v>3</v>
      </c>
      <c r="E12" s="25">
        <v>41810</v>
      </c>
      <c r="F12" s="25">
        <v>41823</v>
      </c>
      <c r="G12" s="25">
        <v>41823</v>
      </c>
      <c r="H12" s="25">
        <v>41814</v>
      </c>
      <c r="I12" s="75" t="s">
        <v>96</v>
      </c>
      <c r="J12" s="25">
        <v>41822</v>
      </c>
      <c r="K12" s="25">
        <v>41829</v>
      </c>
      <c r="L12" s="25">
        <v>41881</v>
      </c>
      <c r="M12" s="25">
        <v>41884</v>
      </c>
      <c r="N12" s="25">
        <v>41930</v>
      </c>
      <c r="O12" s="25">
        <v>41841</v>
      </c>
      <c r="P12" s="25">
        <v>41844</v>
      </c>
      <c r="Q12" s="25">
        <v>42175</v>
      </c>
      <c r="T12" s="74" t="s">
        <v>63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89</v>
      </c>
      <c r="N4" s="132" t="str">
        <f>$C$12</f>
        <v>LAVILLONNIERE Lise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89</v>
      </c>
      <c r="C10" s="42" t="s">
        <v>66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43">
        <v>89</v>
      </c>
      <c r="C11" s="72" t="s">
        <v>66</v>
      </c>
      <c r="D11" s="19">
        <v>2</v>
      </c>
      <c r="I11" s="44" t="s">
        <v>57</v>
      </c>
      <c r="T11" s="72" t="s">
        <v>65</v>
      </c>
      <c r="U11" s="12">
        <v>42306</v>
      </c>
    </row>
    <row r="12" spans="2:48" ht="16.5" customHeight="1">
      <c r="B12" s="43">
        <v>89</v>
      </c>
      <c r="C12" s="72" t="s">
        <v>66</v>
      </c>
      <c r="D12" s="19">
        <v>3</v>
      </c>
      <c r="I12" s="44" t="s">
        <v>57</v>
      </c>
      <c r="T12" s="72" t="s">
        <v>65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B1:AV16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$U$16</f>
        <v>42306</v>
      </c>
      <c r="G4" s="50"/>
      <c r="H4" s="50"/>
      <c r="I4" s="34"/>
      <c r="J4" s="50"/>
      <c r="K4" s="50"/>
      <c r="L4" s="65" t="s">
        <v>17</v>
      </c>
      <c r="M4" s="63">
        <f>$B$16</f>
        <v>268</v>
      </c>
      <c r="N4" s="132" t="str">
        <f>$C$16</f>
        <v>LEMAIRE-LUTRAN Véronique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268</v>
      </c>
      <c r="C10" s="42" t="s">
        <v>68</v>
      </c>
      <c r="D10" s="19">
        <v>1</v>
      </c>
      <c r="E10" s="25">
        <v>41765</v>
      </c>
      <c r="F10" s="25">
        <v>41894</v>
      </c>
      <c r="G10" s="25">
        <v>41907</v>
      </c>
      <c r="H10" s="25"/>
      <c r="I10" s="75" t="s">
        <v>57</v>
      </c>
      <c r="J10" s="25">
        <v>41777</v>
      </c>
      <c r="K10" s="25">
        <v>41894</v>
      </c>
      <c r="L10" s="25">
        <v>41836</v>
      </c>
      <c r="M10" s="25">
        <v>41894</v>
      </c>
      <c r="N10" s="25">
        <v>41885</v>
      </c>
      <c r="O10" s="25">
        <v>41836</v>
      </c>
      <c r="P10" s="25">
        <v>41894</v>
      </c>
      <c r="Q10" s="25">
        <v>42130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84">
        <v>268</v>
      </c>
      <c r="C11" s="85" t="s">
        <v>68</v>
      </c>
      <c r="D11" s="19">
        <v>2</v>
      </c>
      <c r="E11" s="25">
        <v>41793</v>
      </c>
      <c r="F11" s="25">
        <v>41897</v>
      </c>
      <c r="G11" s="25">
        <v>41897</v>
      </c>
      <c r="I11" s="75" t="s">
        <v>57</v>
      </c>
      <c r="J11" s="25">
        <v>41805</v>
      </c>
      <c r="K11" s="25">
        <v>41897</v>
      </c>
      <c r="L11" s="25">
        <v>41864</v>
      </c>
      <c r="M11" s="25">
        <v>41897</v>
      </c>
      <c r="N11" s="25">
        <v>41913</v>
      </c>
      <c r="O11" s="25">
        <v>41885</v>
      </c>
      <c r="P11" s="25">
        <v>41897</v>
      </c>
      <c r="Q11" s="25">
        <v>42158</v>
      </c>
      <c r="T11" s="85" t="s">
        <v>67</v>
      </c>
      <c r="U11" s="12">
        <v>42306</v>
      </c>
    </row>
    <row r="12" spans="2:48" ht="16.5" customHeight="1">
      <c r="B12" s="84">
        <v>268</v>
      </c>
      <c r="C12" s="85" t="s">
        <v>68</v>
      </c>
      <c r="D12" s="19">
        <v>3</v>
      </c>
      <c r="E12" s="25">
        <v>41739</v>
      </c>
      <c r="F12" s="25">
        <v>41897</v>
      </c>
      <c r="G12" s="25">
        <v>41897</v>
      </c>
      <c r="I12" s="86" t="s">
        <v>57</v>
      </c>
      <c r="J12" s="25">
        <v>41751</v>
      </c>
      <c r="K12" s="25">
        <v>41897</v>
      </c>
      <c r="L12" s="25">
        <v>41810</v>
      </c>
      <c r="M12" s="25">
        <v>41897</v>
      </c>
      <c r="N12" s="25">
        <v>41859</v>
      </c>
      <c r="O12" s="25">
        <v>41893</v>
      </c>
      <c r="P12" s="25">
        <v>41897</v>
      </c>
      <c r="Q12" s="25">
        <v>42104</v>
      </c>
      <c r="T12" s="85" t="s">
        <v>67</v>
      </c>
      <c r="U12" s="12">
        <v>42306</v>
      </c>
    </row>
    <row r="13" spans="2:48" ht="25.5">
      <c r="B13" s="107">
        <v>268</v>
      </c>
      <c r="C13" s="108" t="s">
        <v>68</v>
      </c>
      <c r="D13" s="19">
        <v>4</v>
      </c>
      <c r="E13" s="25">
        <v>41905</v>
      </c>
      <c r="F13" s="25">
        <v>41925</v>
      </c>
      <c r="G13" s="25">
        <v>41926</v>
      </c>
      <c r="I13" s="86" t="s">
        <v>57</v>
      </c>
      <c r="J13" s="25">
        <v>41917</v>
      </c>
      <c r="K13" s="25">
        <v>41925</v>
      </c>
      <c r="L13" s="25">
        <v>41976</v>
      </c>
      <c r="M13" s="25">
        <v>41981</v>
      </c>
      <c r="N13" s="25">
        <v>42025</v>
      </c>
      <c r="O13" s="25">
        <v>41935</v>
      </c>
      <c r="P13" s="25">
        <v>41955</v>
      </c>
      <c r="Q13" s="25">
        <v>42270</v>
      </c>
      <c r="T13" s="108" t="s">
        <v>67</v>
      </c>
      <c r="U13" s="12">
        <v>42306</v>
      </c>
    </row>
    <row r="14" spans="2:48" ht="25.5">
      <c r="B14" s="107">
        <v>268</v>
      </c>
      <c r="C14" s="108" t="s">
        <v>68</v>
      </c>
      <c r="D14" s="19">
        <v>5</v>
      </c>
      <c r="E14" s="25">
        <v>41913</v>
      </c>
      <c r="F14" s="25">
        <v>41915</v>
      </c>
      <c r="G14" s="25">
        <v>41915</v>
      </c>
      <c r="I14" s="86" t="s">
        <v>57</v>
      </c>
      <c r="J14" s="25">
        <v>41925</v>
      </c>
      <c r="K14" s="25">
        <v>41915</v>
      </c>
      <c r="L14" s="25">
        <v>41984</v>
      </c>
      <c r="M14" s="25">
        <v>41915</v>
      </c>
      <c r="N14" s="25">
        <v>42033</v>
      </c>
      <c r="O14" s="25">
        <v>41913</v>
      </c>
      <c r="P14" s="25">
        <v>41915</v>
      </c>
      <c r="Q14" s="25">
        <v>42278</v>
      </c>
      <c r="T14" s="108" t="s">
        <v>67</v>
      </c>
      <c r="U14" s="12">
        <v>42306</v>
      </c>
    </row>
    <row r="15" spans="2:48" ht="25.5">
      <c r="B15" s="107">
        <v>268</v>
      </c>
      <c r="C15" s="108" t="s">
        <v>68</v>
      </c>
      <c r="D15" s="19">
        <v>6</v>
      </c>
      <c r="I15" s="86" t="s">
        <v>57</v>
      </c>
      <c r="T15" s="108" t="s">
        <v>67</v>
      </c>
      <c r="U15" s="12">
        <v>42306</v>
      </c>
    </row>
    <row r="16" spans="2:48" ht="25.5">
      <c r="B16" s="107">
        <v>268</v>
      </c>
      <c r="C16" s="108" t="s">
        <v>68</v>
      </c>
      <c r="D16" s="19">
        <v>7</v>
      </c>
      <c r="I16" s="86" t="s">
        <v>57</v>
      </c>
      <c r="T16" s="108" t="s">
        <v>67</v>
      </c>
      <c r="U16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87</v>
      </c>
      <c r="N4" s="132" t="str">
        <f>$C$14</f>
        <v>MOURET Sylvie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87</v>
      </c>
      <c r="C10" s="42" t="s">
        <v>70</v>
      </c>
      <c r="D10" s="19">
        <v>1</v>
      </c>
      <c r="E10" s="25">
        <v>41747</v>
      </c>
      <c r="F10" s="25">
        <v>41751</v>
      </c>
      <c r="G10" s="25">
        <v>41761</v>
      </c>
      <c r="H10" s="25">
        <v>41772</v>
      </c>
      <c r="I10" s="44" t="s">
        <v>97</v>
      </c>
      <c r="J10" s="25">
        <v>41759</v>
      </c>
      <c r="K10" s="25">
        <v>41766</v>
      </c>
      <c r="L10" s="25">
        <v>41818</v>
      </c>
      <c r="M10" s="25">
        <v>41824</v>
      </c>
      <c r="N10" s="25">
        <v>41867</v>
      </c>
      <c r="O10" s="25">
        <v>41900</v>
      </c>
      <c r="P10" s="25">
        <v>41904</v>
      </c>
      <c r="Q10" s="25">
        <v>42112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73">
        <v>87</v>
      </c>
      <c r="C11" s="74" t="s">
        <v>70</v>
      </c>
      <c r="D11" s="19">
        <v>2</v>
      </c>
      <c r="E11" s="25">
        <v>41747</v>
      </c>
      <c r="F11" s="25">
        <v>41751</v>
      </c>
      <c r="G11" s="25">
        <v>41751</v>
      </c>
      <c r="H11" s="25">
        <v>41751</v>
      </c>
      <c r="I11" s="75" t="s">
        <v>96</v>
      </c>
      <c r="J11" s="25">
        <v>41759</v>
      </c>
      <c r="K11" s="25">
        <v>41771</v>
      </c>
      <c r="L11" s="25">
        <v>41818</v>
      </c>
      <c r="M11" s="25">
        <v>41857</v>
      </c>
      <c r="N11" s="25">
        <v>41867</v>
      </c>
      <c r="O11" s="25">
        <v>41808</v>
      </c>
      <c r="P11" s="25">
        <v>41906</v>
      </c>
      <c r="Q11" s="25">
        <v>42112</v>
      </c>
      <c r="R11" s="25">
        <v>41901</v>
      </c>
      <c r="S11" s="25">
        <v>41906</v>
      </c>
      <c r="T11" s="74" t="s">
        <v>69</v>
      </c>
      <c r="U11" s="12">
        <v>42306</v>
      </c>
    </row>
    <row r="12" spans="2:48" ht="16.5" customHeight="1">
      <c r="B12" s="73">
        <v>87</v>
      </c>
      <c r="C12" s="74" t="s">
        <v>70</v>
      </c>
      <c r="D12" s="19">
        <v>3</v>
      </c>
      <c r="E12" s="25">
        <v>41758</v>
      </c>
      <c r="F12" s="25">
        <v>41761</v>
      </c>
      <c r="G12" s="25">
        <v>41764</v>
      </c>
      <c r="H12" s="25">
        <v>41764</v>
      </c>
      <c r="I12" s="75" t="s">
        <v>98</v>
      </c>
      <c r="J12" s="25">
        <v>41770</v>
      </c>
      <c r="K12" s="25">
        <v>41771</v>
      </c>
      <c r="L12" s="25">
        <v>41829</v>
      </c>
      <c r="N12" s="25">
        <v>41878</v>
      </c>
      <c r="O12" s="25">
        <v>41814</v>
      </c>
      <c r="P12" s="25">
        <v>41817</v>
      </c>
      <c r="Q12" s="25">
        <v>42123</v>
      </c>
      <c r="R12" s="25">
        <v>41898</v>
      </c>
      <c r="S12" s="25">
        <v>41900</v>
      </c>
      <c r="T12" s="74" t="s">
        <v>69</v>
      </c>
      <c r="U12" s="12">
        <v>42306</v>
      </c>
    </row>
    <row r="13" spans="2:48" ht="25.5">
      <c r="B13" s="84">
        <v>87</v>
      </c>
      <c r="C13" s="85" t="s">
        <v>70</v>
      </c>
      <c r="D13" s="19">
        <v>4</v>
      </c>
      <c r="E13" s="25">
        <v>41772</v>
      </c>
      <c r="F13" s="25">
        <v>41893</v>
      </c>
      <c r="G13" s="25">
        <v>41778</v>
      </c>
      <c r="H13" s="25">
        <v>41778</v>
      </c>
      <c r="I13" s="86" t="s">
        <v>99</v>
      </c>
      <c r="J13" s="25">
        <v>41784</v>
      </c>
      <c r="K13" s="25">
        <v>41786</v>
      </c>
      <c r="L13" s="25">
        <v>41843</v>
      </c>
      <c r="M13" s="25">
        <v>41849</v>
      </c>
      <c r="N13" s="25">
        <v>41892</v>
      </c>
      <c r="O13" s="25">
        <v>41835</v>
      </c>
      <c r="P13" s="25">
        <v>41838</v>
      </c>
      <c r="Q13" s="25">
        <v>42137</v>
      </c>
      <c r="R13" s="25">
        <v>41900</v>
      </c>
      <c r="S13" s="25">
        <v>41904</v>
      </c>
      <c r="T13" s="85" t="s">
        <v>69</v>
      </c>
      <c r="U13" s="12">
        <v>42306</v>
      </c>
    </row>
    <row r="14" spans="2:48" ht="25.5">
      <c r="B14" s="84">
        <v>87</v>
      </c>
      <c r="C14" s="85" t="s">
        <v>70</v>
      </c>
      <c r="D14" s="19">
        <v>5</v>
      </c>
      <c r="E14" s="25">
        <v>41771</v>
      </c>
      <c r="F14" s="25">
        <v>41775</v>
      </c>
      <c r="I14" s="86" t="s">
        <v>57</v>
      </c>
      <c r="J14" s="25">
        <v>41783</v>
      </c>
      <c r="L14" s="25">
        <v>41842</v>
      </c>
      <c r="N14" s="25">
        <v>41891</v>
      </c>
      <c r="Q14" s="25">
        <v>42136</v>
      </c>
      <c r="T14" s="85" t="s">
        <v>69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90</v>
      </c>
      <c r="N4" s="132" t="str">
        <f>$C$14</f>
        <v>NUZUM Marianne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90</v>
      </c>
      <c r="C10" s="42" t="s">
        <v>72</v>
      </c>
      <c r="D10" s="19">
        <v>1</v>
      </c>
      <c r="E10" s="25">
        <v>41795</v>
      </c>
      <c r="F10" s="25">
        <v>41801</v>
      </c>
      <c r="G10" s="25">
        <v>41801</v>
      </c>
      <c r="H10" s="25">
        <v>41955</v>
      </c>
      <c r="I10" s="44" t="s">
        <v>93</v>
      </c>
      <c r="J10" s="25">
        <v>41807</v>
      </c>
      <c r="K10" s="25">
        <v>41920</v>
      </c>
      <c r="L10" s="25">
        <v>41866</v>
      </c>
      <c r="M10" s="25">
        <v>41955</v>
      </c>
      <c r="N10" s="25">
        <v>41915</v>
      </c>
      <c r="O10" s="25">
        <v>41949</v>
      </c>
      <c r="P10" s="25">
        <v>41981</v>
      </c>
      <c r="Q10" s="25">
        <v>42160</v>
      </c>
      <c r="R10" s="25">
        <v>42019</v>
      </c>
      <c r="S10" s="25">
        <v>42023</v>
      </c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43">
        <v>90</v>
      </c>
      <c r="C11" s="72" t="s">
        <v>72</v>
      </c>
      <c r="D11" s="19">
        <v>2</v>
      </c>
      <c r="E11" s="25">
        <v>41816</v>
      </c>
      <c r="F11" s="25">
        <v>41820</v>
      </c>
      <c r="G11" s="25">
        <v>41820</v>
      </c>
      <c r="H11" s="25">
        <v>41820</v>
      </c>
      <c r="I11" s="44" t="s">
        <v>99</v>
      </c>
      <c r="J11" s="25">
        <v>41828</v>
      </c>
      <c r="L11" s="25">
        <v>41887</v>
      </c>
      <c r="N11" s="25">
        <v>41936</v>
      </c>
      <c r="O11" s="25">
        <v>41907</v>
      </c>
      <c r="P11" s="25">
        <v>41911</v>
      </c>
      <c r="Q11" s="25">
        <v>42181</v>
      </c>
      <c r="T11" s="72" t="s">
        <v>71</v>
      </c>
      <c r="U11" s="12">
        <v>42306</v>
      </c>
    </row>
    <row r="12" spans="2:48" ht="16.5" customHeight="1">
      <c r="B12" s="43">
        <v>90</v>
      </c>
      <c r="C12" s="72" t="s">
        <v>72</v>
      </c>
      <c r="D12" s="19">
        <v>3</v>
      </c>
      <c r="E12" s="25">
        <v>41887</v>
      </c>
      <c r="F12" s="25">
        <v>41892</v>
      </c>
      <c r="G12" s="25">
        <v>41892</v>
      </c>
      <c r="H12" s="25">
        <v>41892</v>
      </c>
      <c r="I12" s="86" t="s">
        <v>106</v>
      </c>
      <c r="J12" s="25">
        <v>41899</v>
      </c>
      <c r="K12" s="25">
        <v>41904</v>
      </c>
      <c r="L12" s="25">
        <v>41958</v>
      </c>
      <c r="M12" s="25">
        <v>41955</v>
      </c>
      <c r="N12" s="25">
        <v>42007</v>
      </c>
      <c r="O12" s="25">
        <v>42041</v>
      </c>
      <c r="P12" s="25">
        <v>42047</v>
      </c>
      <c r="Q12" s="25">
        <v>42252</v>
      </c>
      <c r="T12" s="72" t="s">
        <v>71</v>
      </c>
      <c r="U12" s="12">
        <v>42306</v>
      </c>
    </row>
    <row r="13" spans="2:48" ht="25.5">
      <c r="B13" s="107">
        <v>90</v>
      </c>
      <c r="C13" s="108" t="s">
        <v>72</v>
      </c>
      <c r="D13" s="19">
        <v>4</v>
      </c>
      <c r="E13" s="25">
        <v>41956</v>
      </c>
      <c r="F13" s="25">
        <v>41960</v>
      </c>
      <c r="H13" s="25">
        <v>41961</v>
      </c>
      <c r="I13" s="86" t="s">
        <v>99</v>
      </c>
      <c r="J13" s="25">
        <v>41968</v>
      </c>
      <c r="K13" s="25">
        <v>41976</v>
      </c>
      <c r="L13" s="25">
        <v>42027</v>
      </c>
      <c r="M13" s="25">
        <v>42072</v>
      </c>
      <c r="N13" s="25">
        <v>42076</v>
      </c>
      <c r="O13" s="25">
        <v>42068</v>
      </c>
      <c r="P13" s="25">
        <v>42072</v>
      </c>
      <c r="Q13" s="25">
        <v>42321</v>
      </c>
      <c r="R13" s="25">
        <v>42166</v>
      </c>
      <c r="S13" s="25">
        <v>42167</v>
      </c>
      <c r="T13" s="108" t="s">
        <v>71</v>
      </c>
      <c r="U13" s="12">
        <v>42306</v>
      </c>
    </row>
    <row r="14" spans="2:48" ht="25.5">
      <c r="B14" s="107">
        <v>90</v>
      </c>
      <c r="C14" s="108" t="s">
        <v>72</v>
      </c>
      <c r="D14" s="19">
        <v>5</v>
      </c>
      <c r="E14" s="25">
        <v>41964</v>
      </c>
      <c r="F14" s="25">
        <v>41967</v>
      </c>
      <c r="G14" s="25">
        <v>41969</v>
      </c>
      <c r="H14" s="25">
        <v>41969</v>
      </c>
      <c r="I14" s="86" t="s">
        <v>108</v>
      </c>
      <c r="J14" s="25">
        <v>41976</v>
      </c>
      <c r="K14" s="25">
        <v>41989</v>
      </c>
      <c r="L14" s="25">
        <v>42035</v>
      </c>
      <c r="M14" s="25">
        <v>42058</v>
      </c>
      <c r="N14" s="25">
        <v>42084</v>
      </c>
      <c r="O14" s="25">
        <v>42020</v>
      </c>
      <c r="P14" s="25">
        <v>42024</v>
      </c>
      <c r="Q14" s="25">
        <v>42329</v>
      </c>
      <c r="T14" s="108" t="s">
        <v>71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D7" sqref="D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7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$U$12</f>
        <v>42306</v>
      </c>
      <c r="G4" s="50"/>
      <c r="H4" s="50"/>
      <c r="I4" s="34"/>
      <c r="J4" s="50"/>
      <c r="K4" s="50"/>
      <c r="L4" s="77" t="s">
        <v>17</v>
      </c>
      <c r="M4" s="63">
        <f>$B$12</f>
        <v>290</v>
      </c>
      <c r="N4" s="132" t="str">
        <f>$C$12</f>
        <v>PETIT Alain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9" t="s">
        <v>32</v>
      </c>
      <c r="M8" s="79" t="s">
        <v>31</v>
      </c>
      <c r="N8" s="78" t="s">
        <v>33</v>
      </c>
      <c r="O8" s="78" t="s">
        <v>34</v>
      </c>
      <c r="P8" s="78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290</v>
      </c>
      <c r="C10" s="42" t="s">
        <v>79</v>
      </c>
      <c r="D10" s="19">
        <v>1</v>
      </c>
      <c r="E10" s="25">
        <v>41893</v>
      </c>
      <c r="F10" s="25">
        <v>41898</v>
      </c>
      <c r="G10" s="25"/>
      <c r="H10" s="25">
        <v>41898</v>
      </c>
      <c r="I10" s="75" t="s">
        <v>108</v>
      </c>
      <c r="J10" s="25">
        <v>41905</v>
      </c>
      <c r="K10" s="25"/>
      <c r="L10" s="25">
        <v>41964</v>
      </c>
      <c r="M10" s="25">
        <v>41960</v>
      </c>
      <c r="N10" s="25">
        <v>42013</v>
      </c>
      <c r="O10" s="25"/>
      <c r="P10" s="25"/>
      <c r="Q10" s="25">
        <v>42258</v>
      </c>
      <c r="R10" s="25"/>
      <c r="S10" s="25"/>
      <c r="T10" s="42" t="s">
        <v>80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84">
        <v>290</v>
      </c>
      <c r="C11" s="85" t="s">
        <v>79</v>
      </c>
      <c r="D11" s="19">
        <v>2</v>
      </c>
      <c r="I11" s="75" t="s">
        <v>57</v>
      </c>
      <c r="T11" s="85" t="s">
        <v>80</v>
      </c>
      <c r="U11" s="12">
        <v>42306</v>
      </c>
    </row>
    <row r="12" spans="2:48" ht="16.5" customHeight="1">
      <c r="B12" s="84">
        <v>290</v>
      </c>
      <c r="C12" s="85" t="s">
        <v>79</v>
      </c>
      <c r="D12" s="19">
        <v>3</v>
      </c>
      <c r="I12" s="75" t="s">
        <v>57</v>
      </c>
      <c r="T12" s="85" t="s">
        <v>80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J23" sqref="J23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$U$12</f>
        <v>42306</v>
      </c>
      <c r="G4" s="50"/>
      <c r="H4" s="50"/>
      <c r="I4" s="34"/>
      <c r="J4" s="50"/>
      <c r="K4" s="50"/>
      <c r="L4" s="69" t="s">
        <v>17</v>
      </c>
      <c r="M4" s="63">
        <f>$B$12</f>
        <v>86</v>
      </c>
      <c r="N4" s="132" t="str">
        <f>$C$12</f>
        <v>RABARY Gilles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86</v>
      </c>
      <c r="C10" s="42" t="s">
        <v>76</v>
      </c>
      <c r="D10" s="19">
        <v>1</v>
      </c>
      <c r="E10" s="25">
        <v>41782</v>
      </c>
      <c r="F10" s="25">
        <v>41892</v>
      </c>
      <c r="G10" s="25">
        <v>41892</v>
      </c>
      <c r="H10" s="25">
        <v>41786</v>
      </c>
      <c r="I10" s="44" t="s">
        <v>94</v>
      </c>
      <c r="J10" s="25">
        <v>41794</v>
      </c>
      <c r="K10" s="25">
        <v>41795</v>
      </c>
      <c r="L10" s="25">
        <v>41853</v>
      </c>
      <c r="M10" s="25">
        <v>41862</v>
      </c>
      <c r="N10" s="25">
        <v>41902</v>
      </c>
      <c r="O10" s="25"/>
      <c r="P10" s="25"/>
      <c r="Q10" s="25">
        <v>42147</v>
      </c>
      <c r="R10" s="25"/>
      <c r="S10" s="25"/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73">
        <v>86</v>
      </c>
      <c r="C11" s="74" t="s">
        <v>76</v>
      </c>
      <c r="D11" s="19">
        <v>2</v>
      </c>
      <c r="I11" s="75" t="s">
        <v>57</v>
      </c>
      <c r="T11" s="74" t="s">
        <v>75</v>
      </c>
      <c r="U11" s="12">
        <v>42306</v>
      </c>
    </row>
    <row r="12" spans="2:48" ht="16.5" customHeight="1">
      <c r="B12" s="73">
        <v>86</v>
      </c>
      <c r="C12" s="74" t="s">
        <v>76</v>
      </c>
      <c r="D12" s="19">
        <v>3</v>
      </c>
      <c r="I12" s="75" t="s">
        <v>57</v>
      </c>
      <c r="T12" s="74" t="s">
        <v>75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dimension ref="B1:AV17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$U$17</f>
        <v>42306</v>
      </c>
      <c r="G4" s="50"/>
      <c r="H4" s="50"/>
      <c r="I4" s="34"/>
      <c r="J4" s="50"/>
      <c r="K4" s="50"/>
      <c r="L4" s="65" t="s">
        <v>17</v>
      </c>
      <c r="M4" s="63">
        <f>$B$17</f>
        <v>85</v>
      </c>
      <c r="N4" s="132" t="str">
        <f>$C$17</f>
        <v>SKOURNIK Roselyne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85</v>
      </c>
      <c r="C10" s="42" t="s">
        <v>74</v>
      </c>
      <c r="D10" s="19">
        <v>1</v>
      </c>
      <c r="E10" s="25">
        <v>41754</v>
      </c>
      <c r="F10" s="25">
        <v>41792</v>
      </c>
      <c r="G10" s="25">
        <v>41792</v>
      </c>
      <c r="H10" s="25">
        <v>41759</v>
      </c>
      <c r="I10" s="44" t="s">
        <v>96</v>
      </c>
      <c r="J10" s="25">
        <v>41766</v>
      </c>
      <c r="K10" s="25">
        <v>41782</v>
      </c>
      <c r="L10" s="25">
        <v>41825</v>
      </c>
      <c r="M10" s="25">
        <v>41837</v>
      </c>
      <c r="N10" s="25">
        <v>41874</v>
      </c>
      <c r="O10" s="25">
        <v>41783</v>
      </c>
      <c r="P10" s="25">
        <v>41792</v>
      </c>
      <c r="Q10" s="25">
        <v>42119</v>
      </c>
      <c r="R10" s="25">
        <v>41971</v>
      </c>
      <c r="S10" s="25">
        <v>41974</v>
      </c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73">
        <v>85</v>
      </c>
      <c r="C11" s="74" t="s">
        <v>74</v>
      </c>
      <c r="D11" s="19">
        <v>2</v>
      </c>
      <c r="E11" s="25">
        <v>41754</v>
      </c>
      <c r="F11" s="25">
        <v>41792</v>
      </c>
      <c r="G11" s="25">
        <v>41792</v>
      </c>
      <c r="I11" s="75" t="s">
        <v>57</v>
      </c>
      <c r="J11" s="25">
        <v>41766</v>
      </c>
      <c r="K11" s="25">
        <v>41785</v>
      </c>
      <c r="L11" s="25">
        <v>41825</v>
      </c>
      <c r="M11" s="25">
        <v>41835</v>
      </c>
      <c r="N11" s="25">
        <v>41874</v>
      </c>
      <c r="O11" s="25">
        <v>41772</v>
      </c>
      <c r="P11" s="25">
        <v>41792</v>
      </c>
      <c r="Q11" s="25">
        <v>42119</v>
      </c>
      <c r="R11" s="25">
        <v>41829</v>
      </c>
      <c r="S11" s="25">
        <v>41913</v>
      </c>
      <c r="T11" s="74" t="s">
        <v>73</v>
      </c>
      <c r="U11" s="12">
        <v>42306</v>
      </c>
    </row>
    <row r="12" spans="2:48" ht="16.5" customHeight="1">
      <c r="B12" s="73">
        <v>85</v>
      </c>
      <c r="C12" s="74" t="s">
        <v>74</v>
      </c>
      <c r="D12" s="19">
        <v>3</v>
      </c>
      <c r="E12" s="25">
        <v>41773</v>
      </c>
      <c r="F12" s="25">
        <v>41801</v>
      </c>
      <c r="G12" s="25">
        <v>41801</v>
      </c>
      <c r="H12" s="25">
        <v>41796</v>
      </c>
      <c r="I12" s="75" t="s">
        <v>97</v>
      </c>
      <c r="J12" s="25">
        <v>41785</v>
      </c>
      <c r="K12" s="25">
        <v>41801</v>
      </c>
      <c r="L12" s="25">
        <v>41844</v>
      </c>
      <c r="M12" s="25">
        <v>41843</v>
      </c>
      <c r="N12" s="25">
        <v>41893</v>
      </c>
      <c r="O12" s="25">
        <v>41796</v>
      </c>
      <c r="P12" s="25">
        <v>41801</v>
      </c>
      <c r="Q12" s="25">
        <v>42138</v>
      </c>
      <c r="T12" s="74" t="s">
        <v>73</v>
      </c>
      <c r="U12" s="12">
        <v>42306</v>
      </c>
    </row>
    <row r="13" spans="2:48" ht="25.5">
      <c r="B13" s="84">
        <v>85</v>
      </c>
      <c r="C13" s="85" t="s">
        <v>74</v>
      </c>
      <c r="D13" s="19">
        <v>4</v>
      </c>
      <c r="E13" s="25">
        <v>41789</v>
      </c>
      <c r="F13" s="25">
        <v>41794</v>
      </c>
      <c r="G13" s="25">
        <v>41794</v>
      </c>
      <c r="H13" s="25">
        <v>41793</v>
      </c>
      <c r="I13" s="86" t="s">
        <v>100</v>
      </c>
      <c r="J13" s="25">
        <v>41801</v>
      </c>
      <c r="K13" s="25">
        <v>41817</v>
      </c>
      <c r="L13" s="25">
        <v>41860</v>
      </c>
      <c r="M13" s="25">
        <v>41884</v>
      </c>
      <c r="N13" s="25">
        <v>41909</v>
      </c>
      <c r="O13" s="25">
        <v>41831</v>
      </c>
      <c r="P13" s="25">
        <v>41835</v>
      </c>
      <c r="Q13" s="25">
        <v>42154</v>
      </c>
      <c r="R13" s="25">
        <v>41965</v>
      </c>
      <c r="S13" s="25">
        <v>41968</v>
      </c>
      <c r="T13" s="85" t="s">
        <v>73</v>
      </c>
      <c r="U13" s="12">
        <v>42306</v>
      </c>
    </row>
    <row r="14" spans="2:48" ht="25.5">
      <c r="B14" s="84">
        <v>85</v>
      </c>
      <c r="C14" s="85" t="s">
        <v>74</v>
      </c>
      <c r="D14" s="19">
        <v>5</v>
      </c>
      <c r="E14" s="25">
        <v>41794</v>
      </c>
      <c r="F14" s="25">
        <v>41883</v>
      </c>
      <c r="H14" s="25">
        <v>41835</v>
      </c>
      <c r="I14" s="86" t="s">
        <v>93</v>
      </c>
      <c r="J14" s="25">
        <v>41806</v>
      </c>
      <c r="L14" s="25">
        <v>41865</v>
      </c>
      <c r="N14" s="25">
        <v>41914</v>
      </c>
      <c r="Q14" s="25">
        <v>42159</v>
      </c>
      <c r="T14" s="85" t="s">
        <v>73</v>
      </c>
      <c r="U14" s="12">
        <v>42306</v>
      </c>
    </row>
    <row r="15" spans="2:48" ht="25.5">
      <c r="B15" s="107">
        <v>85</v>
      </c>
      <c r="C15" s="108" t="s">
        <v>74</v>
      </c>
      <c r="D15" s="19">
        <v>6</v>
      </c>
      <c r="E15" s="25">
        <v>41969</v>
      </c>
      <c r="F15" s="25">
        <v>41974</v>
      </c>
      <c r="G15" s="25">
        <v>41974</v>
      </c>
      <c r="H15" s="25">
        <v>41974</v>
      </c>
      <c r="I15" s="86" t="s">
        <v>112</v>
      </c>
      <c r="J15" s="25">
        <v>41981</v>
      </c>
      <c r="K15" s="25">
        <v>41995</v>
      </c>
      <c r="L15" s="25">
        <v>42040</v>
      </c>
      <c r="N15" s="25">
        <v>42089</v>
      </c>
      <c r="O15" s="25">
        <v>41991</v>
      </c>
      <c r="P15" s="25">
        <v>41995</v>
      </c>
      <c r="Q15" s="25">
        <v>42334</v>
      </c>
      <c r="T15" s="108" t="s">
        <v>73</v>
      </c>
      <c r="U15" s="12">
        <v>42306</v>
      </c>
    </row>
    <row r="16" spans="2:48" ht="25.5">
      <c r="B16" s="107">
        <v>85</v>
      </c>
      <c r="C16" s="108" t="s">
        <v>74</v>
      </c>
      <c r="D16" s="19">
        <v>7</v>
      </c>
      <c r="E16" s="25">
        <v>41974</v>
      </c>
      <c r="F16" s="25">
        <v>42032</v>
      </c>
      <c r="H16" s="25">
        <v>42018</v>
      </c>
      <c r="I16" s="86" t="s">
        <v>106</v>
      </c>
      <c r="J16" s="25">
        <v>41986</v>
      </c>
      <c r="K16" s="25">
        <v>42033</v>
      </c>
      <c r="L16" s="25">
        <v>42045</v>
      </c>
      <c r="N16" s="25">
        <v>42094</v>
      </c>
      <c r="O16" s="25">
        <v>42030</v>
      </c>
      <c r="P16" s="25">
        <v>42032</v>
      </c>
      <c r="Q16" s="25">
        <v>42339</v>
      </c>
      <c r="T16" s="108" t="s">
        <v>73</v>
      </c>
      <c r="U16" s="12">
        <v>42306</v>
      </c>
    </row>
    <row r="17" spans="2:21" ht="25.5">
      <c r="B17" s="107">
        <v>85</v>
      </c>
      <c r="C17" s="108" t="s">
        <v>74</v>
      </c>
      <c r="D17" s="19">
        <v>8</v>
      </c>
      <c r="E17" s="25">
        <v>41974</v>
      </c>
      <c r="F17" s="25">
        <v>41977</v>
      </c>
      <c r="G17" s="25">
        <v>41977</v>
      </c>
      <c r="H17" s="25">
        <v>41976</v>
      </c>
      <c r="I17" s="86" t="s">
        <v>108</v>
      </c>
      <c r="J17" s="25">
        <v>41986</v>
      </c>
      <c r="K17" s="25">
        <v>42011</v>
      </c>
      <c r="L17" s="25">
        <v>42045</v>
      </c>
      <c r="M17" s="25">
        <v>42115</v>
      </c>
      <c r="N17" s="25">
        <v>42094</v>
      </c>
      <c r="O17" s="25">
        <v>42003</v>
      </c>
      <c r="P17" s="25">
        <v>42017</v>
      </c>
      <c r="Q17" s="25">
        <v>42339</v>
      </c>
      <c r="T17" s="108" t="s">
        <v>73</v>
      </c>
      <c r="U17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J20" sqref="J2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28" t="s">
        <v>16</v>
      </c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30"/>
      <c r="M3" s="130"/>
      <c r="N3" s="130"/>
      <c r="O3" s="101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31" t="s">
        <v>58</v>
      </c>
      <c r="E4" s="131"/>
      <c r="F4" s="53">
        <f>$U$12</f>
        <v>42306</v>
      </c>
      <c r="G4" s="50"/>
      <c r="H4" s="50"/>
      <c r="I4" s="34"/>
      <c r="J4" s="50"/>
      <c r="K4" s="50"/>
      <c r="L4" s="102" t="s">
        <v>17</v>
      </c>
      <c r="M4" s="63">
        <f>$B$12</f>
        <v>369</v>
      </c>
      <c r="N4" s="132" t="str">
        <f>$C$12</f>
        <v>SOUIED Marc</v>
      </c>
      <c r="O4" s="132"/>
      <c r="P4" s="132"/>
      <c r="Q4" s="132"/>
      <c r="R4" s="132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33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9" t="s">
        <v>19</v>
      </c>
      <c r="F7" s="120"/>
      <c r="G7" s="120"/>
      <c r="H7" s="120"/>
      <c r="I7" s="120"/>
      <c r="J7" s="121" t="s">
        <v>20</v>
      </c>
      <c r="K7" s="122"/>
      <c r="L7" s="123" t="s">
        <v>21</v>
      </c>
      <c r="M7" s="123"/>
      <c r="N7" s="124" t="s">
        <v>22</v>
      </c>
      <c r="O7" s="125"/>
      <c r="P7" s="126"/>
      <c r="Q7" s="127" t="s">
        <v>23</v>
      </c>
      <c r="R7" s="125"/>
      <c r="S7" s="12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104" t="s">
        <v>32</v>
      </c>
      <c r="M8" s="104" t="s">
        <v>31</v>
      </c>
      <c r="N8" s="103" t="s">
        <v>33</v>
      </c>
      <c r="O8" s="103" t="s">
        <v>34</v>
      </c>
      <c r="P8" s="103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369</v>
      </c>
      <c r="C10" s="42" t="s">
        <v>91</v>
      </c>
      <c r="D10" s="19">
        <v>1</v>
      </c>
      <c r="E10" s="25"/>
      <c r="F10" s="25"/>
      <c r="G10" s="25"/>
      <c r="H10" s="25"/>
      <c r="I10" s="86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90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105">
        <v>369</v>
      </c>
      <c r="C11" s="106" t="s">
        <v>91</v>
      </c>
      <c r="D11" s="19">
        <v>2</v>
      </c>
      <c r="I11" s="86" t="s">
        <v>57</v>
      </c>
      <c r="T11" s="106" t="s">
        <v>90</v>
      </c>
      <c r="U11" s="12">
        <v>42306</v>
      </c>
    </row>
    <row r="12" spans="2:48" ht="16.5" customHeight="1">
      <c r="B12" s="105">
        <v>369</v>
      </c>
      <c r="C12" s="106" t="s">
        <v>91</v>
      </c>
      <c r="D12" s="19">
        <v>3</v>
      </c>
      <c r="I12" s="86" t="s">
        <v>57</v>
      </c>
      <c r="T12" s="106" t="s">
        <v>90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Secteur DE0107</vt:lpstr>
      <vt:lpstr>00162155</vt:lpstr>
      <vt:lpstr>00609749</vt:lpstr>
      <vt:lpstr>08335185</vt:lpstr>
      <vt:lpstr>00020581</vt:lpstr>
      <vt:lpstr>02002371</vt:lpstr>
      <vt:lpstr>03262378</vt:lpstr>
      <vt:lpstr>00260976</vt:lpstr>
      <vt:lpstr>05385065</vt:lpstr>
      <vt:lpstr>05647689</vt:lpstr>
      <vt:lpstr>06711075</vt:lpstr>
      <vt:lpstr>07027118</vt:lpstr>
      <vt:lpstr>07236653</vt:lpstr>
      <vt:lpstr>07623765</vt:lpstr>
      <vt:lpstr>08530515</vt:lpstr>
      <vt:lpstr>08569537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2014-04-24T14:57:37Z</cp:lastPrinted>
  <dcterms:created xsi:type="dcterms:W3CDTF">2014-04-10T15:52:05Z</dcterms:created>
  <dcterms:modified xsi:type="dcterms:W3CDTF">2015-10-29T22:01:35Z</dcterms:modified>
</cp:coreProperties>
</file>