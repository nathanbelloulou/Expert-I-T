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831"/>
  </bookViews>
  <sheets>
    <sheet name="Secteur DE0206" sheetId="1" r:id="rId1"/>
    <sheet name="00828852" sheetId="13" r:id="rId2"/>
    <sheet name="01877850" sheetId="17" r:id="rId3"/>
    <sheet name="06130480" sheetId="2" r:id="rId4"/>
    <sheet name="02092842" sheetId="3" r:id="rId5"/>
    <sheet name="02804106" sheetId="16" r:id="rId6"/>
    <sheet name="05775242" sheetId="4" r:id="rId7"/>
    <sheet name="03929258" sheetId="5" r:id="rId8"/>
    <sheet name="04753775" sheetId="6" r:id="rId9"/>
    <sheet name="06305023" sheetId="11" r:id="rId10"/>
    <sheet name="06303744" sheetId="7" r:id="rId11"/>
    <sheet name="06491520" sheetId="8" r:id="rId12"/>
    <sheet name="06666591" sheetId="14" r:id="rId13"/>
    <sheet name="07757864" sheetId="10" r:id="rId14"/>
    <sheet name="08477803" sheetId="15" r:id="rId15"/>
    <sheet name="08831779" sheetId="12" r:id="rId16"/>
    <sheet name="09559640" sheetId="9" r:id="rId17"/>
  </sheets>
  <definedNames>
    <definedName name="Lancer_la_requête_à_partir_de_MS_Access_Database" localSheetId="1" hidden="1">'00828852'!$B$9:$U$12</definedName>
    <definedName name="Lancer_la_requête_à_partir_de_MS_Access_Database" localSheetId="2" hidden="1">'01877850'!$B$9:$U$12</definedName>
    <definedName name="Lancer_la_requête_à_partir_de_MS_Access_Database" localSheetId="4" hidden="1">'02092842'!$B$9:$U$12</definedName>
    <definedName name="Lancer_la_requête_à_partir_de_MS_Access_Database" localSheetId="5" hidden="1">'02804106'!$B$9:$U$16</definedName>
    <definedName name="Lancer_la_requête_à_partir_de_MS_Access_Database" localSheetId="7" hidden="1">'03929258'!$B$9:$U$12</definedName>
    <definedName name="Lancer_la_requête_à_partir_de_MS_Access_Database" localSheetId="8" hidden="1">'04753775'!$B$9:$U$14</definedName>
    <definedName name="Lancer_la_requête_à_partir_de_MS_Access_Database" localSheetId="6" hidden="1">'05775242'!$B$9:$U$12</definedName>
    <definedName name="Lancer_la_requête_à_partir_de_MS_Access_Database" localSheetId="3" hidden="1">'06130480'!$B$9:$U$14</definedName>
    <definedName name="Lancer_la_requête_à_partir_de_MS_Access_Database" localSheetId="10" hidden="1">'06303744'!$B$9:$U$12</definedName>
    <definedName name="Lancer_la_requête_à_partir_de_MS_Access_Database" localSheetId="9" hidden="1">'06305023'!$B$9:$U$12</definedName>
    <definedName name="Lancer_la_requête_à_partir_de_MS_Access_Database" localSheetId="11" hidden="1">'06491520'!$B$9:$U$14</definedName>
    <definedName name="Lancer_la_requête_à_partir_de_MS_Access_Database" localSheetId="12" hidden="1">'06666591'!$B$9:$U$12</definedName>
    <definedName name="Lancer_la_requête_à_partir_de_MS_Access_Database" localSheetId="13" hidden="1">'07757864'!$B$9:$U$14</definedName>
    <definedName name="Lancer_la_requête_à_partir_de_MS_Access_Database" localSheetId="14" hidden="1">'08477803'!$B$9:$U$12</definedName>
    <definedName name="Lancer_la_requête_à_partir_de_MS_Access_Database" localSheetId="15" hidden="1">'08831779'!$B$9:$U$12</definedName>
    <definedName name="Lancer_la_requête_à_partir_de_MS_Access_Database" localSheetId="16" hidden="1">'09559640'!$B$9:$U$12</definedName>
    <definedName name="Lancer_la_requête_à_partir_de_MS_Access_Database_1" localSheetId="0" hidden="1">'Secteur DE0206'!$A$7:$K$23</definedName>
  </definedNames>
  <calcPr calcId="125725"/>
</workbook>
</file>

<file path=xl/calcChain.xml><?xml version="1.0" encoding="utf-8"?>
<calcChain xmlns="http://schemas.openxmlformats.org/spreadsheetml/2006/main">
  <c r="D24" i="1"/>
  <c r="E24"/>
  <c r="F24"/>
  <c r="G24"/>
  <c r="H24"/>
  <c r="I24"/>
  <c r="N4" i="17"/>
  <c r="M4"/>
  <c r="F4"/>
  <c r="N4" i="16"/>
  <c r="M4"/>
  <c r="F4"/>
  <c r="N4" i="15"/>
  <c r="M4"/>
  <c r="F4"/>
  <c r="N4" i="14"/>
  <c r="M4"/>
  <c r="F4"/>
  <c r="N4" i="13"/>
  <c r="M4"/>
  <c r="F4"/>
  <c r="N4" i="12" l="1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6')_x000d__x000a_ORDER BY Req_REPORT_SECTEURS_GLOBAL.Medecin"/>
  </connection>
  <connection id="2" name="Lancer la requête à partir de MS Access Database0082885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828852')"/>
  </connection>
  <connection id="3" name="Lancer la requête à partir de MS Access Database018778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877850')"/>
  </connection>
  <connection id="4" name="Lancer la requête à partir de MS Access Database0209284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092842')"/>
  </connection>
  <connection id="5" name="Lancer la requête à partir de MS Access Database0280410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804106')"/>
  </connection>
  <connection id="6" name="Lancer la requête à partir de MS Access Database0392925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929258')"/>
  </connection>
  <connection id="7" name="Lancer la requête à partir de MS Access Database047537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753775')"/>
  </connection>
  <connection id="8" name="Lancer la requête à partir de MS Access Database0577524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775242')"/>
  </connection>
  <connection id="9" name="Lancer la requête à partir de MS Access Database061304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130480')"/>
  </connection>
  <connection id="10" name="Lancer la requête à partir de MS Access Database063037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303744')"/>
  </connection>
  <connection id="11" name="Lancer la requête à partir de MS Access Database0630502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305023')"/>
  </connection>
  <connection id="12" name="Lancer la requête à partir de MS Access Database064915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491520')"/>
  </connection>
  <connection id="13" name="Lancer la requête à partir de MS Access Database0666659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66591')"/>
  </connection>
  <connection id="14" name="Lancer la requête à partir de MS Access Database0775786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57864')"/>
  </connection>
  <connection id="15" name="Lancer la requête à partir de MS Access Database0847780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477803')"/>
  </connection>
  <connection id="16" name="Lancer la requête à partir de MS Access Database0883177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831779')"/>
  </connection>
  <connection id="17" name="Lancer la requête à partir de MS Access Database095596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559640')"/>
  </connection>
</connections>
</file>

<file path=xl/sharedStrings.xml><?xml version="1.0" encoding="utf-8"?>
<sst xmlns="http://schemas.openxmlformats.org/spreadsheetml/2006/main" count="1009" uniqueCount="116">
  <si>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</si>
  <si>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</si>
  <si>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</si>
  <si>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</si>
  <si>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</si>
  <si>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</si>
  <si>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</si>
  <si>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</si>
  <si>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</si>
  <si>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</si>
  <si>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</si>
  <si>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</si>
  <si>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</si>
  <si>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</si>
  <si>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</si>
  <si>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</si>
  <si>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</si>
  <si>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</si>
  <si>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</si>
  <si>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</si>
  <si>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</si>
  <si>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</si>
  <si>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</si>
  <si>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</si>
  <si>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</si>
  <si>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</si>
  <si>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</si>
  <si>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</si>
  <si>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</si>
  <si>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</si>
  <si>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</si>
  <si>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</si>
  <si>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</si>
  <si>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</si>
  <si>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</si>
  <si>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</si>
  <si>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</si>
  <si>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</si>
  <si>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</si>
  <si>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</si>
  <si>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</si>
  <si>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</si>
  <si>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</si>
  <si>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</si>
  <si>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</si>
  <si>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</si>
  <si>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</si>
  <si>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</si>
  <si>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</si>
  <si>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</si>
  <si>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</si>
  <si>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</si>
  <si>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</si>
  <si>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</si>
  <si>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</si>
  <si>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</si>
  <si>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</si>
  <si>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</si>
  <si>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</si>
  <si>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DE0206</t>
  </si>
  <si>
    <t>DEROT Caroline</t>
  </si>
  <si>
    <t>WFRM06130480</t>
  </si>
  <si>
    <t>CARBONNEL-DELALANDE Elisabeth</t>
  </si>
  <si>
    <t>WFRM02092842</t>
  </si>
  <si>
    <t>COGNAT Thierry</t>
  </si>
  <si>
    <t>WFRM05775242</t>
  </si>
  <si>
    <t>GACHON-LANIER Emilie</t>
  </si>
  <si>
    <t>WFRM03929258</t>
  </si>
  <si>
    <t>GENVO Marie-Françoise</t>
  </si>
  <si>
    <t>WFRM04753775</t>
  </si>
  <si>
    <t>JACQUEMIER Daniel</t>
  </si>
  <si>
    <t>WFRM06303744</t>
  </si>
  <si>
    <t>MARTIN Fabienne</t>
  </si>
  <si>
    <t>WFRM06491520</t>
  </si>
  <si>
    <t>MIGUET Michèle</t>
  </si>
  <si>
    <t>WFRM09559640</t>
  </si>
  <si>
    <t>VIALLARD Anne-Marie</t>
  </si>
  <si>
    <t>PINCEMAILLE Blandine</t>
  </si>
  <si>
    <t>WFRM07757864</t>
  </si>
  <si>
    <t>LUAUTE-MARCILLY Marie-Cécile</t>
  </si>
  <si>
    <t>WFRM06305023</t>
  </si>
  <si>
    <t>WFRM08831779</t>
  </si>
  <si>
    <t>SOUILLET Anne-Laure</t>
  </si>
  <si>
    <t>WFRM00828852</t>
  </si>
  <si>
    <t>BERTRAND Carole</t>
  </si>
  <si>
    <t>WFRM06666591</t>
  </si>
  <si>
    <t>MORLAIN Bernard</t>
  </si>
  <si>
    <t>04juin: n'a pas inclus jusqu'ici par manque de temps, est en plein déménagement. N'a pas oublié</t>
  </si>
  <si>
    <t>WFRM08477803</t>
  </si>
  <si>
    <t>16juin: mail reçu souhaite des nouveaux cahiers: OK envoyé ce jour</t>
  </si>
  <si>
    <t>19juin: a inclus 1 patient hier. Ensuite poursuivra les inclusions à la rentrée. Compliqué d'inclure cette été avec les vacances</t>
  </si>
  <si>
    <t>SAGOT-LE CALLENNEC Valérie</t>
  </si>
  <si>
    <t>16juin: secretaire ne passe pas les appels, message laissé pour qu'elle nous appelle</t>
  </si>
  <si>
    <t>WFRM02804106</t>
  </si>
  <si>
    <t>FERRIERE Carine</t>
  </si>
  <si>
    <t>SMS</t>
  </si>
  <si>
    <t>Via médecin</t>
  </si>
  <si>
    <t>SMS - Mail - Via médecin</t>
  </si>
  <si>
    <t>Courrier</t>
  </si>
  <si>
    <t>Mail</t>
  </si>
  <si>
    <t>Mail - Courrier</t>
  </si>
  <si>
    <t>Courrier - Téléphone</t>
  </si>
  <si>
    <t>Mail - Via médecin</t>
  </si>
  <si>
    <t>Courrier 05/08: demande envoi visite inclusion patients 1 et 2</t>
  </si>
  <si>
    <t>Courrier 05/08: demande envoi visite inclusion patient 1</t>
  </si>
  <si>
    <t>SMS - Mail</t>
  </si>
  <si>
    <t>04sept: Rentre à peine de vacances. Compte s'y mettre à partir de mon appel. Va donc essayer d'inclure un ou plusieurs patients</t>
  </si>
  <si>
    <t>04sept: 1 patient, va continuer les inclusions. Questionnaire inclusion patient 1 non reçu: va le renvoyer.</t>
  </si>
  <si>
    <t>11sept: 1 seul patient inclus, Le Dr en inclura si des patients se presentent à elle.</t>
  </si>
  <si>
    <t>19sept: Dr souhaite etre reappro. 2 cahiers envoyés</t>
  </si>
  <si>
    <t>WFRM01877850</t>
  </si>
  <si>
    <t>BOUZIT Nadia</t>
  </si>
  <si>
    <t>Colonne1</t>
  </si>
  <si>
    <t>fait savoir par le biais de sa secrétaire que le patient 3 vient juste de commencer son traitement</t>
  </si>
  <si>
    <t>16juin15 : Le Dr PINCEMAILLE vient de se rendre compte qu'elle avait oublié de nous retourner tous ses visites tardives qui ont été faites il y a 2 mois et demande si ce n'est pas trop tard =&gt; oui elle peut nous les renvoyer pas de soucis elles seront bie</t>
  </si>
  <si>
    <t>Téléphone</t>
  </si>
</sst>
</file>

<file path=xl/styles.xml><?xml version="1.0" encoding="utf-8"?>
<styleSheet xmlns="http://schemas.openxmlformats.org/spreadsheetml/2006/main">
  <numFmts count="1">
    <numFmt numFmtId="164" formatCode="dd/mm/yy;@"/>
  </numFmts>
  <fonts count="31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46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11" fillId="0" borderId="0" xfId="2" applyFill="1" applyAlignment="1" applyProtection="1">
      <alignment horizontal="center" vertical="center" wrapText="1"/>
    </xf>
    <xf numFmtId="22" fontId="0" fillId="0" borderId="0" xfId="0" applyNumberFormat="1" applyFill="1" applyAlignment="1">
      <alignment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 wrapText="1"/>
    </xf>
    <xf numFmtId="0" fontId="30" fillId="0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6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62"/>
      <tableStyleElement type="headerRow" dxfId="361"/>
      <tableStyleElement type="totalRow" dxfId="360"/>
      <tableStyleElement type="firstColumn" dxfId="359"/>
      <tableStyleElement type="lastColumn" dxfId="358"/>
      <tableStyleElement type="firstRowStripe" dxfId="357"/>
      <tableStyleElement type="secondRowStripe" dxfId="356"/>
      <tableStyleElement type="firstColumnStripe" dxfId="355"/>
      <tableStyleElement type="secondColumnStripe" dxfId="354"/>
    </tableStyle>
    <tableStyle name="TableStyleLight8 2" pivot="0" count="9">
      <tableStyleElement type="wholeTable" dxfId="353"/>
      <tableStyleElement type="headerRow" dxfId="352"/>
      <tableStyleElement type="totalRow" dxfId="351"/>
      <tableStyleElement type="firstColumn" dxfId="350"/>
      <tableStyleElement type="lastColumn" dxfId="349"/>
      <tableStyleElement type="firstRowStripe" dxfId="348"/>
      <tableStyleElement type="secondRowStripe" dxfId="347"/>
      <tableStyleElement type="firstColumnStripe" dxfId="346"/>
      <tableStyleElement type="secondColumnStripe" dxfId="34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4" tableType="queryTable" totalsRowCount="1" headerRowDxfId="344" dataDxfId="343">
  <tableColumns count="12">
    <tableColumn id="1" uniqueName="1" name="Code Secteur" queryTableFieldId="1" dataDxfId="331" totalsRowDxfId="332"/>
    <tableColumn id="2" uniqueName="2" name="VM" queryTableFieldId="2" dataDxfId="330" totalsRowDxfId="333"/>
    <tableColumn id="3" uniqueName="3" name="Code médecin" totalsRowLabel="TOTAL" queryTableFieldId="3" dataDxfId="329" totalsRowDxfId="334" dataCellStyle="Lien hypertexte"/>
    <tableColumn id="4" uniqueName="4" name="Medecin" totalsRowFunction="custom" queryTableFieldId="4" dataDxfId="328" totalsRowDxfId="335">
      <totalsRowFormula>SUBTOTAL(3,D8:D23)</totalsRowFormula>
    </tableColumn>
    <tableColumn id="5" uniqueName="5" name="Date de réception convention financière" totalsRowFunction="custom" queryTableFieldId="5" dataDxfId="327" totalsRowDxfId="336">
      <totalsRowFormula>SUBTOTAL(3,[Date de réception convention financière])</totalsRowFormula>
    </tableColumn>
    <tableColumn id="6" uniqueName="6" name="Date de réception AR kit" totalsRowFunction="custom" queryTableFieldId="6" dataDxfId="326" totalsRowDxfId="337">
      <totalsRowFormula>SUBTOTAL(3,[Date de réception AR kit])</totalsRowFormula>
    </tableColumn>
    <tableColumn id="7" uniqueName="7" name="Date de MEP" totalsRowFunction="custom" queryTableFieldId="7" dataDxfId="325" totalsRowDxfId="338">
      <totalsRowFormula>SUBTOTAL(3,[Date de MEP])</totalsRowFormula>
    </tableColumn>
    <tableColumn id="8" uniqueName="8" name="Desistement" totalsRowFunction="custom" queryTableFieldId="8" dataDxfId="324" totalsRowDxfId="339">
      <totalsRowFormula>SUBTOTAL(3,[Desistement])</totalsRowFormula>
    </tableColumn>
    <tableColumn id="9" uniqueName="9" name="Nb Total Patients inclus" totalsRowFunction="custom" queryTableFieldId="9" dataDxfId="323" totalsRowDxfId="340">
      <totalsRowFormula>SUBTOTAL(109,I8:I23)</totalsRowFormula>
    </tableColumn>
    <tableColumn id="10" uniqueName="10" name="Comptes-rendus contact médecin-GECEM" queryTableFieldId="10" dataDxfId="322" totalsRowDxfId="341"/>
    <tableColumn id="11" uniqueName="11" name="Date" queryTableFieldId="11" dataDxfId="321" totalsRowDxfId="342"/>
    <tableColumn id="12" uniqueName="12" name="Colonne1" queryTableFieldId="12" dataDxfId="32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3" name="Tableau_Lancer_la_requête_à_partir_de_MS_Access_Database4567891014" displayName="Tableau_Lancer_la_requête_à_partir_de_MS_Access_Database4567891014" ref="B9:U12" tableType="queryTable" totalsRowShown="0">
  <autoFilter ref="B9:U12"/>
  <tableColumns count="20">
    <tableColumn id="1" uniqueName="1" name="Num_Centre" queryTableFieldId="1" dataDxfId="319"/>
    <tableColumn id="2" uniqueName="2" name="Investigateur" queryTableFieldId="2" dataDxfId="318"/>
    <tableColumn id="3" uniqueName="3" name="Num_Patient" queryTableFieldId="3" dataDxfId="317"/>
    <tableColumn id="4" uniqueName="4" name="INCLUSION_Visite" queryTableFieldId="4" dataDxfId="316"/>
    <tableColumn id="5" uniqueName="5" name="INCLUSION_Reception" queryTableFieldId="5" dataDxfId="315"/>
    <tableColumn id="6" uniqueName="6" name="AQINCLUSION_Reception" queryTableFieldId="6" dataDxfId="314"/>
    <tableColumn id="7" uniqueName="7" name="CONTACT_Reception" queryTableFieldId="7" dataDxfId="313"/>
    <tableColumn id="8" uniqueName="8" name="TypeRappel" queryTableFieldId="8" dataDxfId="312"/>
    <tableColumn id="9" uniqueName="9" name="AQ7Theo" queryTableFieldId="9" dataDxfId="311"/>
    <tableColumn id="10" uniqueName="10" name="AQJ7_Reception" queryTableFieldId="10" dataDxfId="310"/>
    <tableColumn id="11" uniqueName="11" name="AQ_M2_Theo" queryTableFieldId="11" dataDxfId="309"/>
    <tableColumn id="12" uniqueName="12" name="AQM2_Reception" queryTableFieldId="12" dataDxfId="308"/>
    <tableColumn id="13" uniqueName="13" name="VP_Theo" queryTableFieldId="13" dataDxfId="307"/>
    <tableColumn id="14" uniqueName="14" name="PRECOCE_Visite" queryTableFieldId="14" dataDxfId="306"/>
    <tableColumn id="15" uniqueName="15" name="PRECOCE_Reception" queryTableFieldId="15" dataDxfId="305"/>
    <tableColumn id="16" uniqueName="16" name="VT_Theo" queryTableFieldId="16" dataDxfId="304"/>
    <tableColumn id="17" uniqueName="17" name="TARDIF_Visite" queryTableFieldId="17" dataDxfId="303"/>
    <tableColumn id="18" uniqueName="18" name="TARDIF_Reception" queryTableFieldId="18" dataDxfId="302"/>
    <tableColumn id="19" uniqueName="19" name="Onekey" queryTableFieldId="19" dataDxfId="301"/>
    <tableColumn id="20" uniqueName="20" name="Date" queryTableFieldId="20" dataDxfId="3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7" name="Tableau_Lancer_la_requête_à_partir_de_MS_Access_Database456789101418" displayName="Tableau_Lancer_la_requête_à_partir_de_MS_Access_Database456789101418" ref="B9:U12" tableType="queryTable" totalsRowShown="0">
  <autoFilter ref="B9:U12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6" name="Tableau_Lancer_la_requête_à_partir_de_MS_Access_Database4567891017" displayName="Tableau_Lancer_la_requête_à_partir_de_MS_Access_Database4567891017" ref="B9:U16" tableType="queryTable" totalsRowShown="0">
  <autoFilter ref="B9:U16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4" name="Tableau_Lancer_la_requête_à_partir_de_MS_Access_Database4567891015" displayName="Tableau_Lancer_la_requête_à_partir_de_MS_Access_Database4567891015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5" name="Tableau_Lancer_la_requête_à_partir_de_MS_Access_Database456789101116" displayName="Tableau_Lancer_la_requête_à_partir_de_MS_Access_Database456789101116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2" name="Tableau_Lancer_la_requête_à_partir_de_MS_Access_Database4567891013" displayName="Tableau_Lancer_la_requête_à_partir_de_MS_Access_Database4567891013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6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$A$23</f>
        <v>DE0206</v>
      </c>
      <c r="G2" s="129" t="str">
        <f>$B$23</f>
        <v>DEROT Caroline</v>
      </c>
      <c r="H2" s="129"/>
      <c r="I2" s="129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$K$23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45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112</v>
      </c>
    </row>
    <row r="8" spans="1:17" s="98" customFormat="1" ht="30">
      <c r="A8" s="98" t="s">
        <v>59</v>
      </c>
      <c r="B8" s="98" t="s">
        <v>60</v>
      </c>
      <c r="C8" s="99" t="s">
        <v>83</v>
      </c>
      <c r="D8" s="100" t="s">
        <v>84</v>
      </c>
      <c r="E8" s="16">
        <v>41780</v>
      </c>
      <c r="F8" s="16">
        <v>41787</v>
      </c>
      <c r="G8" s="16">
        <v>41785</v>
      </c>
      <c r="H8" s="16"/>
      <c r="I8" s="15">
        <v>3</v>
      </c>
      <c r="J8" s="100" t="s">
        <v>90</v>
      </c>
      <c r="K8" s="101">
        <v>42306</v>
      </c>
    </row>
    <row r="9" spans="1:17" s="98" customFormat="1">
      <c r="A9" s="98" t="s">
        <v>59</v>
      </c>
      <c r="B9" s="98" t="s">
        <v>60</v>
      </c>
      <c r="C9" s="99" t="s">
        <v>110</v>
      </c>
      <c r="D9" s="100" t="s">
        <v>111</v>
      </c>
      <c r="E9" s="16">
        <v>41950</v>
      </c>
      <c r="F9" s="16">
        <v>41964</v>
      </c>
      <c r="G9" s="16">
        <v>41957</v>
      </c>
      <c r="H9" s="16"/>
      <c r="I9" s="15">
        <v>3</v>
      </c>
      <c r="J9" s="100"/>
      <c r="K9" s="101">
        <v>42306</v>
      </c>
    </row>
    <row r="10" spans="1:17" s="98" customFormat="1" ht="30">
      <c r="A10" s="98" t="s">
        <v>59</v>
      </c>
      <c r="B10" s="98" t="s">
        <v>60</v>
      </c>
      <c r="C10" s="99" t="s">
        <v>61</v>
      </c>
      <c r="D10" s="100" t="s">
        <v>62</v>
      </c>
      <c r="E10" s="16">
        <v>41698</v>
      </c>
      <c r="F10" s="16">
        <v>41758</v>
      </c>
      <c r="G10" s="16">
        <v>41754</v>
      </c>
      <c r="H10" s="16"/>
      <c r="I10" s="15">
        <v>5</v>
      </c>
      <c r="J10" s="100" t="s">
        <v>89</v>
      </c>
      <c r="K10" s="101">
        <v>42306</v>
      </c>
    </row>
    <row r="11" spans="1:17" s="98" customFormat="1" ht="30">
      <c r="A11" s="98" t="s">
        <v>59</v>
      </c>
      <c r="B11" s="98" t="s">
        <v>60</v>
      </c>
      <c r="C11" s="99" t="s">
        <v>63</v>
      </c>
      <c r="D11" s="100" t="s">
        <v>64</v>
      </c>
      <c r="E11" s="16">
        <v>41701</v>
      </c>
      <c r="F11" s="16">
        <v>41753</v>
      </c>
      <c r="G11" s="16">
        <v>41751</v>
      </c>
      <c r="H11" s="16"/>
      <c r="I11" s="15">
        <v>1</v>
      </c>
      <c r="J11" s="100" t="s">
        <v>87</v>
      </c>
      <c r="K11" s="101">
        <v>42306</v>
      </c>
    </row>
    <row r="12" spans="1:17" s="122" customFormat="1">
      <c r="A12" s="122" t="s">
        <v>59</v>
      </c>
      <c r="B12" s="122" t="s">
        <v>60</v>
      </c>
      <c r="C12" s="123" t="s">
        <v>93</v>
      </c>
      <c r="D12" s="124" t="s">
        <v>94</v>
      </c>
      <c r="E12" s="125">
        <v>41821</v>
      </c>
      <c r="F12" s="125">
        <v>41829</v>
      </c>
      <c r="G12" s="125">
        <v>41828</v>
      </c>
      <c r="H12" s="125"/>
      <c r="I12" s="126">
        <v>7</v>
      </c>
      <c r="J12" s="124"/>
      <c r="K12" s="127">
        <v>42306</v>
      </c>
      <c r="L12" s="128"/>
    </row>
    <row r="13" spans="1:17" s="98" customFormat="1">
      <c r="A13" s="98" t="s">
        <v>59</v>
      </c>
      <c r="B13" s="98" t="s">
        <v>60</v>
      </c>
      <c r="C13" s="99" t="s">
        <v>65</v>
      </c>
      <c r="D13" s="100" t="s">
        <v>66</v>
      </c>
      <c r="E13" s="16">
        <v>41704</v>
      </c>
      <c r="F13" s="16">
        <v>41751</v>
      </c>
      <c r="G13" s="16">
        <v>41746</v>
      </c>
      <c r="H13" s="16"/>
      <c r="I13" s="15">
        <v>3</v>
      </c>
      <c r="J13" s="100"/>
      <c r="K13" s="101">
        <v>42306</v>
      </c>
    </row>
    <row r="14" spans="1:17" s="98" customFormat="1" ht="30">
      <c r="A14" s="98" t="s">
        <v>59</v>
      </c>
      <c r="B14" s="98" t="s">
        <v>60</v>
      </c>
      <c r="C14" s="99" t="s">
        <v>67</v>
      </c>
      <c r="D14" s="100" t="s">
        <v>68</v>
      </c>
      <c r="E14" s="16">
        <v>41701</v>
      </c>
      <c r="F14" s="16">
        <v>41751</v>
      </c>
      <c r="G14" s="16">
        <v>41746</v>
      </c>
      <c r="H14" s="16"/>
      <c r="I14" s="15">
        <v>2</v>
      </c>
      <c r="J14" s="100" t="s">
        <v>108</v>
      </c>
      <c r="K14" s="101">
        <v>42306</v>
      </c>
    </row>
    <row r="15" spans="1:17" s="98" customFormat="1">
      <c r="A15" s="98" t="s">
        <v>59</v>
      </c>
      <c r="B15" s="98" t="s">
        <v>60</v>
      </c>
      <c r="C15" s="99" t="s">
        <v>69</v>
      </c>
      <c r="D15" s="100" t="s">
        <v>70</v>
      </c>
      <c r="E15" s="16">
        <v>41701</v>
      </c>
      <c r="F15" s="16">
        <v>41761</v>
      </c>
      <c r="G15" s="16">
        <v>41758</v>
      </c>
      <c r="H15" s="16"/>
      <c r="I15" s="15">
        <v>4</v>
      </c>
      <c r="J15" s="100" t="s">
        <v>109</v>
      </c>
      <c r="K15" s="101">
        <v>42306</v>
      </c>
    </row>
    <row r="16" spans="1:17" s="98" customFormat="1">
      <c r="A16" s="98" t="s">
        <v>59</v>
      </c>
      <c r="B16" s="98" t="s">
        <v>60</v>
      </c>
      <c r="C16" s="99" t="s">
        <v>80</v>
      </c>
      <c r="D16" s="100" t="s">
        <v>79</v>
      </c>
      <c r="E16" s="16">
        <v>41775</v>
      </c>
      <c r="F16" s="16">
        <v>41785</v>
      </c>
      <c r="G16" s="16">
        <v>41781</v>
      </c>
      <c r="H16" s="16"/>
      <c r="I16" s="15">
        <v>2</v>
      </c>
      <c r="J16" s="100" t="s">
        <v>103</v>
      </c>
      <c r="K16" s="101">
        <v>42306</v>
      </c>
    </row>
    <row r="17" spans="1:12" s="98" customFormat="1">
      <c r="A17" s="98" t="s">
        <v>59</v>
      </c>
      <c r="B17" s="98" t="s">
        <v>60</v>
      </c>
      <c r="C17" s="99" t="s">
        <v>71</v>
      </c>
      <c r="D17" s="100" t="s">
        <v>72</v>
      </c>
      <c r="E17" s="16">
        <v>41743</v>
      </c>
      <c r="F17" s="16">
        <v>41761</v>
      </c>
      <c r="G17" s="16">
        <v>41758</v>
      </c>
      <c r="H17" s="16"/>
      <c r="I17" s="15">
        <v>1</v>
      </c>
      <c r="J17" s="100"/>
      <c r="K17" s="101">
        <v>42306</v>
      </c>
    </row>
    <row r="18" spans="1:12" s="98" customFormat="1" ht="30">
      <c r="A18" s="98" t="s">
        <v>59</v>
      </c>
      <c r="B18" s="98" t="s">
        <v>60</v>
      </c>
      <c r="C18" s="99" t="s">
        <v>73</v>
      </c>
      <c r="D18" s="100" t="s">
        <v>74</v>
      </c>
      <c r="E18" s="16">
        <v>41712</v>
      </c>
      <c r="F18" s="16">
        <v>41753</v>
      </c>
      <c r="G18" s="16">
        <v>41751</v>
      </c>
      <c r="H18" s="16"/>
      <c r="I18" s="15">
        <v>4</v>
      </c>
      <c r="J18" s="100" t="s">
        <v>113</v>
      </c>
      <c r="K18" s="101">
        <v>42306</v>
      </c>
    </row>
    <row r="19" spans="1:12" s="98" customFormat="1">
      <c r="A19" s="98" t="s">
        <v>59</v>
      </c>
      <c r="B19" s="98" t="s">
        <v>60</v>
      </c>
      <c r="C19" s="99" t="s">
        <v>85</v>
      </c>
      <c r="D19" s="100" t="s">
        <v>86</v>
      </c>
      <c r="E19" s="16">
        <v>41786</v>
      </c>
      <c r="F19" s="16">
        <v>41806</v>
      </c>
      <c r="G19" s="16">
        <v>41800</v>
      </c>
      <c r="H19" s="16"/>
      <c r="I19" s="15">
        <v>3</v>
      </c>
      <c r="J19" s="100" t="s">
        <v>104</v>
      </c>
      <c r="K19" s="101">
        <v>42306</v>
      </c>
    </row>
    <row r="20" spans="1:12" s="98" customFormat="1" ht="60">
      <c r="A20" s="98" t="s">
        <v>59</v>
      </c>
      <c r="B20" s="98" t="s">
        <v>60</v>
      </c>
      <c r="C20" s="99" t="s">
        <v>78</v>
      </c>
      <c r="D20" s="100" t="s">
        <v>77</v>
      </c>
      <c r="E20" s="16">
        <v>41758</v>
      </c>
      <c r="F20" s="16">
        <v>41774</v>
      </c>
      <c r="G20" s="16">
        <v>41771</v>
      </c>
      <c r="H20" s="16"/>
      <c r="I20" s="15">
        <v>5</v>
      </c>
      <c r="J20" s="100" t="s">
        <v>114</v>
      </c>
      <c r="K20" s="101">
        <v>42306</v>
      </c>
    </row>
    <row r="21" spans="1:12" s="98" customFormat="1" ht="45">
      <c r="A21" s="98" t="s">
        <v>59</v>
      </c>
      <c r="B21" s="98" t="s">
        <v>60</v>
      </c>
      <c r="C21" s="99" t="s">
        <v>88</v>
      </c>
      <c r="D21" s="100" t="s">
        <v>91</v>
      </c>
      <c r="E21" s="16">
        <v>41796</v>
      </c>
      <c r="F21" s="16">
        <v>41817</v>
      </c>
      <c r="G21" s="16">
        <v>41816</v>
      </c>
      <c r="H21" s="16"/>
      <c r="I21" s="15">
        <v>3</v>
      </c>
      <c r="J21" s="100" t="s">
        <v>106</v>
      </c>
      <c r="K21" s="101">
        <v>42306</v>
      </c>
    </row>
    <row r="22" spans="1:12" ht="30">
      <c r="A22" s="98" t="s">
        <v>59</v>
      </c>
      <c r="B22" s="98" t="s">
        <v>60</v>
      </c>
      <c r="C22" s="99" t="s">
        <v>81</v>
      </c>
      <c r="D22" s="100" t="s">
        <v>82</v>
      </c>
      <c r="E22" s="16">
        <v>41779</v>
      </c>
      <c r="F22" s="16">
        <v>41794</v>
      </c>
      <c r="G22" s="16">
        <v>41786</v>
      </c>
      <c r="H22" s="16"/>
      <c r="I22" s="15">
        <v>2</v>
      </c>
      <c r="J22" s="100" t="s">
        <v>107</v>
      </c>
      <c r="K22" s="101">
        <v>42306</v>
      </c>
      <c r="L22" s="98"/>
    </row>
    <row r="23" spans="1:12" ht="30">
      <c r="A23" s="98" t="s">
        <v>59</v>
      </c>
      <c r="B23" s="98" t="s">
        <v>60</v>
      </c>
      <c r="C23" s="99" t="s">
        <v>75</v>
      </c>
      <c r="D23" s="100" t="s">
        <v>76</v>
      </c>
      <c r="E23" s="16">
        <v>41724</v>
      </c>
      <c r="F23" s="16">
        <v>41751</v>
      </c>
      <c r="G23" s="16">
        <v>41743</v>
      </c>
      <c r="H23" s="16"/>
      <c r="I23" s="15">
        <v>3</v>
      </c>
      <c r="J23" s="100" t="s">
        <v>92</v>
      </c>
      <c r="K23" s="101">
        <v>42306</v>
      </c>
      <c r="L23" s="98"/>
    </row>
    <row r="24" spans="1:12">
      <c r="A24" s="28"/>
      <c r="B24" s="28"/>
      <c r="C24" s="27" t="s">
        <v>15</v>
      </c>
      <c r="D24" s="33">
        <f>SUBTOTAL(3,D8:D23)</f>
        <v>16</v>
      </c>
      <c r="E24" s="33">
        <f>SUBTOTAL(3,[Date de réception convention financière])</f>
        <v>16</v>
      </c>
      <c r="F24" s="33">
        <f>SUBTOTAL(3,[Date de réception AR kit])</f>
        <v>16</v>
      </c>
      <c r="G24" s="33">
        <f>SUBTOTAL(3,[Date de MEP])</f>
        <v>16</v>
      </c>
      <c r="H24" s="102">
        <f>SUBTOTAL(3,[Desistement])</f>
        <v>0</v>
      </c>
      <c r="I24" s="27">
        <f>SUBTOTAL(109,I8:I23)</f>
        <v>51</v>
      </c>
      <c r="J24" s="31"/>
      <c r="K24" s="32"/>
    </row>
    <row r="25" spans="1:12">
      <c r="D25" s="10"/>
      <c r="J25" s="10"/>
    </row>
    <row r="26" spans="1:12">
      <c r="C26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>
      <selection activeCell="H17" sqref="H1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300</v>
      </c>
      <c r="N4" s="143" t="str">
        <f>$C$12</f>
        <v>BERTRAND Carole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300</v>
      </c>
      <c r="C10" s="42" t="s">
        <v>84</v>
      </c>
      <c r="D10" s="19">
        <v>1</v>
      </c>
      <c r="E10" s="25">
        <v>41808</v>
      </c>
      <c r="F10" s="25">
        <v>41813</v>
      </c>
      <c r="G10" s="25">
        <v>41813</v>
      </c>
      <c r="H10" s="25">
        <v>41810</v>
      </c>
      <c r="I10" s="74" t="s">
        <v>95</v>
      </c>
      <c r="J10" s="25">
        <v>41820</v>
      </c>
      <c r="K10" s="25"/>
      <c r="L10" s="25">
        <v>41879</v>
      </c>
      <c r="M10" s="25"/>
      <c r="N10" s="25">
        <v>41928</v>
      </c>
      <c r="O10" s="25"/>
      <c r="P10" s="25"/>
      <c r="Q10" s="25">
        <v>42173</v>
      </c>
      <c r="R10" s="25"/>
      <c r="S10" s="25"/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3">
        <v>300</v>
      </c>
      <c r="C11" s="84" t="s">
        <v>84</v>
      </c>
      <c r="D11" s="19">
        <v>2</v>
      </c>
      <c r="E11" s="25">
        <v>41858</v>
      </c>
      <c r="F11" s="25">
        <v>41862</v>
      </c>
      <c r="G11" s="25">
        <v>41862</v>
      </c>
      <c r="H11" s="25">
        <v>41862</v>
      </c>
      <c r="I11" s="74" t="s">
        <v>99</v>
      </c>
      <c r="J11" s="25">
        <v>41870</v>
      </c>
      <c r="K11" s="25">
        <v>41878</v>
      </c>
      <c r="L11" s="25">
        <v>41929</v>
      </c>
      <c r="M11" s="25">
        <v>41935</v>
      </c>
      <c r="N11" s="25">
        <v>41978</v>
      </c>
      <c r="O11" s="25">
        <v>41926</v>
      </c>
      <c r="P11" s="25">
        <v>41939</v>
      </c>
      <c r="Q11" s="25">
        <v>42223</v>
      </c>
      <c r="T11" s="84" t="s">
        <v>83</v>
      </c>
      <c r="U11" s="12">
        <v>42306</v>
      </c>
    </row>
    <row r="12" spans="2:48" ht="25.5">
      <c r="B12" s="83">
        <v>300</v>
      </c>
      <c r="C12" s="84" t="s">
        <v>84</v>
      </c>
      <c r="D12" s="19">
        <v>3</v>
      </c>
      <c r="E12" s="25">
        <v>41932</v>
      </c>
      <c r="F12" s="25">
        <v>41934</v>
      </c>
      <c r="G12" s="25">
        <v>41934</v>
      </c>
      <c r="H12" s="25">
        <v>41934</v>
      </c>
      <c r="I12" s="74" t="s">
        <v>99</v>
      </c>
      <c r="J12" s="25">
        <v>41944</v>
      </c>
      <c r="K12" s="25">
        <v>41978</v>
      </c>
      <c r="L12" s="25">
        <v>42003</v>
      </c>
      <c r="M12" s="25">
        <v>42009</v>
      </c>
      <c r="N12" s="25">
        <v>42052</v>
      </c>
      <c r="O12" s="25">
        <v>42019</v>
      </c>
      <c r="P12" s="25">
        <v>42024</v>
      </c>
      <c r="Q12" s="25">
        <v>42297</v>
      </c>
      <c r="T12" s="84" t="s">
        <v>83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11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117" t="s">
        <v>17</v>
      </c>
      <c r="M4" s="63">
        <f>$B$12</f>
        <v>440</v>
      </c>
      <c r="N4" s="143" t="str">
        <f>$C$12</f>
        <v>BOUZIT Nadia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9" t="s">
        <v>32</v>
      </c>
      <c r="M8" s="119" t="s">
        <v>31</v>
      </c>
      <c r="N8" s="118" t="s">
        <v>33</v>
      </c>
      <c r="O8" s="118" t="s">
        <v>34</v>
      </c>
      <c r="P8" s="11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440</v>
      </c>
      <c r="C10" s="42" t="s">
        <v>111</v>
      </c>
      <c r="D10" s="19">
        <v>1</v>
      </c>
      <c r="E10" s="25">
        <v>41962</v>
      </c>
      <c r="F10" s="25">
        <v>41967</v>
      </c>
      <c r="G10" s="25">
        <v>41967</v>
      </c>
      <c r="H10" s="25">
        <v>41963</v>
      </c>
      <c r="I10" s="113" t="s">
        <v>99</v>
      </c>
      <c r="J10" s="25">
        <v>41974</v>
      </c>
      <c r="K10" s="25">
        <v>41989</v>
      </c>
      <c r="L10" s="25">
        <v>42033</v>
      </c>
      <c r="M10" s="25">
        <v>42041</v>
      </c>
      <c r="N10" s="25">
        <v>42082</v>
      </c>
      <c r="O10" s="25">
        <v>42027</v>
      </c>
      <c r="P10" s="25">
        <v>42062</v>
      </c>
      <c r="Q10" s="25">
        <v>42327</v>
      </c>
      <c r="R10" s="25">
        <v>42158</v>
      </c>
      <c r="S10" s="25">
        <v>42164</v>
      </c>
      <c r="T10" s="42" t="s">
        <v>110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20">
        <v>440</v>
      </c>
      <c r="C11" s="121" t="s">
        <v>111</v>
      </c>
      <c r="D11" s="19">
        <v>2</v>
      </c>
      <c r="E11" s="25">
        <v>41975</v>
      </c>
      <c r="F11" s="25">
        <v>41978</v>
      </c>
      <c r="G11" s="25">
        <v>41978</v>
      </c>
      <c r="H11" s="25">
        <v>41978</v>
      </c>
      <c r="I11" s="113" t="s">
        <v>99</v>
      </c>
      <c r="J11" s="25">
        <v>41987</v>
      </c>
      <c r="K11" s="25">
        <v>42016</v>
      </c>
      <c r="L11" s="25">
        <v>42046</v>
      </c>
      <c r="M11" s="25">
        <v>42066</v>
      </c>
      <c r="N11" s="25">
        <v>42095</v>
      </c>
      <c r="O11" s="25">
        <v>42094</v>
      </c>
      <c r="P11" s="25">
        <v>42101</v>
      </c>
      <c r="Q11" s="25">
        <v>42340</v>
      </c>
      <c r="T11" s="121" t="s">
        <v>110</v>
      </c>
      <c r="U11" s="12">
        <v>42306</v>
      </c>
    </row>
    <row r="12" spans="2:48" ht="25.5">
      <c r="B12" s="120">
        <v>440</v>
      </c>
      <c r="C12" s="121" t="s">
        <v>111</v>
      </c>
      <c r="D12" s="19">
        <v>3</v>
      </c>
      <c r="E12" s="25">
        <v>41981</v>
      </c>
      <c r="F12" s="25">
        <v>41984</v>
      </c>
      <c r="G12" s="25">
        <v>41984</v>
      </c>
      <c r="H12" s="25">
        <v>41984</v>
      </c>
      <c r="I12" s="113" t="s">
        <v>98</v>
      </c>
      <c r="J12" s="25">
        <v>41993</v>
      </c>
      <c r="K12" s="25">
        <v>42020</v>
      </c>
      <c r="L12" s="25">
        <v>42052</v>
      </c>
      <c r="M12" s="25">
        <v>42074</v>
      </c>
      <c r="N12" s="25">
        <v>42101</v>
      </c>
      <c r="O12" s="25">
        <v>42072</v>
      </c>
      <c r="P12" s="25">
        <v>42074</v>
      </c>
      <c r="Q12" s="25">
        <v>42346</v>
      </c>
      <c r="R12" s="25">
        <v>42275</v>
      </c>
      <c r="S12" s="25">
        <v>42279</v>
      </c>
      <c r="T12" s="121" t="s">
        <v>110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$U$14</f>
        <v>42306</v>
      </c>
      <c r="G4" s="50"/>
      <c r="H4" s="50"/>
      <c r="I4" s="34"/>
      <c r="J4" s="50"/>
      <c r="K4" s="50"/>
      <c r="L4" s="57" t="s">
        <v>17</v>
      </c>
      <c r="M4" s="63">
        <f>$B$14</f>
        <v>135</v>
      </c>
      <c r="N4" s="143" t="str">
        <f>$C$14</f>
        <v>CARBONNEL-DELALANDE Elisabeth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135</v>
      </c>
      <c r="C10" s="42" t="s">
        <v>62</v>
      </c>
      <c r="D10" s="19">
        <v>1</v>
      </c>
      <c r="E10" s="25">
        <v>41771</v>
      </c>
      <c r="F10" s="25">
        <v>41778</v>
      </c>
      <c r="G10" s="25"/>
      <c r="H10" s="25">
        <v>41778</v>
      </c>
      <c r="I10" s="44" t="s">
        <v>96</v>
      </c>
      <c r="J10" s="25">
        <v>41783</v>
      </c>
      <c r="K10" s="25">
        <v>41838</v>
      </c>
      <c r="L10" s="25">
        <v>41842</v>
      </c>
      <c r="M10" s="25">
        <v>41844</v>
      </c>
      <c r="N10" s="25">
        <v>41891</v>
      </c>
      <c r="O10" s="25">
        <v>41835</v>
      </c>
      <c r="P10" s="25">
        <v>41838</v>
      </c>
      <c r="Q10" s="25">
        <v>42136</v>
      </c>
      <c r="R10" s="25">
        <v>41925</v>
      </c>
      <c r="S10" s="25">
        <v>41928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72">
        <v>135</v>
      </c>
      <c r="C11" s="73" t="s">
        <v>62</v>
      </c>
      <c r="D11" s="19">
        <v>2</v>
      </c>
      <c r="E11" s="25">
        <v>41772</v>
      </c>
      <c r="F11" s="25">
        <v>41778</v>
      </c>
      <c r="H11" s="25">
        <v>41778</v>
      </c>
      <c r="I11" s="74" t="s">
        <v>96</v>
      </c>
      <c r="J11" s="25">
        <v>41784</v>
      </c>
      <c r="K11" s="25">
        <v>41792</v>
      </c>
      <c r="L11" s="25">
        <v>41843</v>
      </c>
      <c r="M11" s="25">
        <v>41830</v>
      </c>
      <c r="N11" s="25">
        <v>41892</v>
      </c>
      <c r="O11" s="25">
        <v>41801</v>
      </c>
      <c r="P11" s="25">
        <v>41809</v>
      </c>
      <c r="Q11" s="25">
        <v>42137</v>
      </c>
      <c r="R11" s="25">
        <v>41899</v>
      </c>
      <c r="S11" s="25">
        <v>41904</v>
      </c>
      <c r="T11" s="73" t="s">
        <v>61</v>
      </c>
      <c r="U11" s="12">
        <v>42306</v>
      </c>
    </row>
    <row r="12" spans="2:48" ht="38.25">
      <c r="B12" s="72">
        <v>135</v>
      </c>
      <c r="C12" s="73" t="s">
        <v>62</v>
      </c>
      <c r="D12" s="19">
        <v>3</v>
      </c>
      <c r="E12" s="25">
        <v>41800</v>
      </c>
      <c r="F12" s="25">
        <v>41809</v>
      </c>
      <c r="H12" s="25">
        <v>41814</v>
      </c>
      <c r="I12" s="74" t="s">
        <v>97</v>
      </c>
      <c r="J12" s="25">
        <v>41812</v>
      </c>
      <c r="K12" s="25">
        <v>41814</v>
      </c>
      <c r="L12" s="25">
        <v>41871</v>
      </c>
      <c r="N12" s="25">
        <v>41920</v>
      </c>
      <c r="P12" s="25">
        <v>41820</v>
      </c>
      <c r="Q12" s="25">
        <v>42165</v>
      </c>
      <c r="R12" s="25">
        <v>41981</v>
      </c>
      <c r="S12" s="25">
        <v>41984</v>
      </c>
      <c r="T12" s="73" t="s">
        <v>61</v>
      </c>
      <c r="U12" s="12">
        <v>42306</v>
      </c>
    </row>
    <row r="13" spans="2:48" ht="38.25">
      <c r="B13" s="103">
        <v>135</v>
      </c>
      <c r="C13" s="104" t="s">
        <v>62</v>
      </c>
      <c r="D13" s="19">
        <v>4</v>
      </c>
      <c r="E13" s="25">
        <v>41813</v>
      </c>
      <c r="F13" s="25">
        <v>41820</v>
      </c>
      <c r="H13" s="25">
        <v>41820</v>
      </c>
      <c r="I13" s="74" t="s">
        <v>96</v>
      </c>
      <c r="J13" s="25">
        <v>41825</v>
      </c>
      <c r="L13" s="25">
        <v>41884</v>
      </c>
      <c r="M13" s="25">
        <v>41898</v>
      </c>
      <c r="N13" s="25">
        <v>41933</v>
      </c>
      <c r="O13" s="25">
        <v>41876</v>
      </c>
      <c r="P13" s="25">
        <v>41878</v>
      </c>
      <c r="Q13" s="25">
        <v>42178</v>
      </c>
      <c r="T13" s="104" t="s">
        <v>61</v>
      </c>
      <c r="U13" s="12">
        <v>42306</v>
      </c>
    </row>
    <row r="14" spans="2:48" ht="38.25">
      <c r="B14" s="103">
        <v>135</v>
      </c>
      <c r="C14" s="104" t="s">
        <v>62</v>
      </c>
      <c r="D14" s="19">
        <v>5</v>
      </c>
      <c r="E14" s="25">
        <v>41813</v>
      </c>
      <c r="F14" s="25">
        <v>41820</v>
      </c>
      <c r="H14" s="25">
        <v>41820</v>
      </c>
      <c r="I14" s="74" t="s">
        <v>96</v>
      </c>
      <c r="J14" s="25">
        <v>41825</v>
      </c>
      <c r="K14" s="25">
        <v>41843</v>
      </c>
      <c r="L14" s="25">
        <v>41884</v>
      </c>
      <c r="M14" s="25">
        <v>41918</v>
      </c>
      <c r="N14" s="25">
        <v>41933</v>
      </c>
      <c r="O14" s="25">
        <v>41876</v>
      </c>
      <c r="P14" s="25">
        <v>41878</v>
      </c>
      <c r="Q14" s="25">
        <v>42178</v>
      </c>
      <c r="R14" s="25">
        <v>41933</v>
      </c>
      <c r="S14" s="25">
        <v>41940</v>
      </c>
      <c r="T14" s="104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129</v>
      </c>
      <c r="N4" s="143" t="str">
        <f>$C$12</f>
        <v>COGNAT Thierry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129</v>
      </c>
      <c r="C10" s="42" t="s">
        <v>64</v>
      </c>
      <c r="D10" s="19">
        <v>1</v>
      </c>
      <c r="E10" s="25">
        <v>41814</v>
      </c>
      <c r="F10" s="25">
        <v>41820</v>
      </c>
      <c r="G10" s="25">
        <v>41820</v>
      </c>
      <c r="H10" s="25">
        <v>41820</v>
      </c>
      <c r="I10" s="44" t="s">
        <v>96</v>
      </c>
      <c r="J10" s="25">
        <v>41826</v>
      </c>
      <c r="K10" s="25">
        <v>41822</v>
      </c>
      <c r="L10" s="25">
        <v>41885</v>
      </c>
      <c r="M10" s="25">
        <v>41880</v>
      </c>
      <c r="N10" s="25">
        <v>41934</v>
      </c>
      <c r="O10" s="25">
        <v>41869</v>
      </c>
      <c r="P10" s="25">
        <v>41884</v>
      </c>
      <c r="Q10" s="25">
        <v>42179</v>
      </c>
      <c r="R10" s="25">
        <v>41953</v>
      </c>
      <c r="S10" s="25">
        <v>41957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129</v>
      </c>
      <c r="C11" s="73" t="s">
        <v>64</v>
      </c>
      <c r="D11" s="19">
        <v>2</v>
      </c>
      <c r="I11" s="74" t="s">
        <v>57</v>
      </c>
      <c r="T11" s="73" t="s">
        <v>63</v>
      </c>
      <c r="U11" s="12">
        <v>42306</v>
      </c>
    </row>
    <row r="12" spans="2:48" ht="25.5">
      <c r="B12" s="72">
        <v>129</v>
      </c>
      <c r="C12" s="73" t="s">
        <v>64</v>
      </c>
      <c r="D12" s="19">
        <v>3</v>
      </c>
      <c r="I12" s="74" t="s">
        <v>57</v>
      </c>
      <c r="T12" s="73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B1:AV16"/>
  <sheetViews>
    <sheetView workbookViewId="0">
      <selection activeCell="K25" sqref="K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10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$U$16</f>
        <v>42306</v>
      </c>
      <c r="G4" s="50"/>
      <c r="H4" s="50"/>
      <c r="I4" s="34"/>
      <c r="J4" s="50"/>
      <c r="K4" s="50"/>
      <c r="L4" s="110" t="s">
        <v>17</v>
      </c>
      <c r="M4" s="63">
        <f>$B$16</f>
        <v>377</v>
      </c>
      <c r="N4" s="143" t="str">
        <f>$C$16</f>
        <v>FERRIERE Carine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8" t="s">
        <v>32</v>
      </c>
      <c r="M8" s="108" t="s">
        <v>31</v>
      </c>
      <c r="N8" s="107" t="s">
        <v>33</v>
      </c>
      <c r="O8" s="107" t="s">
        <v>34</v>
      </c>
      <c r="P8" s="10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377</v>
      </c>
      <c r="C10" s="42" t="s">
        <v>94</v>
      </c>
      <c r="D10" s="19">
        <v>1</v>
      </c>
      <c r="E10" s="25">
        <v>41837</v>
      </c>
      <c r="F10" s="25">
        <v>41841</v>
      </c>
      <c r="G10" s="25">
        <v>41841</v>
      </c>
      <c r="H10" s="25">
        <v>41841</v>
      </c>
      <c r="I10" s="74" t="s">
        <v>96</v>
      </c>
      <c r="J10" s="25">
        <v>41849</v>
      </c>
      <c r="K10" s="25">
        <v>41926</v>
      </c>
      <c r="L10" s="25">
        <v>41908</v>
      </c>
      <c r="M10" s="25">
        <v>41983</v>
      </c>
      <c r="N10" s="25">
        <v>41957</v>
      </c>
      <c r="O10" s="25">
        <v>41929</v>
      </c>
      <c r="P10" s="25">
        <v>41936</v>
      </c>
      <c r="Q10" s="25">
        <v>42202</v>
      </c>
      <c r="R10" s="25">
        <v>42123</v>
      </c>
      <c r="S10" s="25">
        <v>42130</v>
      </c>
      <c r="T10" s="42" t="s">
        <v>93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11">
        <v>377</v>
      </c>
      <c r="C11" s="112" t="s">
        <v>94</v>
      </c>
      <c r="D11" s="19">
        <v>2</v>
      </c>
      <c r="E11" s="25">
        <v>41873</v>
      </c>
      <c r="F11" s="25">
        <v>41880</v>
      </c>
      <c r="G11" s="25">
        <v>41880</v>
      </c>
      <c r="I11" s="113" t="s">
        <v>57</v>
      </c>
      <c r="J11" s="25">
        <v>41885</v>
      </c>
      <c r="K11" s="25">
        <v>41890</v>
      </c>
      <c r="L11" s="25">
        <v>41944</v>
      </c>
      <c r="M11" s="25">
        <v>41940</v>
      </c>
      <c r="N11" s="25">
        <v>41993</v>
      </c>
      <c r="O11" s="25">
        <v>41886</v>
      </c>
      <c r="P11" s="25">
        <v>41890</v>
      </c>
      <c r="Q11" s="25">
        <v>42238</v>
      </c>
      <c r="T11" s="112" t="s">
        <v>93</v>
      </c>
      <c r="U11" s="12">
        <v>42306</v>
      </c>
    </row>
    <row r="12" spans="2:48" ht="25.5">
      <c r="B12" s="111">
        <v>377</v>
      </c>
      <c r="C12" s="112" t="s">
        <v>94</v>
      </c>
      <c r="D12" s="19">
        <v>3</v>
      </c>
      <c r="E12" s="25">
        <v>41870</v>
      </c>
      <c r="F12" s="25">
        <v>41879</v>
      </c>
      <c r="G12" s="25">
        <v>41879</v>
      </c>
      <c r="H12" s="25">
        <v>41879</v>
      </c>
      <c r="I12" s="113" t="s">
        <v>105</v>
      </c>
      <c r="J12" s="25">
        <v>41882</v>
      </c>
      <c r="K12" s="25">
        <v>41884</v>
      </c>
      <c r="L12" s="25">
        <v>41941</v>
      </c>
      <c r="M12" s="25">
        <v>41922</v>
      </c>
      <c r="N12" s="25">
        <v>41990</v>
      </c>
      <c r="O12" s="25">
        <v>41879</v>
      </c>
      <c r="P12" s="25">
        <v>41885</v>
      </c>
      <c r="Q12" s="25">
        <v>42235</v>
      </c>
      <c r="R12" s="25">
        <v>41968</v>
      </c>
      <c r="S12" s="25">
        <v>41970</v>
      </c>
      <c r="T12" s="112" t="s">
        <v>93</v>
      </c>
      <c r="U12" s="12">
        <v>42306</v>
      </c>
    </row>
    <row r="13" spans="2:48" ht="25.5">
      <c r="B13" s="43">
        <v>377</v>
      </c>
      <c r="C13" s="97" t="s">
        <v>94</v>
      </c>
      <c r="D13" s="19">
        <v>4</v>
      </c>
      <c r="E13" s="25">
        <v>41929</v>
      </c>
      <c r="F13" s="25">
        <v>41934</v>
      </c>
      <c r="G13" s="25">
        <v>41934</v>
      </c>
      <c r="H13" s="25">
        <v>41934</v>
      </c>
      <c r="I13" s="113" t="s">
        <v>98</v>
      </c>
      <c r="J13" s="25">
        <v>41941</v>
      </c>
      <c r="K13" s="25">
        <v>41989</v>
      </c>
      <c r="L13" s="25">
        <v>42000</v>
      </c>
      <c r="M13" s="25">
        <v>41989</v>
      </c>
      <c r="N13" s="25">
        <v>42049</v>
      </c>
      <c r="O13" s="25">
        <v>41995</v>
      </c>
      <c r="P13" s="25">
        <v>42002</v>
      </c>
      <c r="Q13" s="25">
        <v>42294</v>
      </c>
      <c r="T13" s="97" t="s">
        <v>93</v>
      </c>
      <c r="U13" s="12">
        <v>42306</v>
      </c>
    </row>
    <row r="14" spans="2:48" ht="25.5">
      <c r="B14" s="43">
        <v>377</v>
      </c>
      <c r="C14" s="97" t="s">
        <v>94</v>
      </c>
      <c r="D14" s="19">
        <v>5</v>
      </c>
      <c r="E14" s="25">
        <v>41921</v>
      </c>
      <c r="F14" s="25">
        <v>41922</v>
      </c>
      <c r="G14" s="25">
        <v>41922</v>
      </c>
      <c r="H14" s="25">
        <v>41922</v>
      </c>
      <c r="I14" s="113" t="s">
        <v>96</v>
      </c>
      <c r="J14" s="25">
        <v>41933</v>
      </c>
      <c r="K14" s="25">
        <v>42003</v>
      </c>
      <c r="L14" s="25">
        <v>41992</v>
      </c>
      <c r="N14" s="25">
        <v>42041</v>
      </c>
      <c r="O14" s="25">
        <v>42046</v>
      </c>
      <c r="P14" s="25">
        <v>42048</v>
      </c>
      <c r="Q14" s="25">
        <v>42286</v>
      </c>
      <c r="R14" s="25">
        <v>42144</v>
      </c>
      <c r="S14" s="25">
        <v>42150</v>
      </c>
      <c r="T14" s="97" t="s">
        <v>93</v>
      </c>
      <c r="U14" s="12">
        <v>42306</v>
      </c>
    </row>
    <row r="15" spans="2:48" ht="25.5">
      <c r="B15" s="120">
        <v>377</v>
      </c>
      <c r="C15" s="121" t="s">
        <v>94</v>
      </c>
      <c r="D15" s="19">
        <v>6</v>
      </c>
      <c r="E15" s="25">
        <v>42013</v>
      </c>
      <c r="F15" s="25">
        <v>42017</v>
      </c>
      <c r="G15" s="25">
        <v>42017</v>
      </c>
      <c r="H15" s="25">
        <v>42017</v>
      </c>
      <c r="I15" s="113" t="s">
        <v>96</v>
      </c>
      <c r="J15" s="25">
        <v>42025</v>
      </c>
      <c r="K15" s="25">
        <v>42031</v>
      </c>
      <c r="L15" s="25">
        <v>42084</v>
      </c>
      <c r="M15" s="25">
        <v>42074</v>
      </c>
      <c r="N15" s="25">
        <v>42133</v>
      </c>
      <c r="O15" s="25">
        <v>42072</v>
      </c>
      <c r="P15" s="25">
        <v>42074</v>
      </c>
      <c r="Q15" s="25">
        <v>42378</v>
      </c>
      <c r="R15" s="25">
        <v>42156</v>
      </c>
      <c r="S15" s="25">
        <v>42158</v>
      </c>
      <c r="T15" s="121" t="s">
        <v>93</v>
      </c>
      <c r="U15" s="12">
        <v>42306</v>
      </c>
    </row>
    <row r="16" spans="2:48" ht="25.5">
      <c r="B16" s="120">
        <v>377</v>
      </c>
      <c r="C16" s="121" t="s">
        <v>94</v>
      </c>
      <c r="D16" s="19">
        <v>7</v>
      </c>
      <c r="E16" s="25">
        <v>42027</v>
      </c>
      <c r="F16" s="25">
        <v>42032</v>
      </c>
      <c r="G16" s="25">
        <v>42032</v>
      </c>
      <c r="H16" s="25">
        <v>42032</v>
      </c>
      <c r="I16" s="113" t="s">
        <v>96</v>
      </c>
      <c r="J16" s="25">
        <v>42039</v>
      </c>
      <c r="K16" s="25">
        <v>42046</v>
      </c>
      <c r="L16" s="25">
        <v>42098</v>
      </c>
      <c r="N16" s="25">
        <v>42147</v>
      </c>
      <c r="Q16" s="25">
        <v>42392</v>
      </c>
      <c r="T16" s="121" t="s">
        <v>93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134</v>
      </c>
      <c r="N4" s="143" t="str">
        <f>$C$12</f>
        <v>GACHON-LANIER Emilie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134</v>
      </c>
      <c r="C10" s="42" t="s">
        <v>66</v>
      </c>
      <c r="D10" s="19">
        <v>1</v>
      </c>
      <c r="E10" s="25">
        <v>41746</v>
      </c>
      <c r="F10" s="25">
        <v>41757</v>
      </c>
      <c r="G10" s="25">
        <v>41757</v>
      </c>
      <c r="H10" s="25"/>
      <c r="I10" s="44" t="s">
        <v>57</v>
      </c>
      <c r="J10" s="25">
        <v>41758</v>
      </c>
      <c r="K10" s="25"/>
      <c r="L10" s="25">
        <v>41817</v>
      </c>
      <c r="M10" s="25"/>
      <c r="N10" s="25">
        <v>41866</v>
      </c>
      <c r="O10" s="25">
        <v>41779</v>
      </c>
      <c r="P10" s="25">
        <v>41914</v>
      </c>
      <c r="Q10" s="25">
        <v>42111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134</v>
      </c>
      <c r="C11" s="73" t="s">
        <v>66</v>
      </c>
      <c r="D11" s="19">
        <v>2</v>
      </c>
      <c r="E11" s="25">
        <v>41746</v>
      </c>
      <c r="F11" s="25">
        <v>41757</v>
      </c>
      <c r="G11" s="25">
        <v>41757</v>
      </c>
      <c r="I11" s="74" t="s">
        <v>57</v>
      </c>
      <c r="J11" s="25">
        <v>41758</v>
      </c>
      <c r="L11" s="25">
        <v>41817</v>
      </c>
      <c r="N11" s="25">
        <v>41866</v>
      </c>
      <c r="Q11" s="25">
        <v>42111</v>
      </c>
      <c r="T11" s="73" t="s">
        <v>65</v>
      </c>
      <c r="U11" s="12">
        <v>42306</v>
      </c>
    </row>
    <row r="12" spans="2:48" ht="25.5">
      <c r="B12" s="72">
        <v>134</v>
      </c>
      <c r="C12" s="73" t="s">
        <v>66</v>
      </c>
      <c r="D12" s="19">
        <v>3</v>
      </c>
      <c r="E12" s="25">
        <v>41732</v>
      </c>
      <c r="F12" s="25">
        <v>41757</v>
      </c>
      <c r="G12" s="25">
        <v>41757</v>
      </c>
      <c r="I12" s="74" t="s">
        <v>57</v>
      </c>
      <c r="J12" s="25">
        <v>41744</v>
      </c>
      <c r="K12" s="25">
        <v>41778</v>
      </c>
      <c r="L12" s="25">
        <v>41803</v>
      </c>
      <c r="M12" s="25">
        <v>41778</v>
      </c>
      <c r="N12" s="25">
        <v>41852</v>
      </c>
      <c r="O12" s="25">
        <v>41771</v>
      </c>
      <c r="P12" s="25">
        <v>41970</v>
      </c>
      <c r="Q12" s="25">
        <v>42097</v>
      </c>
      <c r="R12" s="25">
        <v>41960</v>
      </c>
      <c r="S12" s="25">
        <v>41970</v>
      </c>
      <c r="T12" s="73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133</v>
      </c>
      <c r="N4" s="143" t="str">
        <f>$C$12</f>
        <v>GENVO Marie-Françoise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133</v>
      </c>
      <c r="C10" s="42" t="s">
        <v>68</v>
      </c>
      <c r="D10" s="19">
        <v>1</v>
      </c>
      <c r="E10" s="25">
        <v>41746</v>
      </c>
      <c r="F10" s="25">
        <v>41794</v>
      </c>
      <c r="G10" s="25"/>
      <c r="H10" s="25">
        <v>41806</v>
      </c>
      <c r="I10" s="44" t="s">
        <v>98</v>
      </c>
      <c r="J10" s="25">
        <v>41758</v>
      </c>
      <c r="K10" s="25">
        <v>41794</v>
      </c>
      <c r="L10" s="25">
        <v>41817</v>
      </c>
      <c r="M10" s="25">
        <v>41813</v>
      </c>
      <c r="N10" s="25">
        <v>41866</v>
      </c>
      <c r="O10" s="25">
        <v>41792</v>
      </c>
      <c r="P10" s="25">
        <v>41794</v>
      </c>
      <c r="Q10" s="25">
        <v>42111</v>
      </c>
      <c r="R10" s="25">
        <v>41904</v>
      </c>
      <c r="S10" s="25">
        <v>41907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133</v>
      </c>
      <c r="C11" s="73" t="s">
        <v>68</v>
      </c>
      <c r="D11" s="19">
        <v>2</v>
      </c>
      <c r="E11" s="25">
        <v>41905</v>
      </c>
      <c r="F11" s="25">
        <v>41908</v>
      </c>
      <c r="H11" s="25">
        <v>41919</v>
      </c>
      <c r="I11" s="74" t="s">
        <v>95</v>
      </c>
      <c r="J11" s="25">
        <v>41917</v>
      </c>
      <c r="K11" s="25">
        <v>41919</v>
      </c>
      <c r="L11" s="25">
        <v>41976</v>
      </c>
      <c r="M11" s="25">
        <v>41977</v>
      </c>
      <c r="N11" s="25">
        <v>42025</v>
      </c>
      <c r="O11" s="25">
        <v>41962</v>
      </c>
      <c r="P11" s="25">
        <v>41964</v>
      </c>
      <c r="Q11" s="25">
        <v>42270</v>
      </c>
      <c r="T11" s="73" t="s">
        <v>67</v>
      </c>
      <c r="U11" s="12">
        <v>42306</v>
      </c>
    </row>
    <row r="12" spans="2:48" ht="25.5">
      <c r="B12" s="72">
        <v>133</v>
      </c>
      <c r="C12" s="73" t="s">
        <v>68</v>
      </c>
      <c r="D12" s="19">
        <v>3</v>
      </c>
      <c r="I12" s="74" t="s">
        <v>57</v>
      </c>
      <c r="T12" s="73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136</v>
      </c>
      <c r="N4" s="143" t="str">
        <f>$C$14</f>
        <v>JACQUEMIER Daniel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136</v>
      </c>
      <c r="C10" s="42" t="s">
        <v>70</v>
      </c>
      <c r="D10" s="19">
        <v>1</v>
      </c>
      <c r="E10" s="25">
        <v>41776</v>
      </c>
      <c r="F10" s="25">
        <v>41779</v>
      </c>
      <c r="G10" s="25">
        <v>41787</v>
      </c>
      <c r="H10" s="25">
        <v>41781</v>
      </c>
      <c r="I10" s="74" t="s">
        <v>99</v>
      </c>
      <c r="J10" s="25">
        <v>41788</v>
      </c>
      <c r="K10" s="25">
        <v>41787</v>
      </c>
      <c r="L10" s="25">
        <v>41847</v>
      </c>
      <c r="M10" s="25">
        <v>41859</v>
      </c>
      <c r="N10" s="25">
        <v>41896</v>
      </c>
      <c r="O10" s="25"/>
      <c r="P10" s="25"/>
      <c r="Q10" s="25">
        <v>42141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3">
        <v>136</v>
      </c>
      <c r="C11" s="84" t="s">
        <v>70</v>
      </c>
      <c r="D11" s="19">
        <v>2</v>
      </c>
      <c r="E11" s="25">
        <v>41782</v>
      </c>
      <c r="F11" s="25">
        <v>41785</v>
      </c>
      <c r="G11" s="25">
        <v>41785</v>
      </c>
      <c r="I11" s="74" t="s">
        <v>57</v>
      </c>
      <c r="J11" s="25">
        <v>41794</v>
      </c>
      <c r="K11" s="25">
        <v>41796</v>
      </c>
      <c r="L11" s="25">
        <v>41853</v>
      </c>
      <c r="M11" s="25">
        <v>41855</v>
      </c>
      <c r="N11" s="25">
        <v>41902</v>
      </c>
      <c r="Q11" s="25">
        <v>42147</v>
      </c>
      <c r="T11" s="84" t="s">
        <v>69</v>
      </c>
      <c r="U11" s="12">
        <v>42306</v>
      </c>
    </row>
    <row r="12" spans="2:48" ht="25.5">
      <c r="B12" s="83">
        <v>136</v>
      </c>
      <c r="C12" s="84" t="s">
        <v>70</v>
      </c>
      <c r="D12" s="19">
        <v>3</v>
      </c>
      <c r="E12" s="25">
        <v>41785</v>
      </c>
      <c r="F12" s="25">
        <v>41807</v>
      </c>
      <c r="G12" s="25">
        <v>41807</v>
      </c>
      <c r="H12" s="25">
        <v>41801</v>
      </c>
      <c r="I12" s="113" t="s">
        <v>96</v>
      </c>
      <c r="J12" s="25">
        <v>41797</v>
      </c>
      <c r="K12" s="25">
        <v>41801</v>
      </c>
      <c r="L12" s="25">
        <v>41856</v>
      </c>
      <c r="M12" s="25">
        <v>41849</v>
      </c>
      <c r="N12" s="25">
        <v>41905</v>
      </c>
      <c r="Q12" s="25">
        <v>42150</v>
      </c>
      <c r="T12" s="84" t="s">
        <v>69</v>
      </c>
      <c r="U12" s="12">
        <v>42306</v>
      </c>
    </row>
    <row r="13" spans="2:48" ht="25.5">
      <c r="B13" s="114">
        <v>136</v>
      </c>
      <c r="C13" s="115" t="s">
        <v>70</v>
      </c>
      <c r="D13" s="19">
        <v>4</v>
      </c>
      <c r="E13" s="25">
        <v>41906</v>
      </c>
      <c r="F13" s="25">
        <v>41913</v>
      </c>
      <c r="H13" s="25">
        <v>41913</v>
      </c>
      <c r="I13" s="113" t="s">
        <v>96</v>
      </c>
      <c r="J13" s="25">
        <v>41918</v>
      </c>
      <c r="L13" s="25">
        <v>41977</v>
      </c>
      <c r="N13" s="25">
        <v>42026</v>
      </c>
      <c r="Q13" s="25">
        <v>42271</v>
      </c>
      <c r="T13" s="115" t="s">
        <v>69</v>
      </c>
      <c r="U13" s="12">
        <v>42306</v>
      </c>
    </row>
    <row r="14" spans="2:48" ht="25.5">
      <c r="B14" s="114">
        <v>136</v>
      </c>
      <c r="C14" s="115" t="s">
        <v>70</v>
      </c>
      <c r="D14" s="19">
        <v>5</v>
      </c>
      <c r="I14" s="113" t="s">
        <v>57</v>
      </c>
      <c r="T14" s="115" t="s">
        <v>69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76" t="s">
        <v>17</v>
      </c>
      <c r="M4" s="63">
        <f>$B$12</f>
        <v>293</v>
      </c>
      <c r="N4" s="143" t="str">
        <f>$C$12</f>
        <v>LUAUTE-MARCILLY Marie-Cécile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293</v>
      </c>
      <c r="C10" s="42" t="s">
        <v>79</v>
      </c>
      <c r="D10" s="19">
        <v>1</v>
      </c>
      <c r="E10" s="25">
        <v>41785</v>
      </c>
      <c r="F10" s="25">
        <v>42096</v>
      </c>
      <c r="G10" s="25">
        <v>42114</v>
      </c>
      <c r="H10" s="25">
        <v>41792</v>
      </c>
      <c r="I10" s="74" t="s">
        <v>100</v>
      </c>
      <c r="J10" s="25">
        <v>41797</v>
      </c>
      <c r="K10" s="25">
        <v>41796</v>
      </c>
      <c r="L10" s="25">
        <v>41856</v>
      </c>
      <c r="M10" s="25">
        <v>41851</v>
      </c>
      <c r="N10" s="25">
        <v>41905</v>
      </c>
      <c r="O10" s="25"/>
      <c r="P10" s="25"/>
      <c r="Q10" s="25">
        <v>42150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83">
        <v>293</v>
      </c>
      <c r="C11" s="84" t="s">
        <v>79</v>
      </c>
      <c r="D11" s="19">
        <v>2</v>
      </c>
      <c r="E11" s="25">
        <v>41725</v>
      </c>
      <c r="F11" s="25">
        <v>42096</v>
      </c>
      <c r="H11" s="25">
        <v>42101</v>
      </c>
      <c r="I11" s="74" t="s">
        <v>95</v>
      </c>
      <c r="J11" s="25">
        <v>41737</v>
      </c>
      <c r="K11" s="25">
        <v>41794</v>
      </c>
      <c r="L11" s="25">
        <v>41796</v>
      </c>
      <c r="M11" s="25">
        <v>41794</v>
      </c>
      <c r="N11" s="25">
        <v>41845</v>
      </c>
      <c r="O11" s="25">
        <v>41792</v>
      </c>
      <c r="P11" s="25">
        <v>42101</v>
      </c>
      <c r="Q11" s="25">
        <v>42090</v>
      </c>
      <c r="T11" s="84" t="s">
        <v>80</v>
      </c>
      <c r="U11" s="12">
        <v>42306</v>
      </c>
    </row>
    <row r="12" spans="2:48" ht="38.25">
      <c r="B12" s="83">
        <v>293</v>
      </c>
      <c r="C12" s="84" t="s">
        <v>79</v>
      </c>
      <c r="D12" s="19">
        <v>3</v>
      </c>
      <c r="I12" s="74" t="s">
        <v>57</v>
      </c>
      <c r="T12" s="84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131</v>
      </c>
      <c r="N4" s="143" t="str">
        <f>$C$12</f>
        <v>MARTIN Fabienne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131</v>
      </c>
      <c r="C10" s="42" t="s">
        <v>72</v>
      </c>
      <c r="D10" s="19">
        <v>1</v>
      </c>
      <c r="E10" s="25">
        <v>41771</v>
      </c>
      <c r="F10" s="25">
        <v>41774</v>
      </c>
      <c r="G10" s="25"/>
      <c r="H10" s="25">
        <v>41792</v>
      </c>
      <c r="I10" s="74" t="s">
        <v>98</v>
      </c>
      <c r="J10" s="25">
        <v>41783</v>
      </c>
      <c r="K10" s="25">
        <v>41792</v>
      </c>
      <c r="L10" s="25">
        <v>41842</v>
      </c>
      <c r="M10" s="25">
        <v>41851</v>
      </c>
      <c r="N10" s="25">
        <v>41891</v>
      </c>
      <c r="O10" s="25"/>
      <c r="P10" s="25"/>
      <c r="Q10" s="25">
        <v>42136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3">
        <v>131</v>
      </c>
      <c r="C11" s="84" t="s">
        <v>72</v>
      </c>
      <c r="D11" s="19">
        <v>2</v>
      </c>
      <c r="I11" s="74" t="s">
        <v>57</v>
      </c>
      <c r="T11" s="84" t="s">
        <v>71</v>
      </c>
      <c r="U11" s="12">
        <v>42306</v>
      </c>
    </row>
    <row r="12" spans="2:48" ht="25.5">
      <c r="B12" s="83">
        <v>131</v>
      </c>
      <c r="C12" s="84" t="s">
        <v>72</v>
      </c>
      <c r="D12" s="19">
        <v>3</v>
      </c>
      <c r="I12" s="74" t="s">
        <v>57</v>
      </c>
      <c r="T12" s="84" t="s">
        <v>71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130</v>
      </c>
      <c r="N4" s="143" t="str">
        <f>$C$14</f>
        <v>MIGUET Michèle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130</v>
      </c>
      <c r="C10" s="42" t="s">
        <v>74</v>
      </c>
      <c r="D10" s="19">
        <v>1</v>
      </c>
      <c r="E10" s="25">
        <v>41753</v>
      </c>
      <c r="F10" s="25">
        <v>41757</v>
      </c>
      <c r="G10" s="25">
        <v>41757</v>
      </c>
      <c r="H10" s="25">
        <v>41774</v>
      </c>
      <c r="I10" s="44" t="s">
        <v>96</v>
      </c>
      <c r="J10" s="25">
        <v>41765</v>
      </c>
      <c r="K10" s="25">
        <v>41774</v>
      </c>
      <c r="L10" s="25">
        <v>41824</v>
      </c>
      <c r="M10" s="25">
        <v>41822</v>
      </c>
      <c r="N10" s="25">
        <v>41873</v>
      </c>
      <c r="O10" s="25">
        <v>41830</v>
      </c>
      <c r="P10" s="25">
        <v>41837</v>
      </c>
      <c r="Q10" s="25">
        <v>42118</v>
      </c>
      <c r="R10" s="25">
        <v>41991</v>
      </c>
      <c r="S10" s="25">
        <v>42023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130</v>
      </c>
      <c r="C11" s="73" t="s">
        <v>74</v>
      </c>
      <c r="D11" s="19">
        <v>2</v>
      </c>
      <c r="E11" s="25">
        <v>41771</v>
      </c>
      <c r="F11" s="25">
        <v>41779</v>
      </c>
      <c r="G11" s="25">
        <v>41779</v>
      </c>
      <c r="I11" s="74" t="s">
        <v>57</v>
      </c>
      <c r="J11" s="25">
        <v>41783</v>
      </c>
      <c r="K11" s="25">
        <v>42011</v>
      </c>
      <c r="L11" s="25">
        <v>41842</v>
      </c>
      <c r="M11" s="25">
        <v>42011</v>
      </c>
      <c r="N11" s="25">
        <v>41891</v>
      </c>
      <c r="O11" s="25">
        <v>41806</v>
      </c>
      <c r="P11" s="25">
        <v>41808</v>
      </c>
      <c r="Q11" s="25">
        <v>42136</v>
      </c>
      <c r="R11" s="25">
        <v>41898</v>
      </c>
      <c r="S11" s="25">
        <v>41907</v>
      </c>
      <c r="T11" s="73" t="s">
        <v>73</v>
      </c>
      <c r="U11" s="12">
        <v>42306</v>
      </c>
    </row>
    <row r="12" spans="2:48" ht="25.5">
      <c r="B12" s="72">
        <v>130</v>
      </c>
      <c r="C12" s="73" t="s">
        <v>74</v>
      </c>
      <c r="D12" s="19">
        <v>3</v>
      </c>
      <c r="E12" s="25">
        <v>41779</v>
      </c>
      <c r="F12" s="25">
        <v>41786</v>
      </c>
      <c r="G12" s="25">
        <v>41786</v>
      </c>
      <c r="H12" s="25">
        <v>42193</v>
      </c>
      <c r="I12" s="74" t="s">
        <v>115</v>
      </c>
      <c r="J12" s="25">
        <v>41791</v>
      </c>
      <c r="K12" s="25">
        <v>42192</v>
      </c>
      <c r="L12" s="25">
        <v>41850</v>
      </c>
      <c r="N12" s="25">
        <v>41899</v>
      </c>
      <c r="O12" s="25">
        <v>42248</v>
      </c>
      <c r="P12" s="25">
        <v>42256</v>
      </c>
      <c r="Q12" s="25">
        <v>42144</v>
      </c>
      <c r="T12" s="73" t="s">
        <v>73</v>
      </c>
      <c r="U12" s="12">
        <v>42306</v>
      </c>
    </row>
    <row r="13" spans="2:48" ht="25.5">
      <c r="B13" s="83">
        <v>130</v>
      </c>
      <c r="C13" s="84" t="s">
        <v>74</v>
      </c>
      <c r="D13" s="19">
        <v>4</v>
      </c>
      <c r="E13" s="25">
        <v>41894</v>
      </c>
      <c r="F13" s="25">
        <v>41905</v>
      </c>
      <c r="G13" s="25">
        <v>41905</v>
      </c>
      <c r="H13" s="25">
        <v>41901</v>
      </c>
      <c r="I13" s="74" t="s">
        <v>95</v>
      </c>
      <c r="J13" s="25">
        <v>41906</v>
      </c>
      <c r="K13" s="25">
        <v>41925</v>
      </c>
      <c r="L13" s="25">
        <v>41965</v>
      </c>
      <c r="M13" s="25">
        <v>41982</v>
      </c>
      <c r="N13" s="25">
        <v>42014</v>
      </c>
      <c r="O13" s="25">
        <v>41904</v>
      </c>
      <c r="P13" s="25">
        <v>41968</v>
      </c>
      <c r="Q13" s="25">
        <v>42259</v>
      </c>
      <c r="R13" s="25">
        <v>42086</v>
      </c>
      <c r="S13" s="25">
        <v>42109</v>
      </c>
      <c r="T13" s="84" t="s">
        <v>73</v>
      </c>
      <c r="U13" s="12">
        <v>42306</v>
      </c>
    </row>
    <row r="14" spans="2:48" ht="25.5">
      <c r="B14" s="83">
        <v>130</v>
      </c>
      <c r="C14" s="84" t="s">
        <v>74</v>
      </c>
      <c r="D14" s="19">
        <v>5</v>
      </c>
      <c r="I14" s="74" t="s">
        <v>57</v>
      </c>
      <c r="T14" s="84" t="s">
        <v>73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8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90" t="s">
        <v>17</v>
      </c>
      <c r="M4" s="63">
        <f>$B$12</f>
        <v>320</v>
      </c>
      <c r="N4" s="143" t="str">
        <f>$C$12</f>
        <v>MORLAIN Bernard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2" t="s">
        <v>32</v>
      </c>
      <c r="M8" s="92" t="s">
        <v>31</v>
      </c>
      <c r="N8" s="91" t="s">
        <v>33</v>
      </c>
      <c r="O8" s="91" t="s">
        <v>34</v>
      </c>
      <c r="P8" s="9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320</v>
      </c>
      <c r="C10" s="42" t="s">
        <v>86</v>
      </c>
      <c r="D10" s="19">
        <v>1</v>
      </c>
      <c r="E10" s="25">
        <v>41800</v>
      </c>
      <c r="F10" s="25">
        <v>41971</v>
      </c>
      <c r="G10" s="25">
        <v>41971</v>
      </c>
      <c r="H10" s="25"/>
      <c r="I10" s="74" t="s">
        <v>57</v>
      </c>
      <c r="J10" s="25">
        <v>41812</v>
      </c>
      <c r="K10" s="25">
        <v>41822</v>
      </c>
      <c r="L10" s="25">
        <v>41871</v>
      </c>
      <c r="M10" s="25">
        <v>41885</v>
      </c>
      <c r="N10" s="25">
        <v>41920</v>
      </c>
      <c r="O10" s="25">
        <v>41871</v>
      </c>
      <c r="P10" s="25">
        <v>41971</v>
      </c>
      <c r="Q10" s="25">
        <v>42165</v>
      </c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3">
        <v>320</v>
      </c>
      <c r="C11" s="104" t="s">
        <v>86</v>
      </c>
      <c r="D11" s="19">
        <v>2</v>
      </c>
      <c r="E11" s="25">
        <v>41801</v>
      </c>
      <c r="F11" s="25">
        <v>41971</v>
      </c>
      <c r="I11" s="74" t="s">
        <v>57</v>
      </c>
      <c r="J11" s="25">
        <v>41813</v>
      </c>
      <c r="L11" s="25">
        <v>41872</v>
      </c>
      <c r="N11" s="25">
        <v>41921</v>
      </c>
      <c r="Q11" s="25">
        <v>42166</v>
      </c>
      <c r="T11" s="104" t="s">
        <v>85</v>
      </c>
      <c r="U11" s="12">
        <v>42306</v>
      </c>
    </row>
    <row r="12" spans="2:48" ht="25.5">
      <c r="B12" s="103">
        <v>320</v>
      </c>
      <c r="C12" s="104" t="s">
        <v>86</v>
      </c>
      <c r="D12" s="19">
        <v>3</v>
      </c>
      <c r="E12" s="25">
        <v>41808</v>
      </c>
      <c r="F12" s="25">
        <v>41971</v>
      </c>
      <c r="I12" s="74" t="s">
        <v>57</v>
      </c>
      <c r="J12" s="25">
        <v>41820</v>
      </c>
      <c r="L12" s="25">
        <v>41879</v>
      </c>
      <c r="N12" s="25">
        <v>41928</v>
      </c>
      <c r="O12" s="25">
        <v>41815</v>
      </c>
      <c r="P12" s="25">
        <v>41971</v>
      </c>
      <c r="Q12" s="25">
        <v>42173</v>
      </c>
      <c r="T12" s="104" t="s">
        <v>85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3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280</v>
      </c>
      <c r="N4" s="143" t="str">
        <f>$C$14</f>
        <v>PINCEMAILLE Blandine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280</v>
      </c>
      <c r="C10" s="42" t="s">
        <v>77</v>
      </c>
      <c r="D10" s="19">
        <v>1</v>
      </c>
      <c r="E10" s="25">
        <v>41771</v>
      </c>
      <c r="F10" s="25">
        <v>41778</v>
      </c>
      <c r="G10" s="25">
        <v>41778</v>
      </c>
      <c r="H10" s="25">
        <v>41778</v>
      </c>
      <c r="I10" s="74" t="s">
        <v>95</v>
      </c>
      <c r="J10" s="25">
        <v>41783</v>
      </c>
      <c r="K10" s="25">
        <v>41785</v>
      </c>
      <c r="L10" s="25">
        <v>41842</v>
      </c>
      <c r="M10" s="25">
        <v>41837</v>
      </c>
      <c r="N10" s="25">
        <v>41891</v>
      </c>
      <c r="O10" s="25">
        <v>41883</v>
      </c>
      <c r="P10" s="25">
        <v>41886</v>
      </c>
      <c r="Q10" s="25">
        <v>42136</v>
      </c>
      <c r="R10" s="25">
        <v>42103</v>
      </c>
      <c r="S10" s="25">
        <v>42173</v>
      </c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3">
        <v>280</v>
      </c>
      <c r="C11" s="84" t="s">
        <v>77</v>
      </c>
      <c r="D11" s="19">
        <v>2</v>
      </c>
      <c r="E11" s="25">
        <v>41774</v>
      </c>
      <c r="F11" s="25">
        <v>41778</v>
      </c>
      <c r="G11" s="25">
        <v>41778</v>
      </c>
      <c r="H11" s="25">
        <v>41778</v>
      </c>
      <c r="I11" s="74" t="s">
        <v>101</v>
      </c>
      <c r="J11" s="25">
        <v>41786</v>
      </c>
      <c r="K11" s="25">
        <v>41869</v>
      </c>
      <c r="L11" s="25">
        <v>41845</v>
      </c>
      <c r="M11" s="25">
        <v>41869</v>
      </c>
      <c r="N11" s="25">
        <v>41894</v>
      </c>
      <c r="O11" s="25">
        <v>41897</v>
      </c>
      <c r="P11" s="25">
        <v>41900</v>
      </c>
      <c r="Q11" s="25">
        <v>42139</v>
      </c>
      <c r="R11" s="25">
        <v>41981</v>
      </c>
      <c r="S11" s="25">
        <v>41983</v>
      </c>
      <c r="T11" s="84" t="s">
        <v>78</v>
      </c>
      <c r="U11" s="12">
        <v>42306</v>
      </c>
    </row>
    <row r="12" spans="2:48" ht="25.5">
      <c r="B12" s="83">
        <v>280</v>
      </c>
      <c r="C12" s="84" t="s">
        <v>77</v>
      </c>
      <c r="D12" s="19">
        <v>3</v>
      </c>
      <c r="E12" s="25">
        <v>41778</v>
      </c>
      <c r="F12" s="25">
        <v>41780</v>
      </c>
      <c r="G12" s="25">
        <v>41780</v>
      </c>
      <c r="H12" s="25">
        <v>41780</v>
      </c>
      <c r="I12" s="74" t="s">
        <v>99</v>
      </c>
      <c r="J12" s="25">
        <v>41790</v>
      </c>
      <c r="K12" s="25">
        <v>41932</v>
      </c>
      <c r="L12" s="25">
        <v>41849</v>
      </c>
      <c r="M12" s="25">
        <v>42003</v>
      </c>
      <c r="N12" s="25">
        <v>41898</v>
      </c>
      <c r="O12" s="25">
        <v>42012</v>
      </c>
      <c r="P12" s="25">
        <v>42173</v>
      </c>
      <c r="Q12" s="25">
        <v>42143</v>
      </c>
      <c r="T12" s="84" t="s">
        <v>78</v>
      </c>
      <c r="U12" s="12">
        <v>42306</v>
      </c>
    </row>
    <row r="13" spans="2:48" ht="25.5">
      <c r="B13" s="83">
        <v>280</v>
      </c>
      <c r="C13" s="84" t="s">
        <v>77</v>
      </c>
      <c r="D13" s="19">
        <v>4</v>
      </c>
      <c r="E13" s="25">
        <v>41782</v>
      </c>
      <c r="F13" s="25">
        <v>41785</v>
      </c>
      <c r="G13" s="25">
        <v>41785</v>
      </c>
      <c r="H13" s="25">
        <v>41785</v>
      </c>
      <c r="I13" s="74" t="s">
        <v>102</v>
      </c>
      <c r="J13" s="25">
        <v>41794</v>
      </c>
      <c r="K13" s="25">
        <v>41857</v>
      </c>
      <c r="L13" s="25">
        <v>41853</v>
      </c>
      <c r="M13" s="25">
        <v>41911</v>
      </c>
      <c r="N13" s="25">
        <v>41902</v>
      </c>
      <c r="O13" s="25">
        <v>41894</v>
      </c>
      <c r="P13" s="25">
        <v>41898</v>
      </c>
      <c r="Q13" s="25">
        <v>42147</v>
      </c>
      <c r="R13" s="25">
        <v>41991</v>
      </c>
      <c r="S13" s="25">
        <v>42173</v>
      </c>
      <c r="T13" s="84" t="s">
        <v>78</v>
      </c>
      <c r="U13" s="12">
        <v>42306</v>
      </c>
    </row>
    <row r="14" spans="2:48" ht="25.5">
      <c r="B14" s="83">
        <v>280</v>
      </c>
      <c r="C14" s="84" t="s">
        <v>77</v>
      </c>
      <c r="D14" s="19">
        <v>5</v>
      </c>
      <c r="E14" s="25">
        <v>41785</v>
      </c>
      <c r="F14" s="25">
        <v>41792</v>
      </c>
      <c r="G14" s="25">
        <v>41792</v>
      </c>
      <c r="H14" s="25">
        <v>41792</v>
      </c>
      <c r="I14" s="74" t="s">
        <v>96</v>
      </c>
      <c r="J14" s="25">
        <v>41797</v>
      </c>
      <c r="K14" s="25">
        <v>41823</v>
      </c>
      <c r="L14" s="25">
        <v>41856</v>
      </c>
      <c r="M14" s="25">
        <v>41823</v>
      </c>
      <c r="N14" s="25">
        <v>41905</v>
      </c>
      <c r="O14" s="25">
        <v>41904</v>
      </c>
      <c r="P14" s="25">
        <v>41906</v>
      </c>
      <c r="Q14" s="25">
        <v>42150</v>
      </c>
      <c r="R14" s="25">
        <v>41967</v>
      </c>
      <c r="S14" s="25">
        <v>41970</v>
      </c>
      <c r="T14" s="84" t="s">
        <v>78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4"/>
  <dimension ref="B1:AV12"/>
  <sheetViews>
    <sheetView workbookViewId="0">
      <selection activeCell="J18" sqref="J18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9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94" t="s">
        <v>17</v>
      </c>
      <c r="M4" s="63">
        <f>$B$12</f>
        <v>344</v>
      </c>
      <c r="N4" s="143" t="str">
        <f>$C$12</f>
        <v>SAGOT-LE CALLENNEC Valérie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6" t="s">
        <v>32</v>
      </c>
      <c r="M8" s="96" t="s">
        <v>31</v>
      </c>
      <c r="N8" s="95" t="s">
        <v>33</v>
      </c>
      <c r="O8" s="95" t="s">
        <v>34</v>
      </c>
      <c r="P8" s="9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344</v>
      </c>
      <c r="C10" s="42" t="s">
        <v>91</v>
      </c>
      <c r="D10" s="19">
        <v>1</v>
      </c>
      <c r="E10" s="25">
        <v>41891</v>
      </c>
      <c r="F10" s="25">
        <v>41898</v>
      </c>
      <c r="G10" s="25">
        <v>41955</v>
      </c>
      <c r="H10" s="25">
        <v>41898</v>
      </c>
      <c r="I10" s="74" t="s">
        <v>98</v>
      </c>
      <c r="J10" s="25">
        <v>41903</v>
      </c>
      <c r="K10" s="25">
        <v>41915</v>
      </c>
      <c r="L10" s="25">
        <v>41962</v>
      </c>
      <c r="M10" s="25">
        <v>41955</v>
      </c>
      <c r="N10" s="25">
        <v>42011</v>
      </c>
      <c r="O10" s="25">
        <v>41950</v>
      </c>
      <c r="P10" s="25">
        <v>41955</v>
      </c>
      <c r="Q10" s="25">
        <v>42256</v>
      </c>
      <c r="R10" s="25">
        <v>42010</v>
      </c>
      <c r="S10" s="25">
        <v>42016</v>
      </c>
      <c r="T10" s="42" t="s">
        <v>88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105">
        <v>344</v>
      </c>
      <c r="C11" s="106" t="s">
        <v>91</v>
      </c>
      <c r="D11" s="19">
        <v>2</v>
      </c>
      <c r="E11" s="25">
        <v>41947</v>
      </c>
      <c r="F11" s="25">
        <v>42018</v>
      </c>
      <c r="G11" s="25">
        <v>42018</v>
      </c>
      <c r="I11" s="74" t="s">
        <v>57</v>
      </c>
      <c r="J11" s="25">
        <v>41959</v>
      </c>
      <c r="K11" s="25">
        <v>41961</v>
      </c>
      <c r="L11" s="25">
        <v>42018</v>
      </c>
      <c r="N11" s="25">
        <v>42067</v>
      </c>
      <c r="Q11" s="25">
        <v>42312</v>
      </c>
      <c r="R11" s="25">
        <v>42016</v>
      </c>
      <c r="S11" s="25">
        <v>42018</v>
      </c>
      <c r="T11" s="106" t="s">
        <v>88</v>
      </c>
      <c r="U11" s="12">
        <v>42306</v>
      </c>
    </row>
    <row r="12" spans="2:48" ht="38.25">
      <c r="B12" s="105">
        <v>344</v>
      </c>
      <c r="C12" s="106" t="s">
        <v>91</v>
      </c>
      <c r="D12" s="19">
        <v>3</v>
      </c>
      <c r="E12" s="25">
        <v>42026</v>
      </c>
      <c r="F12" s="25">
        <v>42031</v>
      </c>
      <c r="G12" s="25">
        <v>42031</v>
      </c>
      <c r="H12" s="25">
        <v>42031</v>
      </c>
      <c r="I12" s="74" t="s">
        <v>96</v>
      </c>
      <c r="J12" s="25">
        <v>42038</v>
      </c>
      <c r="L12" s="25">
        <v>42097</v>
      </c>
      <c r="M12" s="25">
        <v>42116</v>
      </c>
      <c r="N12" s="25">
        <v>42146</v>
      </c>
      <c r="Q12" s="25">
        <v>42391</v>
      </c>
      <c r="T12" s="106" t="s">
        <v>88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5"/>
  <dimension ref="B1:AV12"/>
  <sheetViews>
    <sheetView workbookViewId="0">
      <selection activeCell="K21" sqref="K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7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80" t="s">
        <v>17</v>
      </c>
      <c r="M4" s="63">
        <f>$B$12</f>
        <v>306</v>
      </c>
      <c r="N4" s="143" t="str">
        <f>$C$12</f>
        <v>SOUILLET Anne-Laure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2" t="s">
        <v>32</v>
      </c>
      <c r="M8" s="82" t="s">
        <v>31</v>
      </c>
      <c r="N8" s="81" t="s">
        <v>33</v>
      </c>
      <c r="O8" s="81" t="s">
        <v>34</v>
      </c>
      <c r="P8" s="8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306</v>
      </c>
      <c r="C10" s="42" t="s">
        <v>82</v>
      </c>
      <c r="D10" s="19">
        <v>1</v>
      </c>
      <c r="E10" s="25">
        <v>41807</v>
      </c>
      <c r="F10" s="25">
        <v>41904</v>
      </c>
      <c r="G10" s="25">
        <v>41817</v>
      </c>
      <c r="H10" s="25"/>
      <c r="I10" s="74" t="s">
        <v>57</v>
      </c>
      <c r="J10" s="25">
        <v>41819</v>
      </c>
      <c r="K10" s="25"/>
      <c r="L10" s="25">
        <v>41878</v>
      </c>
      <c r="M10" s="25"/>
      <c r="N10" s="25">
        <v>41927</v>
      </c>
      <c r="O10" s="25"/>
      <c r="P10" s="25"/>
      <c r="Q10" s="25">
        <v>42172</v>
      </c>
      <c r="R10" s="25"/>
      <c r="S10" s="25"/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306</v>
      </c>
      <c r="C11" s="97" t="s">
        <v>82</v>
      </c>
      <c r="D11" s="19">
        <v>2</v>
      </c>
      <c r="E11" s="25">
        <v>41905</v>
      </c>
      <c r="F11" s="25">
        <v>41911</v>
      </c>
      <c r="G11" s="25">
        <v>41911</v>
      </c>
      <c r="H11" s="25">
        <v>41907</v>
      </c>
      <c r="I11" s="74" t="s">
        <v>101</v>
      </c>
      <c r="J11" s="25">
        <v>41917</v>
      </c>
      <c r="K11" s="25">
        <v>41919</v>
      </c>
      <c r="L11" s="25">
        <v>41976</v>
      </c>
      <c r="M11" s="25">
        <v>41971</v>
      </c>
      <c r="N11" s="25">
        <v>42025</v>
      </c>
      <c r="O11" s="25">
        <v>41968</v>
      </c>
      <c r="P11" s="25">
        <v>41974</v>
      </c>
      <c r="Q11" s="25">
        <v>42270</v>
      </c>
      <c r="T11" s="97" t="s">
        <v>81</v>
      </c>
      <c r="U11" s="12">
        <v>42306</v>
      </c>
    </row>
    <row r="12" spans="2:48" ht="25.5">
      <c r="B12" s="43">
        <v>306</v>
      </c>
      <c r="C12" s="97" t="s">
        <v>82</v>
      </c>
      <c r="D12" s="19">
        <v>3</v>
      </c>
      <c r="I12" s="74" t="s">
        <v>57</v>
      </c>
      <c r="T12" s="97" t="s">
        <v>81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1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9" t="s">
        <v>16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41"/>
      <c r="M3" s="141"/>
      <c r="N3" s="14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42" t="s">
        <v>58</v>
      </c>
      <c r="E4" s="14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132</v>
      </c>
      <c r="N4" s="143" t="str">
        <f>$C$12</f>
        <v>VIALLARD Anne-Marie</v>
      </c>
      <c r="O4" s="143"/>
      <c r="P4" s="143"/>
      <c r="Q4" s="143"/>
      <c r="R4" s="14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4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30" t="s">
        <v>19</v>
      </c>
      <c r="F7" s="131"/>
      <c r="G7" s="131"/>
      <c r="H7" s="131"/>
      <c r="I7" s="131"/>
      <c r="J7" s="132" t="s">
        <v>20</v>
      </c>
      <c r="K7" s="133"/>
      <c r="L7" s="134" t="s">
        <v>21</v>
      </c>
      <c r="M7" s="134"/>
      <c r="N7" s="135" t="s">
        <v>22</v>
      </c>
      <c r="O7" s="136"/>
      <c r="P7" s="137"/>
      <c r="Q7" s="138" t="s">
        <v>23</v>
      </c>
      <c r="R7" s="136"/>
      <c r="S7" s="137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132</v>
      </c>
      <c r="C10" s="42" t="s">
        <v>76</v>
      </c>
      <c r="D10" s="19">
        <v>1</v>
      </c>
      <c r="E10" s="25">
        <v>41904</v>
      </c>
      <c r="F10" s="25">
        <v>41906</v>
      </c>
      <c r="G10" s="25">
        <v>41906</v>
      </c>
      <c r="H10" s="25">
        <v>41906</v>
      </c>
      <c r="I10" s="44" t="s">
        <v>96</v>
      </c>
      <c r="J10" s="25">
        <v>41916</v>
      </c>
      <c r="K10" s="25">
        <v>41913</v>
      </c>
      <c r="L10" s="25">
        <v>41975</v>
      </c>
      <c r="M10" s="25">
        <v>41967</v>
      </c>
      <c r="N10" s="25">
        <v>42024</v>
      </c>
      <c r="O10" s="25">
        <v>41989</v>
      </c>
      <c r="P10" s="25">
        <v>41992</v>
      </c>
      <c r="Q10" s="25">
        <v>42269</v>
      </c>
      <c r="R10" s="25">
        <v>42170</v>
      </c>
      <c r="S10" s="25">
        <v>42173</v>
      </c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132</v>
      </c>
      <c r="C11" s="73" t="s">
        <v>76</v>
      </c>
      <c r="D11" s="19">
        <v>2</v>
      </c>
      <c r="E11" s="25">
        <v>41942</v>
      </c>
      <c r="F11" s="25">
        <v>41950</v>
      </c>
      <c r="G11" s="25">
        <v>41950</v>
      </c>
      <c r="H11" s="25">
        <v>41950</v>
      </c>
      <c r="I11" s="74" t="s">
        <v>96</v>
      </c>
      <c r="J11" s="25">
        <v>41954</v>
      </c>
      <c r="K11" s="25">
        <v>41950</v>
      </c>
      <c r="L11" s="25">
        <v>42013</v>
      </c>
      <c r="M11" s="25">
        <v>42002</v>
      </c>
      <c r="N11" s="25">
        <v>42062</v>
      </c>
      <c r="O11" s="25">
        <v>42080</v>
      </c>
      <c r="P11" s="25">
        <v>42082</v>
      </c>
      <c r="Q11" s="25">
        <v>42307</v>
      </c>
      <c r="T11" s="73" t="s">
        <v>75</v>
      </c>
      <c r="U11" s="12">
        <v>42306</v>
      </c>
    </row>
    <row r="12" spans="2:48" ht="25.5">
      <c r="B12" s="72">
        <v>132</v>
      </c>
      <c r="C12" s="73" t="s">
        <v>76</v>
      </c>
      <c r="D12" s="19">
        <v>3</v>
      </c>
      <c r="E12" s="25">
        <v>41926</v>
      </c>
      <c r="F12" s="25">
        <v>41929</v>
      </c>
      <c r="G12" s="25">
        <v>41929</v>
      </c>
      <c r="H12" s="25">
        <v>41929</v>
      </c>
      <c r="I12" s="74" t="s">
        <v>96</v>
      </c>
      <c r="J12" s="25">
        <v>41938</v>
      </c>
      <c r="K12" s="25">
        <v>41947</v>
      </c>
      <c r="L12" s="25">
        <v>41997</v>
      </c>
      <c r="M12" s="25">
        <v>41995</v>
      </c>
      <c r="N12" s="25">
        <v>42046</v>
      </c>
      <c r="O12" s="25">
        <v>42013</v>
      </c>
      <c r="P12" s="25">
        <v>42030</v>
      </c>
      <c r="Q12" s="25">
        <v>42291</v>
      </c>
      <c r="T12" s="73" t="s">
        <v>75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Secteur DE0206</vt:lpstr>
      <vt:lpstr>00828852</vt:lpstr>
      <vt:lpstr>01877850</vt:lpstr>
      <vt:lpstr>06130480</vt:lpstr>
      <vt:lpstr>02092842</vt:lpstr>
      <vt:lpstr>02804106</vt:lpstr>
      <vt:lpstr>05775242</vt:lpstr>
      <vt:lpstr>03929258</vt:lpstr>
      <vt:lpstr>04753775</vt:lpstr>
      <vt:lpstr>06305023</vt:lpstr>
      <vt:lpstr>06303744</vt:lpstr>
      <vt:lpstr>06491520</vt:lpstr>
      <vt:lpstr>06666591</vt:lpstr>
      <vt:lpstr>07757864</vt:lpstr>
      <vt:lpstr>08477803</vt:lpstr>
      <vt:lpstr>08831779</vt:lpstr>
      <vt:lpstr>09559640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2015-10-29T22:02:05Z</dcterms:modified>
</cp:coreProperties>
</file>