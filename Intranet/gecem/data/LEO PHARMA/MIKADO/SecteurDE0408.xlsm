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408" sheetId="1" r:id="rId1"/>
    <sheet name="01133738" sheetId="2" r:id="rId2"/>
    <sheet name="05095617" sheetId="3" r:id="rId3"/>
    <sheet name="02549138" sheetId="4" r:id="rId4"/>
    <sheet name="02440342" sheetId="5" r:id="rId5"/>
    <sheet name="02667943" sheetId="6" r:id="rId6"/>
    <sheet name="05663455" sheetId="9" r:id="rId7"/>
    <sheet name="05944627" sheetId="7" r:id="rId8"/>
    <sheet name="05955032" sheetId="8" r:id="rId9"/>
    <sheet name="07963499" sheetId="10" r:id="rId10"/>
  </sheets>
  <definedNames>
    <definedName name="Lancer_la_requête_à_partir_de_MS_Access_Database" localSheetId="1" hidden="1">'01133738'!$B$9:$U$14</definedName>
    <definedName name="Lancer_la_requête_à_partir_de_MS_Access_Database" localSheetId="4" hidden="1">'02440342'!$B$9:$U$12</definedName>
    <definedName name="Lancer_la_requête_à_partir_de_MS_Access_Database" localSheetId="3" hidden="1">'02549138'!$B$9:$U$12</definedName>
    <definedName name="Lancer_la_requête_à_partir_de_MS_Access_Database" localSheetId="5" hidden="1">'02667943'!$B$9:$U$12</definedName>
    <definedName name="Lancer_la_requête_à_partir_de_MS_Access_Database" localSheetId="2" hidden="1">'05095617'!$B$9:$U$14</definedName>
    <definedName name="Lancer_la_requête_à_partir_de_MS_Access_Database" localSheetId="6" hidden="1">'05663455'!$B$9:$U$12</definedName>
    <definedName name="Lancer_la_requête_à_partir_de_MS_Access_Database" localSheetId="7" hidden="1">'05944627'!$B$9:$U$12</definedName>
    <definedName name="Lancer_la_requête_à_partir_de_MS_Access_Database" localSheetId="8" hidden="1">'05955032'!$B$9:$U$14</definedName>
    <definedName name="Lancer_la_requête_à_partir_de_MS_Access_Database" localSheetId="9" hidden="1">'07963499'!$B$9:$U$12</definedName>
    <definedName name="Lancer_la_requête_à_partir_de_MS_Access_Database_1" localSheetId="0" hidden="1">'Secteur DE0408'!$A$7:$K$16</definedName>
  </definedNames>
  <calcPr calcId="125725"/>
</workbook>
</file>

<file path=xl/calcChain.xml><?xml version="1.0" encoding="utf-8"?>
<calcChain xmlns="http://schemas.openxmlformats.org/spreadsheetml/2006/main">
  <c r="D17" i="1"/>
  <c r="E17"/>
  <c r="F17"/>
  <c r="G17"/>
  <c r="H17"/>
  <c r="I17"/>
  <c r="N4" i="10"/>
  <c r="M4"/>
  <c r="F4"/>
  <c r="N4" i="9"/>
  <c r="M4"/>
  <c r="F4"/>
  <c r="N4" i="8" l="1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8')_x000d__x000a_ORDER BY Req_REPORT_SECTEURS_GLOBAL.Medecin"/>
  </connection>
  <connection id="2" name="Lancer la requête à partir de MS Access Database011337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133738')"/>
  </connection>
  <connection id="3" name="Lancer la requête à partir de MS Access Database0244034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440342')"/>
  </connection>
  <connection id="4" name="Lancer la requête à partir de MS Access Database025491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549138')"/>
  </connection>
  <connection id="5" name="Lancer la requête à partir de MS Access Database026679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667943')"/>
  </connection>
  <connection id="6" name="Lancer la requête à partir de MS Access Database0509561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095617')"/>
  </connection>
  <connection id="7" name="Lancer la requête à partir de MS Access Database0566345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63455')"/>
  </connection>
  <connection id="8" name="Lancer la requête à partir de MS Access Database0594462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44627')"/>
  </connection>
  <connection id="9" name="Lancer la requête à partir de MS Access Database0595503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55032')"/>
  </connection>
  <connection id="10" name="Lancer la requête à partir de MS Access Database0796349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63499')"/>
  </connection>
</connections>
</file>

<file path=xl/sharedStrings.xml><?xml version="1.0" encoding="utf-8"?>
<sst xmlns="http://schemas.openxmlformats.org/spreadsheetml/2006/main" count="573" uniqueCount="97">
  <si>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</si>
  <si>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</si>
  <si>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</si>
  <si>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</si>
  <si>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</si>
  <si>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</si>
  <si>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</si>
  <si>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</si>
  <si>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</si>
  <si>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</si>
  <si>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</si>
  <si>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</si>
  <si>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</si>
  <si>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</si>
  <si>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</si>
  <si>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</si>
  <si>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</si>
  <si>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</si>
  <si>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</si>
  <si>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</si>
  <si>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</si>
  <si>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</si>
  <si>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</si>
  <si>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</si>
  <si>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</si>
  <si>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</si>
  <si>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</si>
  <si>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</si>
  <si>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</si>
  <si>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</si>
  <si>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</si>
  <si>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</si>
  <si>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</si>
  <si>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</si>
  <si>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</si>
  <si>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</si>
  <si>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</si>
  <si>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</si>
  <si>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</si>
  <si>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</si>
  <si>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</si>
  <si>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</si>
  <si>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</si>
  <si>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</si>
  <si>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</si>
  <si>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</si>
  <si>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</si>
  <si>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</si>
  <si>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</si>
  <si>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</si>
  <si>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</si>
  <si>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</si>
  <si>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</si>
  <si>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</si>
  <si>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</si>
  <si>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</si>
  <si>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</si>
  <si>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</si>
  <si>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</si>
  <si>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DE0408</t>
  </si>
  <si>
    <t>AKNIN Alexandre</t>
  </si>
  <si>
    <t>WFRM01133738</t>
  </si>
  <si>
    <t>BORIES Martine</t>
  </si>
  <si>
    <t>WFRM05095617</t>
  </si>
  <si>
    <t>COMBEAU Alain</t>
  </si>
  <si>
    <t>WFRM02549138</t>
  </si>
  <si>
    <t>DE LA CHAUSSEE-RUZZICA Isabelle</t>
  </si>
  <si>
    <t>WFRM02440342</t>
  </si>
  <si>
    <t>DOFFOEL-HANTZ Valérie</t>
  </si>
  <si>
    <t>WFRM02667943</t>
  </si>
  <si>
    <t>DURIEU Christelle</t>
  </si>
  <si>
    <t>WFRM05944627</t>
  </si>
  <si>
    <t>MADER Evelyne</t>
  </si>
  <si>
    <t>WFRM05955032</t>
  </si>
  <si>
    <t>MAGHIA Rémi</t>
  </si>
  <si>
    <t>14mai: Le Dr BORIES a inclus ses 3 patients et demande 2 CRF supplémentaires =&gt; envoi le 14/05/14</t>
  </si>
  <si>
    <t>WFRM05663455</t>
  </si>
  <si>
    <t>LEMOINE-JOURDAN Michèle</t>
  </si>
  <si>
    <t xml:space="preserve"> 19juin: A inclus 1 patient. A plus de patient en hiver. Quelque  Keratose éparse depuis avril.</t>
  </si>
  <si>
    <t>Courrier</t>
  </si>
  <si>
    <t>Courrier - Téléphone</t>
  </si>
  <si>
    <t>Via médecin</t>
  </si>
  <si>
    <t>SMS - Mail</t>
  </si>
  <si>
    <t>SMS</t>
  </si>
  <si>
    <t>SMS - Téléphone</t>
  </si>
  <si>
    <t>Courrier - Téléphone - Via médecin</t>
  </si>
  <si>
    <t>Téléphone</t>
  </si>
  <si>
    <t>Courrier 05/08: demande visite inclusion patient 2</t>
  </si>
  <si>
    <t>SMS - Mail - Courrier</t>
  </si>
  <si>
    <t>WFRM07963499</t>
  </si>
  <si>
    <t>ROGER Denis</t>
  </si>
  <si>
    <t>SMS - Mail - Via médecin</t>
  </si>
  <si>
    <t>19sept: Dr souhaite etre reappro. 2 cahiers envoyés</t>
  </si>
  <si>
    <t>Reste 2 patients à inclure</t>
  </si>
  <si>
    <t>Colonne1</t>
  </si>
  <si>
    <t>demande le renvoi visite inclusion patient 1790</t>
  </si>
  <si>
    <t>05sept: Le Dr souhaite stopper l'étude car beaucoup trop long à expliquer aux patients selon elle, en n'étant pas sûr qu'à la fin le patient la fasse jusqu'aù bout.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</si>
</sst>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1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5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15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14"/>
      <tableStyleElement type="headerRow" dxfId="213"/>
      <tableStyleElement type="totalRow" dxfId="212"/>
      <tableStyleElement type="firstColumn" dxfId="211"/>
      <tableStyleElement type="lastColumn" dxfId="210"/>
      <tableStyleElement type="firstRowStripe" dxfId="209"/>
      <tableStyleElement type="secondRowStripe" dxfId="208"/>
      <tableStyleElement type="firstColumnStripe" dxfId="207"/>
      <tableStyleElement type="secondColumnStripe" dxfId="206"/>
    </tableStyle>
    <tableStyle name="TableStyleLight8 2" pivot="0" count="9">
      <tableStyleElement type="wholeTable" dxfId="205"/>
      <tableStyleElement type="headerRow" dxfId="204"/>
      <tableStyleElement type="totalRow" dxfId="203"/>
      <tableStyleElement type="firstColumn" dxfId="202"/>
      <tableStyleElement type="lastColumn" dxfId="201"/>
      <tableStyleElement type="firstRowStripe" dxfId="200"/>
      <tableStyleElement type="secondRowStripe" dxfId="199"/>
      <tableStyleElement type="firstColumnStripe" dxfId="198"/>
      <tableStyleElement type="secondColumnStripe" dxfId="197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7" tableType="queryTable" totalsRowCount="1" headerRowDxfId="196" dataDxfId="195">
  <tableColumns count="12">
    <tableColumn id="1" uniqueName="1" name="Code Secteur" queryTableFieldId="1" dataDxfId="183" totalsRowDxfId="184"/>
    <tableColumn id="2" uniqueName="2" name="VM" queryTableFieldId="2" dataDxfId="182" totalsRowDxfId="185"/>
    <tableColumn id="3" uniqueName="3" name="Code médecin" totalsRowLabel="TOTAL" queryTableFieldId="3" dataDxfId="181" totalsRowDxfId="186" dataCellStyle="Lien hypertexte"/>
    <tableColumn id="4" uniqueName="4" name="Medecin" totalsRowFunction="custom" queryTableFieldId="4" dataDxfId="180" totalsRowDxfId="187">
      <totalsRowFormula>SUBTOTAL(3,D8:D16)</totalsRowFormula>
    </tableColumn>
    <tableColumn id="5" uniqueName="5" name="Date de réception convention financière" totalsRowFunction="custom" queryTableFieldId="5" dataDxfId="179" totalsRowDxfId="188">
      <totalsRowFormula>SUBTOTAL(3,[Date de réception convention financière])</totalsRowFormula>
    </tableColumn>
    <tableColumn id="6" uniqueName="6" name="Date de réception AR kit" totalsRowFunction="custom" queryTableFieldId="6" dataDxfId="178" totalsRowDxfId="189">
      <totalsRowFormula>SUBTOTAL(3,[Date de réception AR kit])</totalsRowFormula>
    </tableColumn>
    <tableColumn id="7" uniqueName="7" name="Date de MEP" totalsRowFunction="custom" queryTableFieldId="7" dataDxfId="177" totalsRowDxfId="190">
      <totalsRowFormula>SUBTOTAL(3,[Date de MEP])</totalsRowFormula>
    </tableColumn>
    <tableColumn id="8" uniqueName="8" name="Desistement" totalsRowFunction="custom" queryTableFieldId="8" dataDxfId="176" totalsRowDxfId="191">
      <totalsRowFormula>SUBTOTAL(3,[Desistement])</totalsRowFormula>
    </tableColumn>
    <tableColumn id="9" uniqueName="9" name="Nb Total Patients inclus" totalsRowFunction="custom" queryTableFieldId="9" dataDxfId="175" totalsRowDxfId="192">
      <totalsRowFormula>SUBTOTAL(109,I8:I16)</totalsRowFormula>
    </tableColumn>
    <tableColumn id="10" uniqueName="10" name="Comptes-rendus contact médecin-GECEM" queryTableFieldId="10" dataDxfId="174" totalsRowDxfId="193"/>
    <tableColumn id="11" uniqueName="11" name="Date" queryTableFieldId="11" dataDxfId="173" totalsRowDxfId="194"/>
    <tableColumn id="12" uniqueName="12" name="Colonne1" queryTableFieldId="12" dataDxfId="172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71"/>
    <tableColumn id="4" uniqueName="4" name="INCLUSION_Visite" queryTableFieldId="4" dataDxfId="170"/>
    <tableColumn id="5" uniqueName="5" name="INCLUSION_Reception" queryTableFieldId="5" dataDxfId="169"/>
    <tableColumn id="6" uniqueName="6" name="AQINCLUSION_Reception" queryTableFieldId="6" dataDxfId="168"/>
    <tableColumn id="7" uniqueName="7" name="CONTACT_Reception" queryTableFieldId="7" dataDxfId="167"/>
    <tableColumn id="8" uniqueName="8" name="TypeRappel" queryTableFieldId="8"/>
    <tableColumn id="9" uniqueName="9" name="AQ7Theo" queryTableFieldId="9" dataDxfId="166"/>
    <tableColumn id="10" uniqueName="10" name="AQJ7_Reception" queryTableFieldId="10" dataDxfId="165"/>
    <tableColumn id="11" uniqueName="11" name="AQ_M2_Theo" queryTableFieldId="11" dataDxfId="164"/>
    <tableColumn id="12" uniqueName="12" name="AQM2_Reception" queryTableFieldId="12" dataDxfId="163"/>
    <tableColumn id="13" uniqueName="13" name="VP_Theo" queryTableFieldId="13" dataDxfId="162"/>
    <tableColumn id="14" uniqueName="14" name="PRECOCE_Visite" queryTableFieldId="14" dataDxfId="161"/>
    <tableColumn id="15" uniqueName="15" name="PRECOCE_Reception" queryTableFieldId="15" dataDxfId="160"/>
    <tableColumn id="16" uniqueName="16" name="VT_Theo" queryTableFieldId="16" dataDxfId="159"/>
    <tableColumn id="17" uniqueName="17" name="TARDIF_Visite" queryTableFieldId="17" dataDxfId="158"/>
    <tableColumn id="18" uniqueName="18" name="TARDIF_Reception" queryTableFieldId="18" dataDxfId="157"/>
    <tableColumn id="19" uniqueName="19" name="Onekey" queryTableFieldId="19"/>
    <tableColumn id="20" uniqueName="20" name="Date" queryTableFieldId="20" dataDxfId="156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155"/>
    <tableColumn id="2" uniqueName="2" name="Investigateur" queryTableFieldId="2" dataDxfId="154"/>
    <tableColumn id="3" uniqueName="3" name="Num_Patient" queryTableFieldId="3" dataDxfId="153"/>
    <tableColumn id="4" uniqueName="4" name="INCLUSION_Visite" queryTableFieldId="4" dataDxfId="152"/>
    <tableColumn id="5" uniqueName="5" name="INCLUSION_Reception" queryTableFieldId="5" dataDxfId="151"/>
    <tableColumn id="6" uniqueName="6" name="AQINCLUSION_Reception" queryTableFieldId="6" dataDxfId="150"/>
    <tableColumn id="7" uniqueName="7" name="CONTACT_Reception" queryTableFieldId="7" dataDxfId="149"/>
    <tableColumn id="8" uniqueName="8" name="TypeRappel" queryTableFieldId="8" dataDxfId="148"/>
    <tableColumn id="9" uniqueName="9" name="AQ7Theo" queryTableFieldId="9" dataDxfId="147"/>
    <tableColumn id="10" uniqueName="10" name="AQJ7_Reception" queryTableFieldId="10" dataDxfId="146"/>
    <tableColumn id="11" uniqueName="11" name="AQ_M2_Theo" queryTableFieldId="11" dataDxfId="145"/>
    <tableColumn id="12" uniqueName="12" name="AQM2_Reception" queryTableFieldId="12" dataDxfId="144"/>
    <tableColumn id="13" uniqueName="13" name="VP_Theo" queryTableFieldId="13" dataDxfId="143"/>
    <tableColumn id="14" uniqueName="14" name="PRECOCE_Visite" queryTableFieldId="14" dataDxfId="142"/>
    <tableColumn id="15" uniqueName="15" name="PRECOCE_Reception" queryTableFieldId="15" dataDxfId="141"/>
    <tableColumn id="16" uniqueName="16" name="VT_Theo" queryTableFieldId="16" dataDxfId="140"/>
    <tableColumn id="17" uniqueName="17" name="TARDIF_Visite" queryTableFieldId="17" dataDxfId="139"/>
    <tableColumn id="18" uniqueName="18" name="TARDIF_Reception" queryTableFieldId="18" dataDxfId="138"/>
    <tableColumn id="19" uniqueName="19" name="Onekey" queryTableFieldId="19" dataDxfId="137"/>
    <tableColumn id="20" uniqueName="20" name="Date" queryTableFieldId="20" dataDxfId="136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5" displayName="Tableau_Lancer_la_requête_à_partir_de_MS_Access_Database5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35"/>
    <tableColumn id="4" uniqueName="4" name="INCLUSION_Visite" queryTableFieldId="4" dataDxfId="134"/>
    <tableColumn id="5" uniqueName="5" name="INCLUSION_Reception" queryTableFieldId="5" dataDxfId="133"/>
    <tableColumn id="6" uniqueName="6" name="AQINCLUSION_Reception" queryTableFieldId="6" dataDxfId="132"/>
    <tableColumn id="7" uniqueName="7" name="CONTACT_Reception" queryTableFieldId="7" dataDxfId="131"/>
    <tableColumn id="8" uniqueName="8" name="TypeRappel" queryTableFieldId="8"/>
    <tableColumn id="9" uniqueName="9" name="AQ7Theo" queryTableFieldId="9" dataDxfId="130"/>
    <tableColumn id="10" uniqueName="10" name="AQJ7_Reception" queryTableFieldId="10" dataDxfId="129"/>
    <tableColumn id="11" uniqueName="11" name="AQ_M2_Theo" queryTableFieldId="11" dataDxfId="128"/>
    <tableColumn id="12" uniqueName="12" name="AQM2_Reception" queryTableFieldId="12" dataDxfId="127"/>
    <tableColumn id="13" uniqueName="13" name="VP_Theo" queryTableFieldId="13" dataDxfId="126"/>
    <tableColumn id="14" uniqueName="14" name="PRECOCE_Visite" queryTableFieldId="14" dataDxfId="125"/>
    <tableColumn id="15" uniqueName="15" name="PRECOCE_Reception" queryTableFieldId="15" dataDxfId="124"/>
    <tableColumn id="16" uniqueName="16" name="VT_Theo" queryTableFieldId="16" dataDxfId="123"/>
    <tableColumn id="17" uniqueName="17" name="TARDIF_Visite" queryTableFieldId="17" dataDxfId="122"/>
    <tableColumn id="18" uniqueName="18" name="TARDIF_Reception" queryTableFieldId="18" dataDxfId="121"/>
    <tableColumn id="19" uniqueName="19" name="Onekey" queryTableFieldId="19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5" name="Tableau_Lancer_la_requête_à_partir_de_MS_Access_Database46" displayName="Tableau_Lancer_la_requête_à_partir_de_MS_Access_Database46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6" name="Tableau_Lancer_la_requête_à_partir_de_MS_Access_Database467" displayName="Tableau_Lancer_la_requête_à_partir_de_MS_Access_Database467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9" name="Tableau_Lancer_la_requête_à_partir_de_MS_Access_Database4678910" displayName="Tableau_Lancer_la_requête_à_partir_de_MS_Access_Database4678910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7" name="Tableau_Lancer_la_requête_à_partir_de_MS_Access_Database4678" displayName="Tableau_Lancer_la_requête_à_partir_de_MS_Access_Database4678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8" name="Tableau_Lancer_la_requête_à_partir_de_MS_Access_Database46789" displayName="Tableau_Lancer_la_requête_à_partir_de_MS_Access_Database46789" ref="B9:U14" tableType="queryTable" totalsRowShown="0">
  <autoFilter ref="B9:U14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0" name="Tableau_Lancer_la_requête_à_partir_de_MS_Access_Database4678911" displayName="Tableau_Lancer_la_requête_à_partir_de_MS_Access_Database4678911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9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$A$16</f>
        <v>DE0408</v>
      </c>
      <c r="G2" s="94" t="str">
        <f>$B$16</f>
        <v>AKNIN Alexandre</v>
      </c>
      <c r="H2" s="94"/>
      <c r="I2" s="94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$K$16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94</v>
      </c>
    </row>
    <row r="8" spans="1:17" s="77" customFormat="1" ht="30">
      <c r="A8" s="77" t="s">
        <v>59</v>
      </c>
      <c r="B8" s="77" t="s">
        <v>60</v>
      </c>
      <c r="C8" s="78" t="s">
        <v>61</v>
      </c>
      <c r="D8" s="76" t="s">
        <v>62</v>
      </c>
      <c r="E8" s="16">
        <v>41702</v>
      </c>
      <c r="F8" s="16">
        <v>41743</v>
      </c>
      <c r="G8" s="16">
        <v>41738</v>
      </c>
      <c r="H8" s="16"/>
      <c r="I8" s="15">
        <v>5</v>
      </c>
      <c r="J8" s="76" t="s">
        <v>75</v>
      </c>
      <c r="K8" s="79">
        <v>42306</v>
      </c>
    </row>
    <row r="9" spans="1:17" s="87" customFormat="1" ht="45">
      <c r="A9" s="87" t="s">
        <v>59</v>
      </c>
      <c r="B9" s="87" t="s">
        <v>60</v>
      </c>
      <c r="C9" s="88" t="s">
        <v>63</v>
      </c>
      <c r="D9" s="89" t="s">
        <v>64</v>
      </c>
      <c r="E9" s="90">
        <v>41697</v>
      </c>
      <c r="F9" s="90">
        <v>41747</v>
      </c>
      <c r="G9" s="90">
        <v>41745</v>
      </c>
      <c r="H9" s="90"/>
      <c r="I9" s="91">
        <v>3</v>
      </c>
      <c r="J9" s="89" t="s">
        <v>92</v>
      </c>
      <c r="K9" s="92">
        <v>42306</v>
      </c>
      <c r="L9" s="93" t="s">
        <v>93</v>
      </c>
    </row>
    <row r="10" spans="1:17" s="77" customFormat="1" ht="30">
      <c r="A10" s="77" t="s">
        <v>59</v>
      </c>
      <c r="B10" s="77" t="s">
        <v>60</v>
      </c>
      <c r="C10" s="78" t="s">
        <v>65</v>
      </c>
      <c r="D10" s="76" t="s">
        <v>66</v>
      </c>
      <c r="E10" s="16">
        <v>41712</v>
      </c>
      <c r="F10" s="16">
        <v>41745</v>
      </c>
      <c r="G10" s="16">
        <v>41743</v>
      </c>
      <c r="H10" s="16"/>
      <c r="I10" s="15">
        <v>3</v>
      </c>
      <c r="J10" s="76" t="s">
        <v>78</v>
      </c>
      <c r="K10" s="79">
        <v>42306</v>
      </c>
    </row>
    <row r="11" spans="1:17" s="77" customFormat="1">
      <c r="A11" s="77" t="s">
        <v>59</v>
      </c>
      <c r="B11" s="77" t="s">
        <v>60</v>
      </c>
      <c r="C11" s="78" t="s">
        <v>67</v>
      </c>
      <c r="D11" s="76" t="s">
        <v>68</v>
      </c>
      <c r="E11" s="16">
        <v>41738</v>
      </c>
      <c r="F11" s="16">
        <v>41747</v>
      </c>
      <c r="G11" s="16">
        <v>41745</v>
      </c>
      <c r="H11" s="16"/>
      <c r="I11" s="15">
        <v>3</v>
      </c>
      <c r="J11" s="76"/>
      <c r="K11" s="79">
        <v>42306</v>
      </c>
    </row>
    <row r="12" spans="1:17" s="77" customFormat="1">
      <c r="A12" s="77" t="s">
        <v>59</v>
      </c>
      <c r="B12" s="77" t="s">
        <v>60</v>
      </c>
      <c r="C12" s="78" t="s">
        <v>69</v>
      </c>
      <c r="D12" s="76" t="s">
        <v>70</v>
      </c>
      <c r="E12" s="16">
        <v>41737</v>
      </c>
      <c r="F12" s="16">
        <v>41761</v>
      </c>
      <c r="G12" s="16">
        <v>41758</v>
      </c>
      <c r="H12" s="16"/>
      <c r="I12" s="15">
        <v>3</v>
      </c>
      <c r="J12" s="76" t="s">
        <v>87</v>
      </c>
      <c r="K12" s="79">
        <v>42306</v>
      </c>
    </row>
    <row r="13" spans="1:17" s="77" customFormat="1" ht="45">
      <c r="A13" s="77" t="s">
        <v>59</v>
      </c>
      <c r="B13" s="77" t="s">
        <v>60</v>
      </c>
      <c r="C13" s="78" t="s">
        <v>76</v>
      </c>
      <c r="D13" s="76" t="s">
        <v>77</v>
      </c>
      <c r="E13" s="16">
        <v>41785</v>
      </c>
      <c r="F13" s="16">
        <v>41794</v>
      </c>
      <c r="G13" s="16">
        <v>41792</v>
      </c>
      <c r="H13" s="16"/>
      <c r="I13" s="15">
        <v>1</v>
      </c>
      <c r="J13" s="76" t="s">
        <v>96</v>
      </c>
      <c r="K13" s="79">
        <v>42306</v>
      </c>
    </row>
    <row r="14" spans="1:17" s="77" customFormat="1">
      <c r="A14" s="77" t="s">
        <v>59</v>
      </c>
      <c r="B14" s="77" t="s">
        <v>60</v>
      </c>
      <c r="C14" s="78" t="s">
        <v>71</v>
      </c>
      <c r="D14" s="76" t="s">
        <v>72</v>
      </c>
      <c r="E14" s="16">
        <v>41724</v>
      </c>
      <c r="F14" s="16">
        <v>41747</v>
      </c>
      <c r="G14" s="16">
        <v>41745</v>
      </c>
      <c r="H14" s="16"/>
      <c r="I14" s="15">
        <v>1</v>
      </c>
      <c r="J14" s="76"/>
      <c r="K14" s="79">
        <v>42306</v>
      </c>
    </row>
    <row r="15" spans="1:17" s="77" customFormat="1">
      <c r="A15" s="77" t="s">
        <v>59</v>
      </c>
      <c r="B15" s="77" t="s">
        <v>60</v>
      </c>
      <c r="C15" s="78" t="s">
        <v>73</v>
      </c>
      <c r="D15" s="76" t="s">
        <v>74</v>
      </c>
      <c r="E15" s="16">
        <v>41695</v>
      </c>
      <c r="F15" s="16">
        <v>41747</v>
      </c>
      <c r="G15" s="16">
        <v>41746</v>
      </c>
      <c r="H15" s="16"/>
      <c r="I15" s="15">
        <v>5</v>
      </c>
      <c r="J15" s="76" t="s">
        <v>95</v>
      </c>
      <c r="K15" s="79">
        <v>42306</v>
      </c>
    </row>
    <row r="16" spans="1:17">
      <c r="A16" s="77" t="s">
        <v>59</v>
      </c>
      <c r="B16" s="77" t="s">
        <v>60</v>
      </c>
      <c r="C16" s="78" t="s">
        <v>89</v>
      </c>
      <c r="D16" s="76" t="s">
        <v>90</v>
      </c>
      <c r="E16" s="16">
        <v>41925</v>
      </c>
      <c r="F16" s="16">
        <v>41943</v>
      </c>
      <c r="G16" s="16">
        <v>41941</v>
      </c>
      <c r="H16" s="16"/>
      <c r="I16" s="15">
        <v>1</v>
      </c>
      <c r="J16" s="76"/>
      <c r="K16" s="79">
        <v>42306</v>
      </c>
      <c r="L16" s="77"/>
    </row>
    <row r="17" spans="1:11">
      <c r="A17" s="28"/>
      <c r="B17" s="28"/>
      <c r="C17" s="27" t="s">
        <v>15</v>
      </c>
      <c r="D17" s="33">
        <f>SUBTOTAL(3,D8:D16)</f>
        <v>9</v>
      </c>
      <c r="E17" s="33">
        <f>SUBTOTAL(3,[Date de réception convention financière])</f>
        <v>9</v>
      </c>
      <c r="F17" s="33">
        <f>SUBTOTAL(3,[Date de réception AR kit])</f>
        <v>9</v>
      </c>
      <c r="G17" s="33">
        <f>SUBTOTAL(3,[Date de MEP])</f>
        <v>9</v>
      </c>
      <c r="H17" s="80">
        <f>SUBTOTAL(3,[Desistement])</f>
        <v>0</v>
      </c>
      <c r="I17" s="27">
        <f>SUBTOTAL(109,I8:I16)</f>
        <v>25</v>
      </c>
      <c r="J17" s="31"/>
      <c r="K17" s="32"/>
    </row>
    <row r="18" spans="1:11">
      <c r="D18" s="10"/>
      <c r="J18" s="10"/>
    </row>
    <row r="19" spans="1:11">
      <c r="C19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255</v>
      </c>
      <c r="N4" s="98" t="str">
        <f>$C$10</f>
        <v>BORIES Martine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255</v>
      </c>
      <c r="C10" s="42" t="s">
        <v>62</v>
      </c>
      <c r="D10" s="19">
        <v>1</v>
      </c>
      <c r="E10" s="25">
        <v>41740</v>
      </c>
      <c r="F10" s="25">
        <v>41827</v>
      </c>
      <c r="G10" s="25">
        <v>41827</v>
      </c>
      <c r="H10" s="25">
        <v>41752</v>
      </c>
      <c r="I10" s="44" t="s">
        <v>79</v>
      </c>
      <c r="J10" s="25">
        <v>41752</v>
      </c>
      <c r="K10" s="25">
        <v>41758</v>
      </c>
      <c r="L10" s="25">
        <v>41811</v>
      </c>
      <c r="M10" s="25">
        <v>41859</v>
      </c>
      <c r="N10" s="25">
        <v>41860</v>
      </c>
      <c r="O10" s="25">
        <v>41800</v>
      </c>
      <c r="P10" s="25">
        <v>41827</v>
      </c>
      <c r="Q10" s="25">
        <v>42105</v>
      </c>
      <c r="R10" s="25">
        <v>41926</v>
      </c>
      <c r="S10" s="25">
        <v>41933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255</v>
      </c>
      <c r="C11" t="s">
        <v>62</v>
      </c>
      <c r="D11" s="19">
        <v>2</v>
      </c>
      <c r="E11" s="25">
        <v>41717</v>
      </c>
      <c r="F11" s="25">
        <v>41876</v>
      </c>
      <c r="H11" s="25">
        <v>41876</v>
      </c>
      <c r="I11" t="s">
        <v>83</v>
      </c>
      <c r="J11" s="25">
        <v>41729</v>
      </c>
      <c r="K11" s="25">
        <v>41876</v>
      </c>
      <c r="L11" s="25">
        <v>41788</v>
      </c>
      <c r="M11" s="25">
        <v>41876</v>
      </c>
      <c r="N11" s="25">
        <v>41837</v>
      </c>
      <c r="O11" s="25">
        <v>41773</v>
      </c>
      <c r="P11" s="25">
        <v>41876</v>
      </c>
      <c r="Q11" s="25">
        <v>42082</v>
      </c>
      <c r="R11" s="25">
        <v>41871</v>
      </c>
      <c r="S11" s="25">
        <v>41876</v>
      </c>
      <c r="T11" t="s">
        <v>61</v>
      </c>
      <c r="U11" s="12">
        <v>42306</v>
      </c>
    </row>
    <row r="12" spans="2:48">
      <c r="B12">
        <v>255</v>
      </c>
      <c r="C12" t="s">
        <v>62</v>
      </c>
      <c r="D12" s="19">
        <v>3</v>
      </c>
      <c r="E12" s="25">
        <v>41765</v>
      </c>
      <c r="F12" s="25">
        <v>41827</v>
      </c>
      <c r="G12" s="25">
        <v>41827</v>
      </c>
      <c r="H12" s="25">
        <v>41771</v>
      </c>
      <c r="I12" t="s">
        <v>80</v>
      </c>
      <c r="J12" s="25">
        <v>41777</v>
      </c>
      <c r="K12" s="25">
        <v>41779</v>
      </c>
      <c r="L12" s="25">
        <v>41836</v>
      </c>
      <c r="M12" s="25">
        <v>41862</v>
      </c>
      <c r="N12" s="25">
        <v>41885</v>
      </c>
      <c r="O12" s="25">
        <v>41806</v>
      </c>
      <c r="P12" s="25">
        <v>41827</v>
      </c>
      <c r="Q12" s="25">
        <v>42130</v>
      </c>
      <c r="R12" s="25">
        <v>41927</v>
      </c>
      <c r="S12" s="25">
        <v>41933</v>
      </c>
      <c r="T12" t="s">
        <v>61</v>
      </c>
      <c r="U12" s="12">
        <v>42306</v>
      </c>
    </row>
    <row r="13" spans="2:48">
      <c r="B13">
        <v>255</v>
      </c>
      <c r="C13" t="s">
        <v>62</v>
      </c>
      <c r="D13" s="19">
        <v>4</v>
      </c>
      <c r="E13" s="25">
        <v>41703</v>
      </c>
      <c r="F13" s="25">
        <v>41827</v>
      </c>
      <c r="G13" s="25">
        <v>41827</v>
      </c>
      <c r="I13" t="s">
        <v>57</v>
      </c>
      <c r="J13" s="25">
        <v>41715</v>
      </c>
      <c r="K13" s="25">
        <v>41814</v>
      </c>
      <c r="L13" s="25">
        <v>41774</v>
      </c>
      <c r="N13" s="25">
        <v>41823</v>
      </c>
      <c r="O13" s="25">
        <v>41736</v>
      </c>
      <c r="P13" s="25">
        <v>41827</v>
      </c>
      <c r="Q13" s="25">
        <v>42068</v>
      </c>
      <c r="R13" s="25">
        <v>41822</v>
      </c>
      <c r="S13" s="25">
        <v>41827</v>
      </c>
      <c r="T13" t="s">
        <v>61</v>
      </c>
      <c r="U13" s="12">
        <v>42306</v>
      </c>
    </row>
    <row r="14" spans="2:48">
      <c r="B14">
        <v>255</v>
      </c>
      <c r="C14" t="s">
        <v>62</v>
      </c>
      <c r="D14" s="19">
        <v>5</v>
      </c>
      <c r="E14" s="25">
        <v>41703</v>
      </c>
      <c r="F14" s="25">
        <v>41876</v>
      </c>
      <c r="I14" t="s">
        <v>57</v>
      </c>
      <c r="J14" s="25">
        <v>41715</v>
      </c>
      <c r="L14" s="25">
        <v>41774</v>
      </c>
      <c r="N14" s="25">
        <v>41823</v>
      </c>
      <c r="O14" s="25">
        <v>41736</v>
      </c>
      <c r="P14" s="25">
        <v>41933</v>
      </c>
      <c r="Q14" s="25">
        <v>42068</v>
      </c>
      <c r="R14" s="25">
        <v>41822</v>
      </c>
      <c r="S14" s="25">
        <v>41876</v>
      </c>
      <c r="T14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N5" sqref="N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254</v>
      </c>
      <c r="N4" s="98" t="str">
        <f>$C$14</f>
        <v>COMBEAU Alain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254</v>
      </c>
      <c r="C10" s="42" t="s">
        <v>64</v>
      </c>
      <c r="D10" s="19">
        <v>1</v>
      </c>
      <c r="E10" s="25">
        <v>41813</v>
      </c>
      <c r="F10" s="25">
        <v>41815</v>
      </c>
      <c r="G10" s="25">
        <v>41815</v>
      </c>
      <c r="H10" s="25">
        <v>41815</v>
      </c>
      <c r="I10" s="44" t="s">
        <v>81</v>
      </c>
      <c r="J10" s="25">
        <v>41825</v>
      </c>
      <c r="K10" s="25">
        <v>41824</v>
      </c>
      <c r="L10" s="25">
        <v>41884</v>
      </c>
      <c r="M10" s="25">
        <v>41892</v>
      </c>
      <c r="N10" s="25">
        <v>41933</v>
      </c>
      <c r="O10" s="25">
        <v>41936</v>
      </c>
      <c r="P10" s="25">
        <v>41955</v>
      </c>
      <c r="Q10" s="25">
        <v>42178</v>
      </c>
      <c r="R10" s="25">
        <v>42139</v>
      </c>
      <c r="S10" s="25">
        <v>42142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254</v>
      </c>
      <c r="C11" s="69" t="s">
        <v>64</v>
      </c>
      <c r="D11" s="19">
        <v>2</v>
      </c>
      <c r="E11" s="25">
        <v>41822</v>
      </c>
      <c r="F11" s="25">
        <v>41824</v>
      </c>
      <c r="G11" s="25">
        <v>41824</v>
      </c>
      <c r="H11" s="25">
        <v>41824</v>
      </c>
      <c r="I11" s="70" t="s">
        <v>81</v>
      </c>
      <c r="J11" s="25">
        <v>41834</v>
      </c>
      <c r="K11" s="25">
        <v>41835</v>
      </c>
      <c r="L11" s="25">
        <v>41893</v>
      </c>
      <c r="M11" s="25">
        <v>41892</v>
      </c>
      <c r="N11" s="25">
        <v>41942</v>
      </c>
      <c r="O11" s="25">
        <v>41950</v>
      </c>
      <c r="P11" s="25">
        <v>41955</v>
      </c>
      <c r="Q11" s="25">
        <v>42187</v>
      </c>
      <c r="R11" s="25">
        <v>42159</v>
      </c>
      <c r="S11" s="25">
        <v>42165</v>
      </c>
      <c r="T11" s="69" t="s">
        <v>63</v>
      </c>
      <c r="U11" s="12">
        <v>42306</v>
      </c>
    </row>
    <row r="12" spans="2:48" ht="25.5">
      <c r="B12" s="68">
        <v>254</v>
      </c>
      <c r="C12" s="69" t="s">
        <v>64</v>
      </c>
      <c r="D12" s="19">
        <v>3</v>
      </c>
      <c r="E12" s="25">
        <v>41890</v>
      </c>
      <c r="F12" s="25">
        <v>41892</v>
      </c>
      <c r="G12" s="25">
        <v>41893</v>
      </c>
      <c r="H12" s="25">
        <v>41893</v>
      </c>
      <c r="I12" s="70" t="s">
        <v>81</v>
      </c>
      <c r="J12" s="25">
        <v>41902</v>
      </c>
      <c r="L12" s="25">
        <v>41961</v>
      </c>
      <c r="M12" s="25">
        <v>41955</v>
      </c>
      <c r="N12" s="25">
        <v>42010</v>
      </c>
      <c r="Q12" s="25">
        <v>42255</v>
      </c>
      <c r="T12" s="69" t="s">
        <v>63</v>
      </c>
      <c r="U12" s="12">
        <v>42306</v>
      </c>
    </row>
    <row r="13" spans="2:48" ht="25.5">
      <c r="B13" s="81">
        <v>254</v>
      </c>
      <c r="C13" s="82" t="s">
        <v>64</v>
      </c>
      <c r="D13" s="19">
        <v>4</v>
      </c>
      <c r="I13" s="70" t="s">
        <v>57</v>
      </c>
      <c r="T13" s="82" t="s">
        <v>63</v>
      </c>
      <c r="U13" s="12">
        <v>42306</v>
      </c>
    </row>
    <row r="14" spans="2:48" ht="25.5">
      <c r="B14" s="81">
        <v>254</v>
      </c>
      <c r="C14" s="82" t="s">
        <v>64</v>
      </c>
      <c r="D14" s="19">
        <v>5</v>
      </c>
      <c r="I14" s="70" t="s">
        <v>57</v>
      </c>
      <c r="T14" s="82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256</v>
      </c>
      <c r="N4" s="98" t="str">
        <f>$C$10</f>
        <v>DE LA CHAUSSEE-RUZZICA Isabelle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256</v>
      </c>
      <c r="C10" s="42" t="s">
        <v>66</v>
      </c>
      <c r="D10" s="19">
        <v>1</v>
      </c>
      <c r="E10" s="25">
        <v>41721</v>
      </c>
      <c r="F10" s="25">
        <v>41856</v>
      </c>
      <c r="G10" s="25">
        <v>41856</v>
      </c>
      <c r="H10" s="25">
        <v>41856</v>
      </c>
      <c r="I10" s="44" t="s">
        <v>81</v>
      </c>
      <c r="J10" s="25">
        <v>41733</v>
      </c>
      <c r="K10" s="25">
        <v>41856</v>
      </c>
      <c r="L10" s="25">
        <v>41792</v>
      </c>
      <c r="M10" s="25">
        <v>41856</v>
      </c>
      <c r="N10" s="25">
        <v>41841</v>
      </c>
      <c r="O10" s="25">
        <v>41813</v>
      </c>
      <c r="P10" s="25">
        <v>41856</v>
      </c>
      <c r="Q10" s="25">
        <v>42086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256</v>
      </c>
      <c r="C11" t="s">
        <v>66</v>
      </c>
      <c r="D11" s="19">
        <v>2</v>
      </c>
      <c r="E11" s="25">
        <v>41880</v>
      </c>
      <c r="F11" s="25">
        <v>42033</v>
      </c>
      <c r="H11" s="25">
        <v>41942</v>
      </c>
      <c r="I11" t="s">
        <v>91</v>
      </c>
      <c r="J11" s="25">
        <v>41892</v>
      </c>
      <c r="K11" s="25">
        <v>41942</v>
      </c>
      <c r="L11" s="25">
        <v>41951</v>
      </c>
      <c r="M11" s="25">
        <v>41975</v>
      </c>
      <c r="N11" s="25">
        <v>42000</v>
      </c>
      <c r="O11" s="25">
        <v>42048</v>
      </c>
      <c r="P11" s="25">
        <v>42081</v>
      </c>
      <c r="Q11" s="25">
        <v>42245</v>
      </c>
      <c r="R11" s="25">
        <v>42144</v>
      </c>
      <c r="S11" s="25">
        <v>42150</v>
      </c>
      <c r="T11" t="s">
        <v>65</v>
      </c>
      <c r="U11" s="12">
        <v>42306</v>
      </c>
    </row>
    <row r="12" spans="2:48">
      <c r="B12">
        <v>256</v>
      </c>
      <c r="C12" t="s">
        <v>66</v>
      </c>
      <c r="D12" s="19">
        <v>3</v>
      </c>
      <c r="E12" s="25">
        <v>41967</v>
      </c>
      <c r="F12" s="25">
        <v>41975</v>
      </c>
      <c r="G12" s="25">
        <v>41975</v>
      </c>
      <c r="H12" s="25">
        <v>41977</v>
      </c>
      <c r="I12" t="s">
        <v>86</v>
      </c>
      <c r="J12" s="25">
        <v>41979</v>
      </c>
      <c r="K12" s="25">
        <v>41991</v>
      </c>
      <c r="L12" s="25">
        <v>42038</v>
      </c>
      <c r="M12" s="25">
        <v>42115</v>
      </c>
      <c r="N12" s="25">
        <v>42087</v>
      </c>
      <c r="O12" s="25">
        <v>42048</v>
      </c>
      <c r="P12" s="25">
        <v>42051</v>
      </c>
      <c r="Q12" s="25">
        <v>42332</v>
      </c>
      <c r="R12" s="25">
        <v>42114</v>
      </c>
      <c r="S12" s="25">
        <v>42116</v>
      </c>
      <c r="T12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258</v>
      </c>
      <c r="N4" s="98" t="str">
        <f>$C$12</f>
        <v>DOFFOEL-HANTZ Valérie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258</v>
      </c>
      <c r="C10" s="42" t="s">
        <v>68</v>
      </c>
      <c r="D10" s="19">
        <v>1</v>
      </c>
      <c r="E10" s="25">
        <v>41746</v>
      </c>
      <c r="F10" s="25">
        <v>41747</v>
      </c>
      <c r="G10" s="25">
        <v>41747</v>
      </c>
      <c r="H10" s="25"/>
      <c r="I10" s="44" t="s">
        <v>57</v>
      </c>
      <c r="J10" s="25">
        <v>41758</v>
      </c>
      <c r="K10" s="25">
        <v>41759</v>
      </c>
      <c r="L10" s="25">
        <v>41817</v>
      </c>
      <c r="M10" s="25"/>
      <c r="N10" s="25">
        <v>41866</v>
      </c>
      <c r="O10" s="25">
        <v>41792</v>
      </c>
      <c r="P10" s="25">
        <v>41794</v>
      </c>
      <c r="Q10" s="25">
        <v>42111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258</v>
      </c>
      <c r="C11" s="69" t="s">
        <v>68</v>
      </c>
      <c r="D11" s="19">
        <v>2</v>
      </c>
      <c r="E11" s="25">
        <v>41779</v>
      </c>
      <c r="F11" s="25">
        <v>41782</v>
      </c>
      <c r="G11" s="25">
        <v>41782</v>
      </c>
      <c r="H11" s="25">
        <v>41782</v>
      </c>
      <c r="I11" s="70" t="s">
        <v>82</v>
      </c>
      <c r="J11" s="25">
        <v>41791</v>
      </c>
      <c r="K11" s="25">
        <v>41792</v>
      </c>
      <c r="L11" s="25">
        <v>41850</v>
      </c>
      <c r="M11" s="25">
        <v>41851</v>
      </c>
      <c r="N11" s="25">
        <v>41899</v>
      </c>
      <c r="Q11" s="25">
        <v>42144</v>
      </c>
      <c r="R11" s="25">
        <v>41914</v>
      </c>
      <c r="S11" s="25">
        <v>41918</v>
      </c>
      <c r="T11" s="69" t="s">
        <v>67</v>
      </c>
      <c r="U11" s="12">
        <v>42306</v>
      </c>
    </row>
    <row r="12" spans="2:48" ht="25.5">
      <c r="B12" s="68">
        <v>258</v>
      </c>
      <c r="C12" s="69" t="s">
        <v>68</v>
      </c>
      <c r="D12" s="19">
        <v>3</v>
      </c>
      <c r="E12" s="25">
        <v>41911</v>
      </c>
      <c r="F12" s="25">
        <v>41914</v>
      </c>
      <c r="G12" s="25">
        <v>41914</v>
      </c>
      <c r="H12" s="25">
        <v>41912</v>
      </c>
      <c r="I12" s="70" t="s">
        <v>88</v>
      </c>
      <c r="J12" s="25">
        <v>41923</v>
      </c>
      <c r="K12" s="25">
        <v>41921</v>
      </c>
      <c r="L12" s="25">
        <v>41982</v>
      </c>
      <c r="M12" s="25">
        <v>41996</v>
      </c>
      <c r="N12" s="25">
        <v>42031</v>
      </c>
      <c r="Q12" s="25">
        <v>42276</v>
      </c>
      <c r="T12" s="69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253</v>
      </c>
      <c r="N4" s="98" t="str">
        <f>$C$12</f>
        <v>DURIEU Christelle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253</v>
      </c>
      <c r="C10" s="42" t="s">
        <v>70</v>
      </c>
      <c r="D10" s="19">
        <v>1</v>
      </c>
      <c r="E10" s="25">
        <v>41774</v>
      </c>
      <c r="F10" s="25">
        <v>41787</v>
      </c>
      <c r="G10" s="25">
        <v>41817</v>
      </c>
      <c r="H10" s="25">
        <v>41778</v>
      </c>
      <c r="I10" s="44" t="s">
        <v>83</v>
      </c>
      <c r="J10" s="25">
        <v>41786</v>
      </c>
      <c r="K10" s="25">
        <v>41786</v>
      </c>
      <c r="L10" s="25">
        <v>41845</v>
      </c>
      <c r="M10" s="25"/>
      <c r="N10" s="25">
        <v>41894</v>
      </c>
      <c r="O10" s="25">
        <v>41815</v>
      </c>
      <c r="P10" s="25">
        <v>41817</v>
      </c>
      <c r="Q10" s="25">
        <v>42139</v>
      </c>
      <c r="R10" s="25">
        <v>41995</v>
      </c>
      <c r="S10" s="25">
        <v>42038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253</v>
      </c>
      <c r="C11" s="69" t="s">
        <v>70</v>
      </c>
      <c r="D11" s="19">
        <v>2</v>
      </c>
      <c r="E11" s="25">
        <v>41774</v>
      </c>
      <c r="F11" s="25">
        <v>41879</v>
      </c>
      <c r="G11" s="25">
        <v>41817</v>
      </c>
      <c r="H11" s="25">
        <v>41792</v>
      </c>
      <c r="I11" s="70" t="s">
        <v>80</v>
      </c>
      <c r="J11" s="25">
        <v>41786</v>
      </c>
      <c r="K11" s="25">
        <v>41813</v>
      </c>
      <c r="L11" s="25">
        <v>41845</v>
      </c>
      <c r="M11" s="25">
        <v>41836</v>
      </c>
      <c r="N11" s="25">
        <v>41894</v>
      </c>
      <c r="O11" s="25">
        <v>41807</v>
      </c>
      <c r="P11" s="25">
        <v>41813</v>
      </c>
      <c r="Q11" s="25">
        <v>42139</v>
      </c>
      <c r="R11" s="25">
        <v>42017</v>
      </c>
      <c r="S11" s="25">
        <v>42038</v>
      </c>
      <c r="T11" s="69" t="s">
        <v>69</v>
      </c>
      <c r="U11" s="12">
        <v>42306</v>
      </c>
    </row>
    <row r="12" spans="2:48" ht="25.5">
      <c r="B12" s="68">
        <v>253</v>
      </c>
      <c r="C12" s="69" t="s">
        <v>70</v>
      </c>
      <c r="D12" s="19">
        <v>3</v>
      </c>
      <c r="E12" s="25">
        <v>41792</v>
      </c>
      <c r="F12" s="25">
        <v>41796</v>
      </c>
      <c r="G12" s="25">
        <v>41796</v>
      </c>
      <c r="H12" s="25">
        <v>41800</v>
      </c>
      <c r="I12" s="70" t="s">
        <v>84</v>
      </c>
      <c r="J12" s="25">
        <v>41804</v>
      </c>
      <c r="K12" s="25">
        <v>41802</v>
      </c>
      <c r="L12" s="25">
        <v>41863</v>
      </c>
      <c r="M12" s="25">
        <v>41857</v>
      </c>
      <c r="N12" s="25">
        <v>41912</v>
      </c>
      <c r="O12" s="25">
        <v>41821</v>
      </c>
      <c r="P12" s="25">
        <v>41822</v>
      </c>
      <c r="Q12" s="25">
        <v>42157</v>
      </c>
      <c r="R12" s="25">
        <v>42030</v>
      </c>
      <c r="S12" s="25">
        <v>42038</v>
      </c>
      <c r="T12" s="69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J21" sqref="J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7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72" t="s">
        <v>17</v>
      </c>
      <c r="M4" s="63">
        <f>$B$12</f>
        <v>319</v>
      </c>
      <c r="N4" s="98" t="str">
        <f>$C$12</f>
        <v>LEMOINE-JOURDAN Michèle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4" t="s">
        <v>32</v>
      </c>
      <c r="M8" s="74" t="s">
        <v>31</v>
      </c>
      <c r="N8" s="73" t="s">
        <v>33</v>
      </c>
      <c r="O8" s="73" t="s">
        <v>34</v>
      </c>
      <c r="P8" s="7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319</v>
      </c>
      <c r="C10" s="42" t="s">
        <v>77</v>
      </c>
      <c r="D10" s="19">
        <v>1</v>
      </c>
      <c r="E10" s="25">
        <v>41793</v>
      </c>
      <c r="F10" s="25">
        <v>41796</v>
      </c>
      <c r="G10" s="25">
        <v>41796</v>
      </c>
      <c r="H10" s="25">
        <v>41795</v>
      </c>
      <c r="I10" s="44" t="s">
        <v>85</v>
      </c>
      <c r="J10" s="25">
        <v>41805</v>
      </c>
      <c r="K10" s="25"/>
      <c r="L10" s="25">
        <v>41864</v>
      </c>
      <c r="M10" s="25"/>
      <c r="N10" s="25">
        <v>41913</v>
      </c>
      <c r="O10" s="25"/>
      <c r="P10" s="25"/>
      <c r="Q10" s="25">
        <v>42158</v>
      </c>
      <c r="R10" s="25"/>
      <c r="S10" s="25"/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319</v>
      </c>
      <c r="C11" s="75" t="s">
        <v>77</v>
      </c>
      <c r="D11" s="19">
        <v>2</v>
      </c>
      <c r="I11" s="44" t="s">
        <v>57</v>
      </c>
      <c r="T11" s="75" t="s">
        <v>76</v>
      </c>
      <c r="U11" s="12">
        <v>42306</v>
      </c>
    </row>
    <row r="12" spans="2:48" ht="25.5">
      <c r="B12" s="43">
        <v>319</v>
      </c>
      <c r="C12" s="75" t="s">
        <v>77</v>
      </c>
      <c r="D12" s="19">
        <v>3</v>
      </c>
      <c r="I12" s="44" t="s">
        <v>57</v>
      </c>
      <c r="T12" s="75" t="s">
        <v>76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257</v>
      </c>
      <c r="N4" s="98" t="str">
        <f>$C$12</f>
        <v>MADER Evelyne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257</v>
      </c>
      <c r="C10" s="42" t="s">
        <v>72</v>
      </c>
      <c r="D10" s="19">
        <v>1</v>
      </c>
      <c r="E10" s="25">
        <v>41781</v>
      </c>
      <c r="F10" s="25">
        <v>41836</v>
      </c>
      <c r="G10" s="25">
        <v>41836</v>
      </c>
      <c r="H10" s="25">
        <v>41836</v>
      </c>
      <c r="I10" s="44" t="s">
        <v>80</v>
      </c>
      <c r="J10" s="25">
        <v>41793</v>
      </c>
      <c r="K10" s="25">
        <v>41843</v>
      </c>
      <c r="L10" s="25">
        <v>41852</v>
      </c>
      <c r="M10" s="25">
        <v>41891</v>
      </c>
      <c r="N10" s="25">
        <v>41901</v>
      </c>
      <c r="O10" s="25">
        <v>41856</v>
      </c>
      <c r="P10" s="25">
        <v>41859</v>
      </c>
      <c r="Q10" s="25">
        <v>42146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257</v>
      </c>
      <c r="C11" s="69" t="s">
        <v>72</v>
      </c>
      <c r="D11" s="19">
        <v>2</v>
      </c>
      <c r="I11" s="70" t="s">
        <v>57</v>
      </c>
      <c r="T11" s="69" t="s">
        <v>71</v>
      </c>
      <c r="U11" s="12">
        <v>42306</v>
      </c>
    </row>
    <row r="12" spans="2:48" ht="25.5">
      <c r="B12" s="68">
        <v>257</v>
      </c>
      <c r="C12" s="69" t="s">
        <v>72</v>
      </c>
      <c r="D12" s="19">
        <v>3</v>
      </c>
      <c r="I12" s="70" t="s">
        <v>57</v>
      </c>
      <c r="T12" s="69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252</v>
      </c>
      <c r="N4" s="98" t="str">
        <f>$C$14</f>
        <v>MAGHIA Rémi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252</v>
      </c>
      <c r="C10" s="42" t="s">
        <v>74</v>
      </c>
      <c r="D10" s="19">
        <v>1</v>
      </c>
      <c r="E10" s="25">
        <v>41772</v>
      </c>
      <c r="F10" s="25">
        <v>41803</v>
      </c>
      <c r="G10" s="25"/>
      <c r="H10" s="25">
        <v>41792</v>
      </c>
      <c r="I10" s="44" t="s">
        <v>79</v>
      </c>
      <c r="J10" s="25">
        <v>41784</v>
      </c>
      <c r="K10" s="25">
        <v>41802</v>
      </c>
      <c r="L10" s="25">
        <v>41843</v>
      </c>
      <c r="M10" s="25">
        <v>41837</v>
      </c>
      <c r="N10" s="25">
        <v>41892</v>
      </c>
      <c r="O10" s="25">
        <v>41796</v>
      </c>
      <c r="P10" s="25">
        <v>41802</v>
      </c>
      <c r="Q10" s="25">
        <v>42137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252</v>
      </c>
      <c r="C11" s="69" t="s">
        <v>74</v>
      </c>
      <c r="D11" s="19">
        <v>2</v>
      </c>
      <c r="E11" s="25">
        <v>41773</v>
      </c>
      <c r="F11" s="25">
        <v>41803</v>
      </c>
      <c r="H11" s="25">
        <v>41778</v>
      </c>
      <c r="I11" s="70" t="s">
        <v>86</v>
      </c>
      <c r="J11" s="25">
        <v>41785</v>
      </c>
      <c r="K11" s="25">
        <v>41792</v>
      </c>
      <c r="L11" s="25">
        <v>41844</v>
      </c>
      <c r="M11" s="25">
        <v>41845</v>
      </c>
      <c r="N11" s="25">
        <v>41893</v>
      </c>
      <c r="O11" s="25">
        <v>41801</v>
      </c>
      <c r="P11" s="25">
        <v>41803</v>
      </c>
      <c r="Q11" s="25">
        <v>42138</v>
      </c>
      <c r="T11" s="69" t="s">
        <v>73</v>
      </c>
      <c r="U11" s="12">
        <v>42306</v>
      </c>
    </row>
    <row r="12" spans="2:48" ht="25.5">
      <c r="B12" s="68">
        <v>252</v>
      </c>
      <c r="C12" s="69" t="s">
        <v>74</v>
      </c>
      <c r="D12" s="19">
        <v>3</v>
      </c>
      <c r="E12" s="25">
        <v>41780</v>
      </c>
      <c r="F12" s="25">
        <v>41803</v>
      </c>
      <c r="I12" s="70" t="s">
        <v>57</v>
      </c>
      <c r="J12" s="25">
        <v>41792</v>
      </c>
      <c r="L12" s="25">
        <v>41851</v>
      </c>
      <c r="N12" s="25">
        <v>41900</v>
      </c>
      <c r="Q12" s="25">
        <v>42145</v>
      </c>
      <c r="T12" s="69" t="s">
        <v>73</v>
      </c>
      <c r="U12" s="12">
        <v>42306</v>
      </c>
    </row>
    <row r="13" spans="2:48" ht="25.5">
      <c r="B13" s="81">
        <v>252</v>
      </c>
      <c r="C13" s="82" t="s">
        <v>74</v>
      </c>
      <c r="D13" s="19">
        <v>4</v>
      </c>
      <c r="E13" s="25">
        <v>41975</v>
      </c>
      <c r="F13" s="25">
        <v>41978</v>
      </c>
      <c r="G13" s="25">
        <v>41978</v>
      </c>
      <c r="I13" s="70" t="s">
        <v>57</v>
      </c>
      <c r="J13" s="25">
        <v>41987</v>
      </c>
      <c r="L13" s="25">
        <v>42046</v>
      </c>
      <c r="N13" s="25">
        <v>42095</v>
      </c>
      <c r="Q13" s="25">
        <v>42340</v>
      </c>
      <c r="T13" s="82" t="s">
        <v>73</v>
      </c>
      <c r="U13" s="12">
        <v>42306</v>
      </c>
    </row>
    <row r="14" spans="2:48" ht="25.5">
      <c r="B14" s="81">
        <v>252</v>
      </c>
      <c r="C14" s="82" t="s">
        <v>74</v>
      </c>
      <c r="D14" s="19">
        <v>5</v>
      </c>
      <c r="E14" s="25">
        <v>41968</v>
      </c>
      <c r="F14" s="25">
        <v>42030</v>
      </c>
      <c r="G14" s="25">
        <v>41982</v>
      </c>
      <c r="H14" s="25">
        <v>41977</v>
      </c>
      <c r="I14" s="70" t="s">
        <v>79</v>
      </c>
      <c r="J14" s="25">
        <v>41980</v>
      </c>
      <c r="K14" s="25">
        <v>41982</v>
      </c>
      <c r="L14" s="25">
        <v>42039</v>
      </c>
      <c r="N14" s="25">
        <v>42088</v>
      </c>
      <c r="Q14" s="25">
        <v>42333</v>
      </c>
      <c r="T14" s="82" t="s">
        <v>73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7"/>
      <c r="M3" s="97"/>
      <c r="N3" s="97"/>
      <c r="O3" s="8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84" t="s">
        <v>17</v>
      </c>
      <c r="M4" s="63">
        <f>$B$12</f>
        <v>415</v>
      </c>
      <c r="N4" s="98" t="str">
        <f>$C$12</f>
        <v>ROGER Denis</v>
      </c>
      <c r="O4" s="98"/>
      <c r="P4" s="98"/>
      <c r="Q4" s="98"/>
      <c r="R4" s="98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415</v>
      </c>
      <c r="C10" s="42" t="s">
        <v>90</v>
      </c>
      <c r="D10" s="19">
        <v>1</v>
      </c>
      <c r="E10" s="25">
        <v>41992</v>
      </c>
      <c r="F10" s="25">
        <v>41996</v>
      </c>
      <c r="G10" s="25">
        <v>41996</v>
      </c>
      <c r="H10" s="25">
        <v>42017</v>
      </c>
      <c r="I10" s="70" t="s">
        <v>79</v>
      </c>
      <c r="J10" s="25">
        <v>42004</v>
      </c>
      <c r="K10" s="25">
        <v>42025</v>
      </c>
      <c r="L10" s="25">
        <v>42063</v>
      </c>
      <c r="M10" s="25">
        <v>42076</v>
      </c>
      <c r="N10" s="25">
        <v>42112</v>
      </c>
      <c r="O10" s="25">
        <v>42045</v>
      </c>
      <c r="P10" s="25">
        <v>42048</v>
      </c>
      <c r="Q10" s="25">
        <v>42357</v>
      </c>
      <c r="R10" s="25"/>
      <c r="S10" s="25"/>
      <c r="T10" s="42" t="s">
        <v>89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1">
        <v>415</v>
      </c>
      <c r="C11" s="82" t="s">
        <v>90</v>
      </c>
      <c r="D11" s="19">
        <v>2</v>
      </c>
      <c r="I11" s="70" t="s">
        <v>57</v>
      </c>
      <c r="T11" s="82" t="s">
        <v>89</v>
      </c>
      <c r="U11" s="12">
        <v>42306</v>
      </c>
    </row>
    <row r="12" spans="2:48" ht="25.5">
      <c r="B12" s="81">
        <v>415</v>
      </c>
      <c r="C12" s="82" t="s">
        <v>90</v>
      </c>
      <c r="D12" s="19">
        <v>3</v>
      </c>
      <c r="I12" s="70" t="s">
        <v>57</v>
      </c>
      <c r="T12" s="82" t="s">
        <v>89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Secteur DE0408</vt:lpstr>
      <vt:lpstr>01133738</vt:lpstr>
      <vt:lpstr>05095617</vt:lpstr>
      <vt:lpstr>02549138</vt:lpstr>
      <vt:lpstr>02440342</vt:lpstr>
      <vt:lpstr>02667943</vt:lpstr>
      <vt:lpstr>05663455</vt:lpstr>
      <vt:lpstr>05944627</vt:lpstr>
      <vt:lpstr>05955032</vt:lpstr>
      <vt:lpstr>07963499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2015-10-29T22:03:23Z</dcterms:modified>
</cp:coreProperties>
</file>