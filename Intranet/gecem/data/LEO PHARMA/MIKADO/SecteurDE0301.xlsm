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301" sheetId="1" r:id="rId1"/>
    <sheet name="01354480" sheetId="2" r:id="rId2"/>
    <sheet name="01676570" sheetId="9" r:id="rId3"/>
    <sheet name="02952827" sheetId="3" r:id="rId4"/>
    <sheet name="00026577" sheetId="4" r:id="rId5"/>
    <sheet name="07543657" sheetId="10" r:id="rId6"/>
    <sheet name="07266945" sheetId="5" r:id="rId7"/>
    <sheet name="07826105" sheetId="6" r:id="rId8"/>
    <sheet name="08519590" sheetId="8" r:id="rId9"/>
    <sheet name="08998792" sheetId="7" r:id="rId10"/>
  </sheets>
  <definedNames>
    <definedName name="Lancer_la_requête_à_partir_de_MS_Access_Database" localSheetId="4" hidden="1">'00026577'!$B$9:$U$12</definedName>
    <definedName name="Lancer_la_requête_à_partir_de_MS_Access_Database" localSheetId="1" hidden="1">'01354480'!$B$9:$U$14</definedName>
    <definedName name="Lancer_la_requête_à_partir_de_MS_Access_Database" localSheetId="2" hidden="1">'01676570'!$B$9:$U$12</definedName>
    <definedName name="Lancer_la_requête_à_partir_de_MS_Access_Database" localSheetId="3" hidden="1">'02952827'!$B$9:$U$15</definedName>
    <definedName name="Lancer_la_requête_à_partir_de_MS_Access_Database" localSheetId="6" hidden="1">'07266945'!$B$9:$U$14</definedName>
    <definedName name="Lancer_la_requête_à_partir_de_MS_Access_Database" localSheetId="5" hidden="1">'07543657'!$B$9:$U$12</definedName>
    <definedName name="Lancer_la_requête_à_partir_de_MS_Access_Database" localSheetId="7" hidden="1">'07826105'!$B$9:$U$18</definedName>
    <definedName name="Lancer_la_requête_à_partir_de_MS_Access_Database" localSheetId="8" hidden="1">'08519590'!$B$9:$U$17</definedName>
    <definedName name="Lancer_la_requête_à_partir_de_MS_Access_Database" localSheetId="9" hidden="1">'08998792'!$B$9:$U$12</definedName>
    <definedName name="Lancer_la_requête_à_partir_de_MS_Access_Database_1" localSheetId="0" hidden="1">'Secteur DE0301'!$A$7:$K$16</definedName>
  </definedNames>
  <calcPr calcId="125725"/>
</workbook>
</file>

<file path=xl/calcChain.xml><?xml version="1.0" encoding="utf-8"?>
<calcChain xmlns="http://schemas.openxmlformats.org/spreadsheetml/2006/main">
  <c r="D17" i="1"/>
  <c r="E17"/>
  <c r="F17"/>
  <c r="G17"/>
  <c r="H17"/>
  <c r="I17"/>
  <c r="N4" i="10"/>
  <c r="M4"/>
  <c r="F4"/>
  <c r="N4" i="9"/>
  <c r="M4"/>
  <c r="F4"/>
  <c r="N4" i="8" l="1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1')_x000d__x000a_ORDER BY Req_REPORT_SECTEURS_GLOBAL.Medecin"/>
  </connection>
  <connection id="2" name="Lancer la requête à partir de MS Access Database0002657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26577')"/>
  </connection>
  <connection id="3" name="Lancer la requête à partir de MS Access Database013544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354480')"/>
  </connection>
  <connection id="4" name="Lancer la requête à partir de MS Access Database016765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676570')"/>
  </connection>
  <connection id="5" name="Lancer la requête à partir de MS Access Database0295282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952827')"/>
  </connection>
  <connection id="6" name="Lancer la requête à partir de MS Access Database072669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66945')"/>
  </connection>
  <connection id="7" name="Lancer la requête à partir de MS Access Database0754365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543657')"/>
  </connection>
  <connection id="8" name="Lancer la requête à partir de MS Access Database078261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826105')"/>
  </connection>
  <connection id="9" name="Lancer la requête à partir de MS Access Database085195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519590')"/>
  </connection>
  <connection id="10" name="Lancer la requête à partir de MS Access Database0899879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998792')"/>
  </connection>
</connections>
</file>

<file path=xl/sharedStrings.xml><?xml version="1.0" encoding="utf-8"?>
<sst xmlns="http://schemas.openxmlformats.org/spreadsheetml/2006/main" count="610" uniqueCount="98">
  <si>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</si>
  <si>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</si>
  <si>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</si>
  <si>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</si>
  <si>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</si>
  <si>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</si>
  <si>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</si>
  <si>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</si>
  <si>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</si>
  <si>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</si>
  <si>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</si>
  <si>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</si>
  <si>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</si>
  <si>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</si>
  <si>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</si>
  <si>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</si>
  <si>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</si>
  <si>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</si>
  <si>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</si>
  <si>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</si>
  <si>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</si>
  <si>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</si>
  <si>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</si>
  <si>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</si>
  <si>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</si>
  <si>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</si>
  <si>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</si>
  <si>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</si>
  <si>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</si>
  <si>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</si>
  <si>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</si>
  <si>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</si>
  <si>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</si>
  <si>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</si>
  <si>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</si>
  <si>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</si>
  <si>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</si>
  <si>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</si>
  <si>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</si>
  <si>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</si>
  <si>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</si>
  <si>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</si>
  <si>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</si>
  <si>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</si>
  <si>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</si>
  <si>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</si>
  <si>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</si>
  <si>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</si>
  <si>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</si>
  <si>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</si>
  <si>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</si>
  <si>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</si>
  <si>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</si>
  <si>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</si>
  <si>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</si>
  <si>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</si>
  <si>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</si>
  <si>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</si>
  <si>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</si>
  <si>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DE0301</t>
  </si>
  <si>
    <t>LOUIT Florence</t>
  </si>
  <si>
    <t>WFRM01354480</t>
  </si>
  <si>
    <t>BOLZINGER Thomas</t>
  </si>
  <si>
    <t>WFRM02952827</t>
  </si>
  <si>
    <t>DOMERCQ Bernard</t>
  </si>
  <si>
    <t>WFRM00026577</t>
  </si>
  <si>
    <t>HECQUET Marion</t>
  </si>
  <si>
    <t>WFRM07266945</t>
  </si>
  <si>
    <t>PEYRET Laurent</t>
  </si>
  <si>
    <t>WFRM07826105</t>
  </si>
  <si>
    <t>RIAUX Jean-Michel</t>
  </si>
  <si>
    <t>WFRM08998792</t>
  </si>
  <si>
    <t>THOMAS Patrick</t>
  </si>
  <si>
    <t>SION Christophe</t>
  </si>
  <si>
    <t>WFRM08519590</t>
  </si>
  <si>
    <t>Via médecin</t>
  </si>
  <si>
    <t>Téléphone</t>
  </si>
  <si>
    <t>Courrier - Téléphone - Via médecin</t>
  </si>
  <si>
    <t>Mail - Via médecin</t>
  </si>
  <si>
    <t>Téléphone - Via médecin</t>
  </si>
  <si>
    <t>SMS - Courrier - Téléphone</t>
  </si>
  <si>
    <t>SMS - Mail</t>
  </si>
  <si>
    <t>Mail</t>
  </si>
  <si>
    <t>Mail - Courrier - Téléphone</t>
  </si>
  <si>
    <t>10sept: a inclus, le Dr va nous renvoyer le questionnaire d'inclusion du patient numéro 1, puis va essayer d'inclure d'autres patients d'ici fin octobre.</t>
  </si>
  <si>
    <t>WFRM01676570</t>
  </si>
  <si>
    <t>CAVERNES Véronique</t>
  </si>
  <si>
    <t>19sept: va inclure. N'a pas pris le temps jusqu'ici.</t>
  </si>
  <si>
    <t>24sept:Dr d'accord pour reappro. 2 cahiers envoyés.</t>
  </si>
  <si>
    <t>WFRM07543657</t>
  </si>
  <si>
    <t>MOREAU Marie-Noëlle</t>
  </si>
  <si>
    <t>06nov:ne pourra pas inclure des patients supplémentaires d'ici la fin de l'année.</t>
  </si>
  <si>
    <t>04nov:Souhaite recevoir 4 cahiers supp=&gt; envoyé le 18nov</t>
  </si>
  <si>
    <t>13nov:Souhaite trois nouveaux cahiers=&gt; envoyé le 19nov14</t>
  </si>
  <si>
    <t>01dec: Ne parvient pas à réaliser l'étude par manque de temps.</t>
  </si>
  <si>
    <t>Reste 2 patients à inclure</t>
  </si>
  <si>
    <t>Colonne1</t>
  </si>
  <si>
    <t>SMS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</si>
</sst>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6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2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22"/>
      <tableStyleElement type="headerRow" dxfId="221"/>
      <tableStyleElement type="totalRow" dxfId="220"/>
      <tableStyleElement type="firstColumn" dxfId="219"/>
      <tableStyleElement type="lastColumn" dxfId="218"/>
      <tableStyleElement type="firstRowStripe" dxfId="217"/>
      <tableStyleElement type="secondRowStripe" dxfId="216"/>
      <tableStyleElement type="firstColumnStripe" dxfId="215"/>
      <tableStyleElement type="secondColumnStripe" dxfId="214"/>
    </tableStyle>
    <tableStyle name="TableStyleLight8 2" pivot="0" count="9">
      <tableStyleElement type="wholeTable" dxfId="213"/>
      <tableStyleElement type="headerRow" dxfId="212"/>
      <tableStyleElement type="totalRow" dxfId="211"/>
      <tableStyleElement type="firstColumn" dxfId="210"/>
      <tableStyleElement type="lastColumn" dxfId="209"/>
      <tableStyleElement type="firstRowStripe" dxfId="208"/>
      <tableStyleElement type="secondRowStripe" dxfId="207"/>
      <tableStyleElement type="firstColumnStripe" dxfId="206"/>
      <tableStyleElement type="secondColumnStripe" dxfId="20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7" tableType="queryTable" totalsRowCount="1" headerRowDxfId="204" dataDxfId="203">
  <tableColumns count="12">
    <tableColumn id="1" uniqueName="1" name="Code Secteur" queryTableFieldId="1" dataDxfId="191" totalsRowDxfId="192"/>
    <tableColumn id="2" uniqueName="2" name="VM" queryTableFieldId="2" dataDxfId="190" totalsRowDxfId="193"/>
    <tableColumn id="3" uniqueName="3" name="Code médecin" totalsRowLabel="TOTAL" queryTableFieldId="3" dataDxfId="189" totalsRowDxfId="194" dataCellStyle="Lien hypertexte"/>
    <tableColumn id="4" uniqueName="4" name="Medecin" totalsRowFunction="custom" queryTableFieldId="4" dataDxfId="188" totalsRowDxfId="195">
      <totalsRowFormula>SUBTOTAL(3,D8:D16)</totalsRowFormula>
    </tableColumn>
    <tableColumn id="5" uniqueName="5" name="Date de réception convention financière" totalsRowFunction="custom" queryTableFieldId="5" dataDxfId="187" totalsRowDxfId="196">
      <totalsRowFormula>SUBTOTAL(3,[Date de réception convention financière])</totalsRowFormula>
    </tableColumn>
    <tableColumn id="6" uniqueName="6" name="Date de réception AR kit" totalsRowFunction="custom" queryTableFieldId="6" dataDxfId="186" totalsRowDxfId="197">
      <totalsRowFormula>SUBTOTAL(3,[Date de réception AR kit])</totalsRowFormula>
    </tableColumn>
    <tableColumn id="7" uniqueName="7" name="Date de MEP" totalsRowFunction="custom" queryTableFieldId="7" dataDxfId="185" totalsRowDxfId="198">
      <totalsRowFormula>SUBTOTAL(3,[Date de MEP])</totalsRowFormula>
    </tableColumn>
    <tableColumn id="8" uniqueName="8" name="Desistement" totalsRowFunction="custom" queryTableFieldId="8" dataDxfId="184" totalsRowDxfId="199">
      <totalsRowFormula>SUBTOTAL(3,[Desistement])</totalsRowFormula>
    </tableColumn>
    <tableColumn id="9" uniqueName="9" name="Nb Total Patients inclus" totalsRowFunction="custom" queryTableFieldId="9" dataDxfId="183" totalsRowDxfId="200">
      <totalsRowFormula>SUBTOTAL(109,I8:I16)</totalsRowFormula>
    </tableColumn>
    <tableColumn id="10" uniqueName="10" name="Comptes-rendus contact médecin-GECEM" queryTableFieldId="10" dataDxfId="182" totalsRowDxfId="201"/>
    <tableColumn id="11" uniqueName="11" name="Date" queryTableFieldId="11" dataDxfId="181" totalsRowDxfId="202"/>
    <tableColumn id="12" uniqueName="12" name="Colonne1" queryTableFieldId="12" dataDxfId="18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9" name="Tableau_Lancer_la_requête_à_partir_de_MS_Access_Database4510" displayName="Tableau_Lancer_la_requête_à_partir_de_MS_Access_Database4510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5" tableType="queryTable" totalsRowShown="0">
  <autoFilter ref="B9:U15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0" name="Tableau_Lancer_la_requête_à_partir_de_MS_Access_Database4511" displayName="Tableau_Lancer_la_requête_à_partir_de_MS_Access_Database4511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8" tableType="queryTable" totalsRowShown="0">
  <autoFilter ref="B9:U18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7" tableType="queryTable" totalsRowShown="0">
  <autoFilter ref="B9:U17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9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$A$16</f>
        <v>DE0301</v>
      </c>
      <c r="G2" s="102" t="str">
        <f>$B$16</f>
        <v>LOUIT Florence</v>
      </c>
      <c r="H2" s="102"/>
      <c r="I2" s="10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$K$16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96</v>
      </c>
    </row>
    <row r="8" spans="1:17" s="80" customFormat="1" ht="30">
      <c r="A8" s="80" t="s">
        <v>59</v>
      </c>
      <c r="B8" s="80" t="s">
        <v>60</v>
      </c>
      <c r="C8" s="81" t="s">
        <v>61</v>
      </c>
      <c r="D8" s="78" t="s">
        <v>62</v>
      </c>
      <c r="E8" s="16">
        <v>41722</v>
      </c>
      <c r="F8" s="16">
        <v>41747</v>
      </c>
      <c r="G8" s="16">
        <v>41743</v>
      </c>
      <c r="H8" s="16"/>
      <c r="I8" s="15">
        <v>5</v>
      </c>
      <c r="J8" s="79" t="s">
        <v>91</v>
      </c>
      <c r="K8" s="82">
        <v>42306</v>
      </c>
    </row>
    <row r="9" spans="1:17" s="80" customFormat="1">
      <c r="A9" s="80" t="s">
        <v>59</v>
      </c>
      <c r="B9" s="80" t="s">
        <v>60</v>
      </c>
      <c r="C9" s="81" t="s">
        <v>85</v>
      </c>
      <c r="D9" s="78" t="s">
        <v>86</v>
      </c>
      <c r="E9" s="16">
        <v>41900</v>
      </c>
      <c r="F9" s="16">
        <v>41908</v>
      </c>
      <c r="G9" s="16">
        <v>41905</v>
      </c>
      <c r="H9" s="16"/>
      <c r="I9" s="15"/>
      <c r="J9" s="78" t="s">
        <v>94</v>
      </c>
      <c r="K9" s="82">
        <v>42306</v>
      </c>
    </row>
    <row r="10" spans="1:17" s="80" customFormat="1">
      <c r="A10" s="80" t="s">
        <v>59</v>
      </c>
      <c r="B10" s="80" t="s">
        <v>60</v>
      </c>
      <c r="C10" s="81" t="s">
        <v>63</v>
      </c>
      <c r="D10" s="78" t="s">
        <v>64</v>
      </c>
      <c r="E10" s="16">
        <v>41708</v>
      </c>
      <c r="F10" s="16">
        <v>41744</v>
      </c>
      <c r="G10" s="16">
        <v>41738</v>
      </c>
      <c r="H10" s="16"/>
      <c r="I10" s="15">
        <v>6</v>
      </c>
      <c r="J10" s="78"/>
      <c r="K10" s="82">
        <v>42306</v>
      </c>
    </row>
    <row r="11" spans="1:17" s="80" customFormat="1">
      <c r="A11" s="80" t="s">
        <v>59</v>
      </c>
      <c r="B11" s="80" t="s">
        <v>60</v>
      </c>
      <c r="C11" s="81" t="s">
        <v>65</v>
      </c>
      <c r="D11" s="78" t="s">
        <v>66</v>
      </c>
      <c r="E11" s="16">
        <v>41698</v>
      </c>
      <c r="F11" s="16">
        <v>41747</v>
      </c>
      <c r="G11" s="16">
        <v>41744</v>
      </c>
      <c r="H11" s="16"/>
      <c r="I11" s="15"/>
      <c r="J11" s="78" t="s">
        <v>87</v>
      </c>
      <c r="K11" s="82">
        <v>42306</v>
      </c>
    </row>
    <row r="12" spans="1:17" s="80" customFormat="1">
      <c r="A12" s="80" t="s">
        <v>59</v>
      </c>
      <c r="B12" s="80" t="s">
        <v>60</v>
      </c>
      <c r="C12" s="81" t="s">
        <v>89</v>
      </c>
      <c r="D12" s="78" t="s">
        <v>90</v>
      </c>
      <c r="E12" s="16">
        <v>41925</v>
      </c>
      <c r="F12" s="16">
        <v>41933</v>
      </c>
      <c r="G12" s="16">
        <v>41932</v>
      </c>
      <c r="H12" s="16"/>
      <c r="I12" s="15">
        <v>3</v>
      </c>
      <c r="J12" s="78"/>
      <c r="K12" s="82">
        <v>42306</v>
      </c>
    </row>
    <row r="13" spans="1:17" s="80" customFormat="1">
      <c r="A13" s="80" t="s">
        <v>59</v>
      </c>
      <c r="B13" s="80" t="s">
        <v>60</v>
      </c>
      <c r="C13" s="81" t="s">
        <v>67</v>
      </c>
      <c r="D13" s="78" t="s">
        <v>68</v>
      </c>
      <c r="E13" s="16">
        <v>41697</v>
      </c>
      <c r="F13" s="16">
        <v>41751</v>
      </c>
      <c r="G13" s="16">
        <v>41746</v>
      </c>
      <c r="H13" s="16"/>
      <c r="I13" s="15">
        <v>5</v>
      </c>
      <c r="J13" s="78" t="s">
        <v>88</v>
      </c>
      <c r="K13" s="82">
        <v>42306</v>
      </c>
    </row>
    <row r="14" spans="1:17" s="95" customFormat="1" ht="45">
      <c r="A14" s="95" t="s">
        <v>59</v>
      </c>
      <c r="B14" s="95" t="s">
        <v>60</v>
      </c>
      <c r="C14" s="96" t="s">
        <v>69</v>
      </c>
      <c r="D14" s="97" t="s">
        <v>70</v>
      </c>
      <c r="E14" s="98">
        <v>41745</v>
      </c>
      <c r="F14" s="98">
        <v>41751</v>
      </c>
      <c r="G14" s="98">
        <v>41747</v>
      </c>
      <c r="H14" s="98"/>
      <c r="I14" s="99">
        <v>8</v>
      </c>
      <c r="J14" s="97" t="s">
        <v>92</v>
      </c>
      <c r="K14" s="100">
        <v>42306</v>
      </c>
      <c r="L14" s="101" t="s">
        <v>95</v>
      </c>
    </row>
    <row r="15" spans="1:17">
      <c r="A15" s="80" t="s">
        <v>59</v>
      </c>
      <c r="B15" s="80" t="s">
        <v>60</v>
      </c>
      <c r="C15" s="81" t="s">
        <v>74</v>
      </c>
      <c r="D15" s="88" t="s">
        <v>73</v>
      </c>
      <c r="E15" s="16">
        <v>41754</v>
      </c>
      <c r="F15" s="16">
        <v>41764</v>
      </c>
      <c r="G15" s="16">
        <v>41759</v>
      </c>
      <c r="H15" s="16"/>
      <c r="I15" s="15">
        <v>8</v>
      </c>
      <c r="J15" s="88" t="s">
        <v>93</v>
      </c>
      <c r="K15" s="82">
        <v>42306</v>
      </c>
      <c r="L15" s="80"/>
    </row>
    <row r="16" spans="1:17" ht="45">
      <c r="A16" s="80" t="s">
        <v>59</v>
      </c>
      <c r="B16" s="80" t="s">
        <v>60</v>
      </c>
      <c r="C16" s="81" t="s">
        <v>71</v>
      </c>
      <c r="D16" s="88" t="s">
        <v>72</v>
      </c>
      <c r="E16" s="16">
        <v>41705</v>
      </c>
      <c r="F16" s="16">
        <v>41744</v>
      </c>
      <c r="G16" s="16">
        <v>41739</v>
      </c>
      <c r="H16" s="16"/>
      <c r="I16" s="15">
        <v>2</v>
      </c>
      <c r="J16" s="88" t="s">
        <v>84</v>
      </c>
      <c r="K16" s="82">
        <v>42306</v>
      </c>
      <c r="L16" s="80"/>
    </row>
    <row r="17" spans="1:11">
      <c r="A17" s="28"/>
      <c r="B17" s="28"/>
      <c r="C17" s="27" t="s">
        <v>15</v>
      </c>
      <c r="D17" s="33">
        <f>SUBTOTAL(3,D8:D16)</f>
        <v>9</v>
      </c>
      <c r="E17" s="33">
        <f>SUBTOTAL(3,[Date de réception convention financière])</f>
        <v>9</v>
      </c>
      <c r="F17" s="33">
        <f>SUBTOTAL(3,[Date de réception AR kit])</f>
        <v>9</v>
      </c>
      <c r="G17" s="33">
        <f>SUBTOTAL(3,[Date de MEP])</f>
        <v>9</v>
      </c>
      <c r="H17" s="83">
        <f>SUBTOTAL(3,[Desistement])</f>
        <v>0</v>
      </c>
      <c r="I17" s="27">
        <f>SUBTOTAL(109,I8:I16)</f>
        <v>37</v>
      </c>
      <c r="J17" s="31"/>
      <c r="K17" s="32"/>
    </row>
    <row r="18" spans="1:11">
      <c r="D18" s="10"/>
      <c r="J18" s="10"/>
    </row>
    <row r="19" spans="1:11">
      <c r="C19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$U$14</f>
        <v>42306</v>
      </c>
      <c r="G4" s="50"/>
      <c r="H4" s="50"/>
      <c r="I4" s="34"/>
      <c r="J4" s="50"/>
      <c r="K4" s="50"/>
      <c r="L4" s="57" t="s">
        <v>17</v>
      </c>
      <c r="M4" s="63">
        <f>$B$14</f>
        <v>148</v>
      </c>
      <c r="N4" s="106" t="str">
        <f>$C$14</f>
        <v>BOLZINGER Thomas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148</v>
      </c>
      <c r="C10" s="42" t="s">
        <v>62</v>
      </c>
      <c r="D10" s="19">
        <v>1</v>
      </c>
      <c r="E10" s="25">
        <v>41745</v>
      </c>
      <c r="F10" s="25">
        <v>41751</v>
      </c>
      <c r="G10" s="25">
        <v>41751</v>
      </c>
      <c r="H10" s="25">
        <v>41753</v>
      </c>
      <c r="I10" s="44" t="s">
        <v>75</v>
      </c>
      <c r="J10" s="25">
        <v>41757</v>
      </c>
      <c r="K10" s="25">
        <v>41761</v>
      </c>
      <c r="L10" s="25">
        <v>41816</v>
      </c>
      <c r="M10" s="25">
        <v>41817</v>
      </c>
      <c r="N10" s="25">
        <v>41865</v>
      </c>
      <c r="O10" s="25">
        <v>41781</v>
      </c>
      <c r="P10" s="25">
        <v>41785</v>
      </c>
      <c r="Q10" s="25">
        <v>42110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148</v>
      </c>
      <c r="C11" s="74" t="s">
        <v>62</v>
      </c>
      <c r="D11" s="19">
        <v>2</v>
      </c>
      <c r="E11" s="25">
        <v>41729</v>
      </c>
      <c r="F11" s="25">
        <v>41781</v>
      </c>
      <c r="H11" s="25">
        <v>41781</v>
      </c>
      <c r="I11" s="75" t="s">
        <v>75</v>
      </c>
      <c r="J11" s="25">
        <v>41741</v>
      </c>
      <c r="K11" s="25">
        <v>41780</v>
      </c>
      <c r="L11" s="25">
        <v>41800</v>
      </c>
      <c r="M11" s="25">
        <v>41817</v>
      </c>
      <c r="N11" s="25">
        <v>41849</v>
      </c>
      <c r="O11" s="25">
        <v>41779</v>
      </c>
      <c r="P11" s="25">
        <v>41782</v>
      </c>
      <c r="Q11" s="25">
        <v>42094</v>
      </c>
      <c r="R11" s="25">
        <v>41893</v>
      </c>
      <c r="S11" s="25">
        <v>41897</v>
      </c>
      <c r="T11" s="74" t="s">
        <v>61</v>
      </c>
      <c r="U11" s="12">
        <v>42306</v>
      </c>
    </row>
    <row r="12" spans="2:48" ht="25.5">
      <c r="B12" s="43">
        <v>148</v>
      </c>
      <c r="C12" s="74" t="s">
        <v>62</v>
      </c>
      <c r="D12" s="19">
        <v>3</v>
      </c>
      <c r="E12" s="25">
        <v>41725</v>
      </c>
      <c r="F12" s="25">
        <v>41794</v>
      </c>
      <c r="G12" s="25">
        <v>41794</v>
      </c>
      <c r="H12" s="25">
        <v>41800</v>
      </c>
      <c r="I12" s="75" t="s">
        <v>76</v>
      </c>
      <c r="J12" s="25">
        <v>41737</v>
      </c>
      <c r="K12" s="25">
        <v>41800</v>
      </c>
      <c r="L12" s="25">
        <v>41796</v>
      </c>
      <c r="M12" s="25">
        <v>41800</v>
      </c>
      <c r="N12" s="25">
        <v>41845</v>
      </c>
      <c r="O12" s="25">
        <v>41789</v>
      </c>
      <c r="P12" s="25">
        <v>41794</v>
      </c>
      <c r="Q12" s="25">
        <v>42090</v>
      </c>
      <c r="T12" s="74" t="s">
        <v>61</v>
      </c>
      <c r="U12" s="12">
        <v>42306</v>
      </c>
    </row>
    <row r="13" spans="2:48" ht="25.5">
      <c r="B13" s="43">
        <v>148</v>
      </c>
      <c r="C13" s="74" t="s">
        <v>62</v>
      </c>
      <c r="D13" s="19">
        <v>4</v>
      </c>
      <c r="E13" s="25">
        <v>41817</v>
      </c>
      <c r="F13" s="25">
        <v>41822</v>
      </c>
      <c r="G13" s="25">
        <v>41822</v>
      </c>
      <c r="H13" s="25">
        <v>41827</v>
      </c>
      <c r="I13" s="75" t="s">
        <v>75</v>
      </c>
      <c r="J13" s="25">
        <v>41829</v>
      </c>
      <c r="K13" s="25">
        <v>41831</v>
      </c>
      <c r="L13" s="25">
        <v>41888</v>
      </c>
      <c r="M13" s="25">
        <v>41885</v>
      </c>
      <c r="N13" s="25">
        <v>41937</v>
      </c>
      <c r="O13" s="25">
        <v>41869</v>
      </c>
      <c r="P13" s="25">
        <v>41872</v>
      </c>
      <c r="Q13" s="25">
        <v>42182</v>
      </c>
      <c r="R13" s="25">
        <v>42278</v>
      </c>
      <c r="S13" s="25">
        <v>42286</v>
      </c>
      <c r="T13" s="74" t="s">
        <v>61</v>
      </c>
      <c r="U13" s="12">
        <v>42306</v>
      </c>
    </row>
    <row r="14" spans="2:48" ht="25.5">
      <c r="B14" s="43">
        <v>148</v>
      </c>
      <c r="C14" s="74" t="s">
        <v>62</v>
      </c>
      <c r="D14" s="19">
        <v>5</v>
      </c>
      <c r="E14" s="25">
        <v>41843</v>
      </c>
      <c r="F14" s="25">
        <v>41848</v>
      </c>
      <c r="G14" s="25">
        <v>41855</v>
      </c>
      <c r="H14" s="25">
        <v>41855</v>
      </c>
      <c r="I14" s="75" t="s">
        <v>75</v>
      </c>
      <c r="J14" s="25">
        <v>41855</v>
      </c>
      <c r="K14" s="25">
        <v>41864</v>
      </c>
      <c r="L14" s="25">
        <v>41914</v>
      </c>
      <c r="M14" s="25">
        <v>41878</v>
      </c>
      <c r="N14" s="25">
        <v>41963</v>
      </c>
      <c r="Q14" s="25">
        <v>42208</v>
      </c>
      <c r="R14" s="25">
        <v>42279</v>
      </c>
      <c r="S14" s="25">
        <v>42289</v>
      </c>
      <c r="T14" s="74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>
      <selection activeCell="D31" sqref="D3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8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85" t="s">
        <v>17</v>
      </c>
      <c r="M4" s="63">
        <f>$B$12</f>
        <v>388</v>
      </c>
      <c r="N4" s="106" t="str">
        <f>$C$12</f>
        <v>CAVERNES Véronique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7" t="s">
        <v>32</v>
      </c>
      <c r="M8" s="87" t="s">
        <v>31</v>
      </c>
      <c r="N8" s="86" t="s">
        <v>33</v>
      </c>
      <c r="O8" s="86" t="s">
        <v>34</v>
      </c>
      <c r="P8" s="8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388</v>
      </c>
      <c r="C10" s="42" t="s">
        <v>86</v>
      </c>
      <c r="D10" s="19">
        <v>1</v>
      </c>
      <c r="E10" s="25"/>
      <c r="F10" s="25"/>
      <c r="G10" s="25"/>
      <c r="H10" s="25"/>
      <c r="I10" s="75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9">
        <v>388</v>
      </c>
      <c r="C11" s="90" t="s">
        <v>86</v>
      </c>
      <c r="D11" s="19">
        <v>2</v>
      </c>
      <c r="I11" s="75" t="s">
        <v>57</v>
      </c>
      <c r="T11" s="90" t="s">
        <v>85</v>
      </c>
      <c r="U11" s="12">
        <v>42306</v>
      </c>
    </row>
    <row r="12" spans="2:48" ht="18" customHeight="1">
      <c r="B12" s="89">
        <v>388</v>
      </c>
      <c r="C12" s="90" t="s">
        <v>86</v>
      </c>
      <c r="D12" s="19">
        <v>3</v>
      </c>
      <c r="I12" s="75" t="s">
        <v>57</v>
      </c>
      <c r="T12" s="90" t="s">
        <v>85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$U$15</f>
        <v>42306</v>
      </c>
      <c r="G4" s="50"/>
      <c r="H4" s="50"/>
      <c r="I4" s="34"/>
      <c r="J4" s="50"/>
      <c r="K4" s="50"/>
      <c r="L4" s="65" t="s">
        <v>17</v>
      </c>
      <c r="M4" s="63">
        <f>$B$15</f>
        <v>150</v>
      </c>
      <c r="N4" s="106" t="str">
        <f>$C$15</f>
        <v>DOMERCQ Bernard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150</v>
      </c>
      <c r="C10" s="42" t="s">
        <v>64</v>
      </c>
      <c r="D10" s="19">
        <v>1</v>
      </c>
      <c r="E10" s="25">
        <v>41740</v>
      </c>
      <c r="F10" s="25">
        <v>41745</v>
      </c>
      <c r="G10" s="25"/>
      <c r="H10" s="25">
        <v>41743</v>
      </c>
      <c r="I10" s="44" t="s">
        <v>77</v>
      </c>
      <c r="J10" s="25">
        <v>41752</v>
      </c>
      <c r="K10" s="25">
        <v>41751</v>
      </c>
      <c r="L10" s="25">
        <v>41811</v>
      </c>
      <c r="M10" s="25">
        <v>41807</v>
      </c>
      <c r="N10" s="25">
        <v>41860</v>
      </c>
      <c r="O10" s="25">
        <v>41806</v>
      </c>
      <c r="P10" s="25">
        <v>41809</v>
      </c>
      <c r="Q10" s="25">
        <v>42105</v>
      </c>
      <c r="R10" s="25">
        <v>41960</v>
      </c>
      <c r="S10" s="25">
        <v>41967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2">
        <v>150</v>
      </c>
      <c r="C11" s="73" t="s">
        <v>64</v>
      </c>
      <c r="D11" s="19">
        <v>2</v>
      </c>
      <c r="E11" s="25">
        <v>41745</v>
      </c>
      <c r="F11" s="25">
        <v>41751</v>
      </c>
      <c r="H11" s="25">
        <v>41747</v>
      </c>
      <c r="I11" s="44" t="s">
        <v>78</v>
      </c>
      <c r="J11" s="25">
        <v>41757</v>
      </c>
      <c r="L11" s="25">
        <v>41816</v>
      </c>
      <c r="N11" s="25">
        <v>41865</v>
      </c>
      <c r="O11" s="25">
        <v>41829</v>
      </c>
      <c r="P11" s="25">
        <v>41831</v>
      </c>
      <c r="Q11" s="25">
        <v>42110</v>
      </c>
      <c r="R11" s="25">
        <v>41963</v>
      </c>
      <c r="S11" s="25">
        <v>41969</v>
      </c>
      <c r="T11" s="73" t="s">
        <v>63</v>
      </c>
      <c r="U11" s="12">
        <v>42306</v>
      </c>
    </row>
    <row r="12" spans="2:48" ht="18" customHeight="1">
      <c r="B12" s="72">
        <v>150</v>
      </c>
      <c r="C12" s="73" t="s">
        <v>64</v>
      </c>
      <c r="D12" s="19">
        <v>3</v>
      </c>
      <c r="E12" s="25">
        <v>41758</v>
      </c>
      <c r="F12" s="25">
        <v>41764</v>
      </c>
      <c r="H12" s="25">
        <v>41761</v>
      </c>
      <c r="I12" s="44" t="s">
        <v>79</v>
      </c>
      <c r="J12" s="25">
        <v>41770</v>
      </c>
      <c r="K12" s="25">
        <v>41785</v>
      </c>
      <c r="L12" s="25">
        <v>41829</v>
      </c>
      <c r="M12" s="25">
        <v>41820</v>
      </c>
      <c r="N12" s="25">
        <v>41878</v>
      </c>
      <c r="O12" s="25">
        <v>41815</v>
      </c>
      <c r="P12" s="25">
        <v>41820</v>
      </c>
      <c r="Q12" s="25">
        <v>42123</v>
      </c>
      <c r="R12" s="25">
        <v>41961</v>
      </c>
      <c r="S12" s="25">
        <v>41967</v>
      </c>
      <c r="T12" s="73" t="s">
        <v>63</v>
      </c>
      <c r="U12" s="12">
        <v>42306</v>
      </c>
    </row>
    <row r="13" spans="2:48" ht="25.5">
      <c r="B13" s="43">
        <v>150</v>
      </c>
      <c r="C13" s="74" t="s">
        <v>64</v>
      </c>
      <c r="D13" s="19">
        <v>4</v>
      </c>
      <c r="E13" s="25">
        <v>41809</v>
      </c>
      <c r="F13" s="25">
        <v>41813</v>
      </c>
      <c r="H13" s="25">
        <v>41813</v>
      </c>
      <c r="I13" s="44" t="s">
        <v>75</v>
      </c>
      <c r="J13" s="25">
        <v>41821</v>
      </c>
      <c r="K13" s="25">
        <v>41899</v>
      </c>
      <c r="L13" s="25">
        <v>41880</v>
      </c>
      <c r="M13" s="25">
        <v>41899</v>
      </c>
      <c r="N13" s="25">
        <v>41929</v>
      </c>
      <c r="O13" s="25">
        <v>41891</v>
      </c>
      <c r="P13" s="25">
        <v>41906</v>
      </c>
      <c r="Q13" s="25">
        <v>42174</v>
      </c>
      <c r="R13" s="25">
        <v>42050</v>
      </c>
      <c r="S13" s="25">
        <v>42052</v>
      </c>
      <c r="T13" s="74" t="s">
        <v>63</v>
      </c>
      <c r="U13" s="12">
        <v>42306</v>
      </c>
    </row>
    <row r="14" spans="2:48" ht="25.5">
      <c r="B14" s="43">
        <v>150</v>
      </c>
      <c r="C14" s="74" t="s">
        <v>64</v>
      </c>
      <c r="D14" s="19">
        <v>5</v>
      </c>
      <c r="E14" s="25">
        <v>41829</v>
      </c>
      <c r="F14" s="25">
        <v>41835</v>
      </c>
      <c r="H14" s="25">
        <v>41831</v>
      </c>
      <c r="I14" s="75" t="s">
        <v>75</v>
      </c>
      <c r="J14" s="25">
        <v>41841</v>
      </c>
      <c r="K14" s="25">
        <v>41842</v>
      </c>
      <c r="L14" s="25">
        <v>41900</v>
      </c>
      <c r="N14" s="25">
        <v>41949</v>
      </c>
      <c r="O14" s="25">
        <v>41898</v>
      </c>
      <c r="P14" s="25">
        <v>41905</v>
      </c>
      <c r="Q14" s="25">
        <v>42194</v>
      </c>
      <c r="R14" s="25">
        <v>42048</v>
      </c>
      <c r="S14" s="25">
        <v>42052</v>
      </c>
      <c r="T14" s="74" t="s">
        <v>63</v>
      </c>
      <c r="U14" s="12">
        <v>42306</v>
      </c>
    </row>
    <row r="15" spans="2:48" ht="25.5">
      <c r="B15" s="89">
        <v>150</v>
      </c>
      <c r="C15" s="90" t="s">
        <v>64</v>
      </c>
      <c r="D15" s="19">
        <v>6</v>
      </c>
      <c r="E15" s="25">
        <v>41984</v>
      </c>
      <c r="F15" s="25">
        <v>41989</v>
      </c>
      <c r="H15" s="25">
        <v>41989</v>
      </c>
      <c r="I15" s="75" t="s">
        <v>75</v>
      </c>
      <c r="J15" s="25">
        <v>41996</v>
      </c>
      <c r="K15" s="25">
        <v>42037</v>
      </c>
      <c r="L15" s="25">
        <v>42055</v>
      </c>
      <c r="N15" s="25">
        <v>42104</v>
      </c>
      <c r="O15" s="25">
        <v>41987</v>
      </c>
      <c r="P15" s="25">
        <v>42052</v>
      </c>
      <c r="Q15" s="25">
        <v>42349</v>
      </c>
      <c r="R15" s="25">
        <v>42164</v>
      </c>
      <c r="S15" s="25">
        <v>42166</v>
      </c>
      <c r="T15" s="90" t="s">
        <v>63</v>
      </c>
      <c r="U15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147</v>
      </c>
      <c r="N4" s="106" t="str">
        <f>$C$12</f>
        <v>HECQUET Marion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147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147</v>
      </c>
      <c r="C11" s="74" t="s">
        <v>66</v>
      </c>
      <c r="D11" s="19">
        <v>2</v>
      </c>
      <c r="I11" s="75" t="s">
        <v>57</v>
      </c>
      <c r="T11" s="74" t="s">
        <v>65</v>
      </c>
      <c r="U11" s="12">
        <v>42306</v>
      </c>
    </row>
    <row r="12" spans="2:48" ht="18" customHeight="1">
      <c r="B12" s="43">
        <v>147</v>
      </c>
      <c r="C12" s="74" t="s">
        <v>66</v>
      </c>
      <c r="D12" s="19">
        <v>3</v>
      </c>
      <c r="I12" s="75" t="s">
        <v>57</v>
      </c>
      <c r="T12" s="74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9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92" t="s">
        <v>17</v>
      </c>
      <c r="M4" s="63">
        <f>$B$12</f>
        <v>409</v>
      </c>
      <c r="N4" s="106" t="str">
        <f>$C$12</f>
        <v>MOREAU Marie-Noëlle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4" t="s">
        <v>32</v>
      </c>
      <c r="M8" s="94" t="s">
        <v>31</v>
      </c>
      <c r="N8" s="93" t="s">
        <v>33</v>
      </c>
      <c r="O8" s="93" t="s">
        <v>34</v>
      </c>
      <c r="P8" s="9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409</v>
      </c>
      <c r="C10" s="42" t="s">
        <v>90</v>
      </c>
      <c r="D10" s="19">
        <v>1</v>
      </c>
      <c r="E10" s="25">
        <v>41934</v>
      </c>
      <c r="F10" s="25">
        <v>41942</v>
      </c>
      <c r="G10" s="25">
        <v>41942</v>
      </c>
      <c r="H10" s="25">
        <v>41939</v>
      </c>
      <c r="I10" s="75" t="s">
        <v>97</v>
      </c>
      <c r="J10" s="25">
        <v>41946</v>
      </c>
      <c r="K10" s="25">
        <v>41943</v>
      </c>
      <c r="L10" s="25">
        <v>42005</v>
      </c>
      <c r="M10" s="25">
        <v>42030</v>
      </c>
      <c r="N10" s="25">
        <v>42054</v>
      </c>
      <c r="O10" s="25">
        <v>41976</v>
      </c>
      <c r="P10" s="25">
        <v>41978</v>
      </c>
      <c r="Q10" s="25">
        <v>42299</v>
      </c>
      <c r="R10" s="25"/>
      <c r="S10" s="25"/>
      <c r="T10" s="42" t="s">
        <v>89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9">
        <v>409</v>
      </c>
      <c r="C11" s="90" t="s">
        <v>90</v>
      </c>
      <c r="D11" s="19">
        <v>2</v>
      </c>
      <c r="E11" s="25">
        <v>41953</v>
      </c>
      <c r="F11" s="25">
        <v>41957</v>
      </c>
      <c r="G11" s="25">
        <v>41957</v>
      </c>
      <c r="I11" s="75" t="s">
        <v>57</v>
      </c>
      <c r="J11" s="25">
        <v>41965</v>
      </c>
      <c r="L11" s="25">
        <v>42024</v>
      </c>
      <c r="M11" s="25">
        <v>42030</v>
      </c>
      <c r="N11" s="25">
        <v>42073</v>
      </c>
      <c r="O11" s="25">
        <v>42046</v>
      </c>
      <c r="P11" s="25">
        <v>42047</v>
      </c>
      <c r="Q11" s="25">
        <v>42318</v>
      </c>
      <c r="T11" s="90" t="s">
        <v>89</v>
      </c>
      <c r="U11" s="12">
        <v>42306</v>
      </c>
    </row>
    <row r="12" spans="2:48" ht="18" customHeight="1">
      <c r="B12" s="89">
        <v>409</v>
      </c>
      <c r="C12" s="90" t="s">
        <v>90</v>
      </c>
      <c r="D12" s="19">
        <v>3</v>
      </c>
      <c r="E12" s="25">
        <v>41983</v>
      </c>
      <c r="F12" s="25">
        <v>41985</v>
      </c>
      <c r="G12" s="25">
        <v>41985</v>
      </c>
      <c r="I12" s="75" t="s">
        <v>57</v>
      </c>
      <c r="J12" s="25">
        <v>41995</v>
      </c>
      <c r="K12" s="25">
        <v>41997</v>
      </c>
      <c r="L12" s="25">
        <v>42054</v>
      </c>
      <c r="M12" s="25">
        <v>42080</v>
      </c>
      <c r="N12" s="25">
        <v>42103</v>
      </c>
      <c r="O12" s="25">
        <v>42046</v>
      </c>
      <c r="P12" s="25">
        <v>42048</v>
      </c>
      <c r="Q12" s="25">
        <v>42348</v>
      </c>
      <c r="T12" s="90" t="s">
        <v>89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145</v>
      </c>
      <c r="N4" s="106" t="str">
        <f>$C$14</f>
        <v>PEYRET Laurent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145</v>
      </c>
      <c r="C10" s="42" t="s">
        <v>68</v>
      </c>
      <c r="D10" s="19">
        <v>1</v>
      </c>
      <c r="E10" s="25">
        <v>41764</v>
      </c>
      <c r="F10" s="25">
        <v>41766</v>
      </c>
      <c r="G10" s="25">
        <v>41766</v>
      </c>
      <c r="H10" s="25">
        <v>41766</v>
      </c>
      <c r="I10" s="44" t="s">
        <v>76</v>
      </c>
      <c r="J10" s="25">
        <v>41776</v>
      </c>
      <c r="K10" s="25">
        <v>41780</v>
      </c>
      <c r="L10" s="25">
        <v>41835</v>
      </c>
      <c r="M10" s="25"/>
      <c r="N10" s="25">
        <v>41884</v>
      </c>
      <c r="O10" s="25">
        <v>41823</v>
      </c>
      <c r="P10" s="25">
        <v>42041</v>
      </c>
      <c r="Q10" s="25">
        <v>42129</v>
      </c>
      <c r="R10" s="25">
        <v>42073</v>
      </c>
      <c r="S10" s="25">
        <v>42075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145</v>
      </c>
      <c r="C11" s="74" t="s">
        <v>68</v>
      </c>
      <c r="D11" s="19">
        <v>2</v>
      </c>
      <c r="E11" s="25">
        <v>41781</v>
      </c>
      <c r="F11" s="25">
        <v>41782</v>
      </c>
      <c r="G11" s="25">
        <v>41782</v>
      </c>
      <c r="H11" s="25">
        <v>41792</v>
      </c>
      <c r="I11" s="75" t="s">
        <v>80</v>
      </c>
      <c r="J11" s="25">
        <v>41793</v>
      </c>
      <c r="K11" s="25">
        <v>41806</v>
      </c>
      <c r="L11" s="25">
        <v>41852</v>
      </c>
      <c r="M11" s="25">
        <v>41858</v>
      </c>
      <c r="N11" s="25">
        <v>41901</v>
      </c>
      <c r="O11" s="25">
        <v>41844</v>
      </c>
      <c r="P11" s="25">
        <v>41845</v>
      </c>
      <c r="Q11" s="25">
        <v>42146</v>
      </c>
      <c r="R11" s="25">
        <v>41949</v>
      </c>
      <c r="S11" s="25">
        <v>42041</v>
      </c>
      <c r="T11" s="74" t="s">
        <v>67</v>
      </c>
      <c r="U11" s="12">
        <v>42306</v>
      </c>
    </row>
    <row r="12" spans="2:48" ht="18" customHeight="1">
      <c r="B12" s="43">
        <v>145</v>
      </c>
      <c r="C12" s="74" t="s">
        <v>68</v>
      </c>
      <c r="D12" s="19">
        <v>3</v>
      </c>
      <c r="E12" s="25">
        <v>41823</v>
      </c>
      <c r="F12" s="25">
        <v>41827</v>
      </c>
      <c r="G12" s="25">
        <v>41827</v>
      </c>
      <c r="H12" s="25">
        <v>41838</v>
      </c>
      <c r="I12" s="75" t="s">
        <v>82</v>
      </c>
      <c r="J12" s="25">
        <v>41835</v>
      </c>
      <c r="K12" s="25">
        <v>41838</v>
      </c>
      <c r="L12" s="25">
        <v>41894</v>
      </c>
      <c r="M12" s="25">
        <v>41887</v>
      </c>
      <c r="N12" s="25">
        <v>41943</v>
      </c>
      <c r="O12" s="25">
        <v>41883</v>
      </c>
      <c r="P12" s="25">
        <v>41884</v>
      </c>
      <c r="Q12" s="25">
        <v>42188</v>
      </c>
      <c r="R12" s="25">
        <v>42040</v>
      </c>
      <c r="S12" s="25">
        <v>42041</v>
      </c>
      <c r="T12" s="74" t="s">
        <v>67</v>
      </c>
      <c r="U12" s="12">
        <v>42306</v>
      </c>
    </row>
    <row r="13" spans="2:48" ht="25.5">
      <c r="B13" s="89">
        <v>145</v>
      </c>
      <c r="C13" s="90" t="s">
        <v>68</v>
      </c>
      <c r="D13" s="19">
        <v>4</v>
      </c>
      <c r="E13" s="25">
        <v>41914</v>
      </c>
      <c r="F13" s="25">
        <v>41918</v>
      </c>
      <c r="G13" s="25">
        <v>41918</v>
      </c>
      <c r="H13" s="25">
        <v>41942</v>
      </c>
      <c r="I13" s="75" t="s">
        <v>75</v>
      </c>
      <c r="J13" s="25">
        <v>41926</v>
      </c>
      <c r="K13" s="25">
        <v>41942</v>
      </c>
      <c r="L13" s="25">
        <v>41985</v>
      </c>
      <c r="M13" s="25">
        <v>41989</v>
      </c>
      <c r="N13" s="25">
        <v>42034</v>
      </c>
      <c r="O13" s="25">
        <v>41968</v>
      </c>
      <c r="P13" s="25">
        <v>41970</v>
      </c>
      <c r="Q13" s="25">
        <v>42279</v>
      </c>
      <c r="R13" s="25">
        <v>42058</v>
      </c>
      <c r="S13" s="25">
        <v>42060</v>
      </c>
      <c r="T13" s="90" t="s">
        <v>67</v>
      </c>
      <c r="U13" s="12">
        <v>42306</v>
      </c>
    </row>
    <row r="14" spans="2:48" ht="25.5">
      <c r="B14" s="89">
        <v>145</v>
      </c>
      <c r="C14" s="90" t="s">
        <v>68</v>
      </c>
      <c r="D14" s="19">
        <v>5</v>
      </c>
      <c r="E14" s="25">
        <v>42011</v>
      </c>
      <c r="F14" s="25">
        <v>42013</v>
      </c>
      <c r="G14" s="25">
        <v>42013</v>
      </c>
      <c r="H14" s="25">
        <v>42016</v>
      </c>
      <c r="I14" s="75" t="s">
        <v>82</v>
      </c>
      <c r="J14" s="25">
        <v>42023</v>
      </c>
      <c r="K14" s="25">
        <v>42020</v>
      </c>
      <c r="L14" s="25">
        <v>42082</v>
      </c>
      <c r="M14" s="25">
        <v>42073</v>
      </c>
      <c r="N14" s="25">
        <v>42131</v>
      </c>
      <c r="O14" s="25">
        <v>42040</v>
      </c>
      <c r="P14" s="25">
        <v>42041</v>
      </c>
      <c r="Q14" s="25">
        <v>42376</v>
      </c>
      <c r="T14" s="90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8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$U$18</f>
        <v>42306</v>
      </c>
      <c r="G4" s="50"/>
      <c r="H4" s="50"/>
      <c r="I4" s="34"/>
      <c r="J4" s="50"/>
      <c r="K4" s="50"/>
      <c r="L4" s="65" t="s">
        <v>17</v>
      </c>
      <c r="M4" s="63">
        <f>$B$18</f>
        <v>146</v>
      </c>
      <c r="N4" s="106" t="str">
        <f>$C$18</f>
        <v>RIAUX Jean-Michel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146</v>
      </c>
      <c r="C10" s="42" t="s">
        <v>70</v>
      </c>
      <c r="D10" s="19">
        <v>1</v>
      </c>
      <c r="E10" s="25">
        <v>41747</v>
      </c>
      <c r="F10" s="25">
        <v>41752</v>
      </c>
      <c r="G10" s="25">
        <v>41752</v>
      </c>
      <c r="H10" s="25"/>
      <c r="I10" s="44" t="s">
        <v>57</v>
      </c>
      <c r="J10" s="25">
        <v>41759</v>
      </c>
      <c r="K10" s="25">
        <v>41761</v>
      </c>
      <c r="L10" s="25">
        <v>41818</v>
      </c>
      <c r="M10" s="25">
        <v>41820</v>
      </c>
      <c r="N10" s="25">
        <v>41867</v>
      </c>
      <c r="O10" s="25"/>
      <c r="P10" s="25"/>
      <c r="Q10" s="25">
        <v>42112</v>
      </c>
      <c r="R10" s="25">
        <v>41962</v>
      </c>
      <c r="S10" s="25">
        <v>41963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146</v>
      </c>
      <c r="C11" s="74" t="s">
        <v>70</v>
      </c>
      <c r="D11" s="19">
        <v>2</v>
      </c>
      <c r="E11" s="25">
        <v>41752</v>
      </c>
      <c r="F11" s="25">
        <v>41757</v>
      </c>
      <c r="G11" s="25">
        <v>41757</v>
      </c>
      <c r="I11" s="75" t="s">
        <v>57</v>
      </c>
      <c r="J11" s="25">
        <v>41764</v>
      </c>
      <c r="K11" s="25">
        <v>41764</v>
      </c>
      <c r="L11" s="25">
        <v>41823</v>
      </c>
      <c r="M11" s="25">
        <v>41827</v>
      </c>
      <c r="N11" s="25">
        <v>41872</v>
      </c>
      <c r="O11" s="25">
        <v>41759</v>
      </c>
      <c r="P11" s="25">
        <v>41764</v>
      </c>
      <c r="Q11" s="25">
        <v>42117</v>
      </c>
      <c r="T11" s="74" t="s">
        <v>69</v>
      </c>
      <c r="U11" s="12">
        <v>42306</v>
      </c>
    </row>
    <row r="12" spans="2:48" ht="18" customHeight="1">
      <c r="B12" s="43">
        <v>146</v>
      </c>
      <c r="C12" s="74" t="s">
        <v>70</v>
      </c>
      <c r="D12" s="19">
        <v>3</v>
      </c>
      <c r="E12" s="25">
        <v>41757</v>
      </c>
      <c r="F12" s="25">
        <v>41761</v>
      </c>
      <c r="G12" s="25">
        <v>41761</v>
      </c>
      <c r="I12" s="75" t="s">
        <v>57</v>
      </c>
      <c r="J12" s="25">
        <v>41769</v>
      </c>
      <c r="K12" s="25">
        <v>41771</v>
      </c>
      <c r="L12" s="25">
        <v>41828</v>
      </c>
      <c r="N12" s="25">
        <v>41877</v>
      </c>
      <c r="O12" s="25">
        <v>41766</v>
      </c>
      <c r="P12" s="25">
        <v>41771</v>
      </c>
      <c r="Q12" s="25">
        <v>42122</v>
      </c>
      <c r="T12" s="74" t="s">
        <v>69</v>
      </c>
      <c r="U12" s="12">
        <v>42306</v>
      </c>
    </row>
    <row r="13" spans="2:48" ht="25.5">
      <c r="B13" s="76">
        <v>146</v>
      </c>
      <c r="C13" s="77" t="s">
        <v>70</v>
      </c>
      <c r="D13" s="19">
        <v>4</v>
      </c>
      <c r="E13" s="25">
        <v>41768</v>
      </c>
      <c r="F13" s="25">
        <v>41771</v>
      </c>
      <c r="G13" s="25">
        <v>41771</v>
      </c>
      <c r="H13" s="25">
        <v>41771</v>
      </c>
      <c r="I13" s="75" t="s">
        <v>81</v>
      </c>
      <c r="J13" s="25">
        <v>41780</v>
      </c>
      <c r="K13" s="25">
        <v>41781</v>
      </c>
      <c r="L13" s="25">
        <v>41839</v>
      </c>
      <c r="N13" s="25">
        <v>41888</v>
      </c>
      <c r="O13" s="25">
        <v>41779</v>
      </c>
      <c r="P13" s="25">
        <v>41781</v>
      </c>
      <c r="Q13" s="25">
        <v>42133</v>
      </c>
      <c r="R13" s="25">
        <v>41981</v>
      </c>
      <c r="S13" s="25">
        <v>41985</v>
      </c>
      <c r="T13" s="77" t="s">
        <v>69</v>
      </c>
      <c r="U13" s="12">
        <v>42306</v>
      </c>
    </row>
    <row r="14" spans="2:48" ht="25.5">
      <c r="B14" s="76">
        <v>146</v>
      </c>
      <c r="C14" s="77" t="s">
        <v>70</v>
      </c>
      <c r="D14" s="19">
        <v>5</v>
      </c>
      <c r="E14" s="25">
        <v>41786</v>
      </c>
      <c r="F14" s="25">
        <v>41787</v>
      </c>
      <c r="G14" s="25">
        <v>41787</v>
      </c>
      <c r="I14" s="75" t="s">
        <v>57</v>
      </c>
      <c r="J14" s="25">
        <v>41798</v>
      </c>
      <c r="L14" s="25">
        <v>41857</v>
      </c>
      <c r="N14" s="25">
        <v>41906</v>
      </c>
      <c r="Q14" s="25">
        <v>42151</v>
      </c>
      <c r="T14" s="77" t="s">
        <v>69</v>
      </c>
      <c r="U14" s="12">
        <v>42306</v>
      </c>
    </row>
    <row r="15" spans="2:48" ht="25.5">
      <c r="B15" s="89">
        <v>146</v>
      </c>
      <c r="C15" s="90" t="s">
        <v>70</v>
      </c>
      <c r="D15" s="19">
        <v>6</v>
      </c>
      <c r="E15" s="25">
        <v>41970</v>
      </c>
      <c r="F15" s="25">
        <v>41974</v>
      </c>
      <c r="G15" s="25">
        <v>41974</v>
      </c>
      <c r="H15" s="25">
        <v>41975</v>
      </c>
      <c r="I15" s="75" t="s">
        <v>82</v>
      </c>
      <c r="J15" s="25">
        <v>41982</v>
      </c>
      <c r="K15" s="25">
        <v>42030</v>
      </c>
      <c r="L15" s="25">
        <v>42041</v>
      </c>
      <c r="M15" s="25">
        <v>42030</v>
      </c>
      <c r="N15" s="25">
        <v>42090</v>
      </c>
      <c r="O15" s="25">
        <v>41988</v>
      </c>
      <c r="P15" s="25">
        <v>41990</v>
      </c>
      <c r="Q15" s="25">
        <v>42335</v>
      </c>
      <c r="T15" s="90" t="s">
        <v>69</v>
      </c>
      <c r="U15" s="12">
        <v>42306</v>
      </c>
    </row>
    <row r="16" spans="2:48" ht="25.5">
      <c r="B16" s="89">
        <v>146</v>
      </c>
      <c r="C16" s="90" t="s">
        <v>70</v>
      </c>
      <c r="D16" s="19">
        <v>7</v>
      </c>
      <c r="E16" s="25">
        <v>41982</v>
      </c>
      <c r="F16" s="25">
        <v>41985</v>
      </c>
      <c r="G16" s="25">
        <v>41985</v>
      </c>
      <c r="H16" s="25">
        <v>42062</v>
      </c>
      <c r="I16" s="75" t="s">
        <v>79</v>
      </c>
      <c r="J16" s="25">
        <v>41994</v>
      </c>
      <c r="K16" s="25">
        <v>42002</v>
      </c>
      <c r="L16" s="25">
        <v>42053</v>
      </c>
      <c r="M16" s="25">
        <v>42062</v>
      </c>
      <c r="N16" s="25">
        <v>42102</v>
      </c>
      <c r="O16" s="25">
        <v>42045</v>
      </c>
      <c r="P16" s="25">
        <v>42047</v>
      </c>
      <c r="Q16" s="25">
        <v>42347</v>
      </c>
      <c r="S16" s="25">
        <v>42121</v>
      </c>
      <c r="T16" s="90" t="s">
        <v>69</v>
      </c>
      <c r="U16" s="12">
        <v>42306</v>
      </c>
    </row>
    <row r="17" spans="2:21" ht="25.5">
      <c r="B17" s="89">
        <v>146</v>
      </c>
      <c r="C17" s="90" t="s">
        <v>70</v>
      </c>
      <c r="D17" s="19">
        <v>8</v>
      </c>
      <c r="E17" s="25">
        <v>42009</v>
      </c>
      <c r="F17" s="25">
        <v>42012</v>
      </c>
      <c r="G17" s="25">
        <v>42012</v>
      </c>
      <c r="I17" s="75" t="s">
        <v>57</v>
      </c>
      <c r="J17" s="25">
        <v>42021</v>
      </c>
      <c r="L17" s="25">
        <v>42080</v>
      </c>
      <c r="N17" s="25">
        <v>42129</v>
      </c>
      <c r="Q17" s="25">
        <v>42374</v>
      </c>
      <c r="T17" s="90" t="s">
        <v>69</v>
      </c>
      <c r="U17" s="12">
        <v>42306</v>
      </c>
    </row>
    <row r="18" spans="2:21" ht="25.5">
      <c r="B18" s="89">
        <v>146</v>
      </c>
      <c r="C18" s="90" t="s">
        <v>70</v>
      </c>
      <c r="D18" s="19">
        <v>9</v>
      </c>
      <c r="I18" s="75" t="s">
        <v>57</v>
      </c>
      <c r="T18" s="90" t="s">
        <v>69</v>
      </c>
      <c r="U18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7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$U$17</f>
        <v>42306</v>
      </c>
      <c r="G4" s="50"/>
      <c r="H4" s="50"/>
      <c r="I4" s="34"/>
      <c r="J4" s="50"/>
      <c r="K4" s="50"/>
      <c r="L4" s="69" t="s">
        <v>17</v>
      </c>
      <c r="M4" s="63">
        <f>$B$17</f>
        <v>278</v>
      </c>
      <c r="N4" s="106" t="str">
        <f>$C$17</f>
        <v>SION Christophe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278</v>
      </c>
      <c r="C10" s="42" t="s">
        <v>73</v>
      </c>
      <c r="D10" s="19">
        <v>1</v>
      </c>
      <c r="E10" s="25">
        <v>41768</v>
      </c>
      <c r="F10" s="25">
        <v>41771</v>
      </c>
      <c r="G10" s="25">
        <v>41771</v>
      </c>
      <c r="H10" s="25">
        <v>41836</v>
      </c>
      <c r="I10" s="44" t="s">
        <v>83</v>
      </c>
      <c r="J10" s="25">
        <v>41780</v>
      </c>
      <c r="K10" s="25"/>
      <c r="L10" s="25">
        <v>41839</v>
      </c>
      <c r="M10" s="25"/>
      <c r="N10" s="25">
        <v>41888</v>
      </c>
      <c r="O10" s="25"/>
      <c r="P10" s="25"/>
      <c r="Q10" s="25">
        <v>42133</v>
      </c>
      <c r="R10" s="25"/>
      <c r="S10" s="25"/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6">
        <v>278</v>
      </c>
      <c r="C11" s="77" t="s">
        <v>73</v>
      </c>
      <c r="D11" s="19">
        <v>2</v>
      </c>
      <c r="E11" s="25">
        <v>41768</v>
      </c>
      <c r="F11" s="25">
        <v>41771</v>
      </c>
      <c r="G11" s="25">
        <v>41771</v>
      </c>
      <c r="H11" s="25">
        <v>41772</v>
      </c>
      <c r="I11" s="44" t="s">
        <v>77</v>
      </c>
      <c r="J11" s="25">
        <v>41780</v>
      </c>
      <c r="K11" s="25">
        <v>41782</v>
      </c>
      <c r="L11" s="25">
        <v>41839</v>
      </c>
      <c r="M11" s="25">
        <v>41830</v>
      </c>
      <c r="N11" s="25">
        <v>41888</v>
      </c>
      <c r="O11" s="25">
        <v>41792</v>
      </c>
      <c r="P11" s="25">
        <v>41794</v>
      </c>
      <c r="Q11" s="25">
        <v>42133</v>
      </c>
      <c r="T11" s="77" t="s">
        <v>74</v>
      </c>
      <c r="U11" s="12">
        <v>42306</v>
      </c>
    </row>
    <row r="12" spans="2:48" ht="18" customHeight="1">
      <c r="B12" s="76">
        <v>278</v>
      </c>
      <c r="C12" s="77" t="s">
        <v>73</v>
      </c>
      <c r="D12" s="19">
        <v>3</v>
      </c>
      <c r="E12" s="25">
        <v>41775</v>
      </c>
      <c r="F12" s="25">
        <v>41779</v>
      </c>
      <c r="G12" s="25">
        <v>41779</v>
      </c>
      <c r="I12" s="44" t="s">
        <v>57</v>
      </c>
      <c r="J12" s="25">
        <v>41787</v>
      </c>
      <c r="K12" s="25">
        <v>41792</v>
      </c>
      <c r="L12" s="25">
        <v>41846</v>
      </c>
      <c r="M12" s="25">
        <v>41837</v>
      </c>
      <c r="N12" s="25">
        <v>41895</v>
      </c>
      <c r="Q12" s="25">
        <v>42140</v>
      </c>
      <c r="T12" s="77" t="s">
        <v>74</v>
      </c>
      <c r="U12" s="12">
        <v>42306</v>
      </c>
    </row>
    <row r="13" spans="2:48" ht="25.5">
      <c r="B13" s="76">
        <v>278</v>
      </c>
      <c r="C13" s="77" t="s">
        <v>73</v>
      </c>
      <c r="D13" s="19">
        <v>4</v>
      </c>
      <c r="E13" s="25">
        <v>41792</v>
      </c>
      <c r="F13" s="25">
        <v>41794</v>
      </c>
      <c r="G13" s="25">
        <v>41794</v>
      </c>
      <c r="I13" s="44" t="s">
        <v>57</v>
      </c>
      <c r="J13" s="25">
        <v>41804</v>
      </c>
      <c r="K13" s="25">
        <v>41809</v>
      </c>
      <c r="L13" s="25">
        <v>41863</v>
      </c>
      <c r="M13" s="25">
        <v>41862</v>
      </c>
      <c r="N13" s="25">
        <v>41912</v>
      </c>
      <c r="Q13" s="25">
        <v>42157</v>
      </c>
      <c r="T13" s="77" t="s">
        <v>74</v>
      </c>
      <c r="U13" s="12">
        <v>42306</v>
      </c>
    </row>
    <row r="14" spans="2:48" ht="25.5">
      <c r="B14" s="76">
        <v>278</v>
      </c>
      <c r="C14" s="77" t="s">
        <v>73</v>
      </c>
      <c r="D14" s="19">
        <v>5</v>
      </c>
      <c r="E14" s="25">
        <v>41785</v>
      </c>
      <c r="F14" s="25">
        <v>41792</v>
      </c>
      <c r="G14" s="25">
        <v>41792</v>
      </c>
      <c r="I14" s="75" t="s">
        <v>57</v>
      </c>
      <c r="J14" s="25">
        <v>41797</v>
      </c>
      <c r="K14" s="25">
        <v>41824</v>
      </c>
      <c r="L14" s="25">
        <v>41856</v>
      </c>
      <c r="M14" s="25">
        <v>41863</v>
      </c>
      <c r="N14" s="25">
        <v>41905</v>
      </c>
      <c r="Q14" s="25">
        <v>42150</v>
      </c>
      <c r="T14" s="77" t="s">
        <v>74</v>
      </c>
      <c r="U14" s="12">
        <v>42306</v>
      </c>
    </row>
    <row r="15" spans="2:48" ht="25.5">
      <c r="B15" s="89">
        <v>278</v>
      </c>
      <c r="C15" s="90" t="s">
        <v>73</v>
      </c>
      <c r="D15" s="19">
        <v>6</v>
      </c>
      <c r="E15" s="25">
        <v>41988</v>
      </c>
      <c r="F15" s="25">
        <v>41995</v>
      </c>
      <c r="G15" s="25">
        <v>41995</v>
      </c>
      <c r="I15" s="75" t="s">
        <v>57</v>
      </c>
      <c r="J15" s="25">
        <v>42000</v>
      </c>
      <c r="L15" s="25">
        <v>42059</v>
      </c>
      <c r="N15" s="25">
        <v>42108</v>
      </c>
      <c r="Q15" s="25">
        <v>42353</v>
      </c>
      <c r="T15" s="90" t="s">
        <v>74</v>
      </c>
      <c r="U15" s="12">
        <v>42306</v>
      </c>
    </row>
    <row r="16" spans="2:48" ht="25.5">
      <c r="B16" s="89">
        <v>278</v>
      </c>
      <c r="C16" s="90" t="s">
        <v>73</v>
      </c>
      <c r="D16" s="19">
        <v>7</v>
      </c>
      <c r="E16" s="25">
        <v>41974</v>
      </c>
      <c r="F16" s="25">
        <v>41983</v>
      </c>
      <c r="G16" s="25">
        <v>41983</v>
      </c>
      <c r="I16" s="75" t="s">
        <v>57</v>
      </c>
      <c r="J16" s="25">
        <v>41986</v>
      </c>
      <c r="L16" s="25">
        <v>42045</v>
      </c>
      <c r="N16" s="25">
        <v>42094</v>
      </c>
      <c r="Q16" s="25">
        <v>42339</v>
      </c>
      <c r="T16" s="90" t="s">
        <v>74</v>
      </c>
      <c r="U16" s="12">
        <v>42306</v>
      </c>
    </row>
    <row r="17" spans="2:21" ht="25.5">
      <c r="B17" s="89">
        <v>278</v>
      </c>
      <c r="C17" s="90" t="s">
        <v>73</v>
      </c>
      <c r="D17" s="19">
        <v>8</v>
      </c>
      <c r="E17" s="25">
        <v>41969</v>
      </c>
      <c r="F17" s="25">
        <v>41976</v>
      </c>
      <c r="G17" s="25">
        <v>41976</v>
      </c>
      <c r="I17" s="75" t="s">
        <v>57</v>
      </c>
      <c r="J17" s="25">
        <v>41981</v>
      </c>
      <c r="K17" s="25">
        <v>41983</v>
      </c>
      <c r="L17" s="25">
        <v>42040</v>
      </c>
      <c r="N17" s="25">
        <v>42089</v>
      </c>
      <c r="Q17" s="25">
        <v>42334</v>
      </c>
      <c r="T17" s="90" t="s">
        <v>74</v>
      </c>
      <c r="U17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3" t="s">
        <v>16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5"/>
      <c r="M3" s="105"/>
      <c r="N3" s="10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8" t="s">
        <v>58</v>
      </c>
      <c r="E4" s="11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149</v>
      </c>
      <c r="N4" s="106" t="str">
        <f>$C$12</f>
        <v>THOMAS Patrick</v>
      </c>
      <c r="O4" s="106"/>
      <c r="P4" s="106"/>
      <c r="Q4" s="106"/>
      <c r="R4" s="10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7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9" t="s">
        <v>19</v>
      </c>
      <c r="F7" s="110"/>
      <c r="G7" s="110"/>
      <c r="H7" s="110"/>
      <c r="I7" s="110"/>
      <c r="J7" s="111" t="s">
        <v>20</v>
      </c>
      <c r="K7" s="112"/>
      <c r="L7" s="113" t="s">
        <v>21</v>
      </c>
      <c r="M7" s="113"/>
      <c r="N7" s="114" t="s">
        <v>22</v>
      </c>
      <c r="O7" s="115"/>
      <c r="P7" s="116"/>
      <c r="Q7" s="117" t="s">
        <v>23</v>
      </c>
      <c r="R7" s="115"/>
      <c r="S7" s="11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149</v>
      </c>
      <c r="C10" s="42" t="s">
        <v>72</v>
      </c>
      <c r="D10" s="19">
        <v>3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2">
        <v>149</v>
      </c>
      <c r="C11" s="73" t="s">
        <v>72</v>
      </c>
      <c r="D11" s="19">
        <v>1</v>
      </c>
      <c r="E11" s="25">
        <v>41784</v>
      </c>
      <c r="F11" s="25">
        <v>41905</v>
      </c>
      <c r="G11" s="25">
        <v>41792</v>
      </c>
      <c r="I11" s="44" t="s">
        <v>57</v>
      </c>
      <c r="J11" s="25">
        <v>41796</v>
      </c>
      <c r="K11" s="25">
        <v>41792</v>
      </c>
      <c r="L11" s="25">
        <v>41855</v>
      </c>
      <c r="M11" s="25">
        <v>41844</v>
      </c>
      <c r="N11" s="25">
        <v>41904</v>
      </c>
      <c r="O11" s="25">
        <v>41792</v>
      </c>
      <c r="P11" s="25">
        <v>41905</v>
      </c>
      <c r="Q11" s="25">
        <v>42149</v>
      </c>
      <c r="R11" s="25">
        <v>41852</v>
      </c>
      <c r="S11" s="25">
        <v>41905</v>
      </c>
      <c r="T11" s="73" t="s">
        <v>71</v>
      </c>
      <c r="U11" s="12">
        <v>42306</v>
      </c>
    </row>
    <row r="12" spans="2:48" ht="18" customHeight="1">
      <c r="B12" s="72">
        <v>149</v>
      </c>
      <c r="C12" s="73" t="s">
        <v>72</v>
      </c>
      <c r="D12" s="19">
        <v>2</v>
      </c>
      <c r="E12" s="25">
        <v>41811</v>
      </c>
      <c r="F12" s="25">
        <v>41905</v>
      </c>
      <c r="I12" s="44" t="s">
        <v>57</v>
      </c>
      <c r="J12" s="25">
        <v>41823</v>
      </c>
      <c r="L12" s="25">
        <v>41882</v>
      </c>
      <c r="N12" s="25">
        <v>41931</v>
      </c>
      <c r="O12" s="25">
        <v>41818</v>
      </c>
      <c r="P12" s="25">
        <v>41905</v>
      </c>
      <c r="Q12" s="25">
        <v>42176</v>
      </c>
      <c r="R12" s="25">
        <v>41879</v>
      </c>
      <c r="S12" s="25">
        <v>41905</v>
      </c>
      <c r="T12" s="73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Secteur DE0301</vt:lpstr>
      <vt:lpstr>01354480</vt:lpstr>
      <vt:lpstr>01676570</vt:lpstr>
      <vt:lpstr>02952827</vt:lpstr>
      <vt:lpstr>00026577</vt:lpstr>
      <vt:lpstr>07543657</vt:lpstr>
      <vt:lpstr>07266945</vt:lpstr>
      <vt:lpstr>07826105</vt:lpstr>
      <vt:lpstr>08519590</vt:lpstr>
      <vt:lpstr>08998792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2015-10-29T22:02:17Z</dcterms:modified>
</cp:coreProperties>
</file>