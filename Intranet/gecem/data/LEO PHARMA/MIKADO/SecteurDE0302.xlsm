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queryTables/queryTable19.xml" ContentType="application/vnd.openxmlformats-officedocument.spreadsheetml.query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tables/table12.xml" ContentType="application/vnd.openxmlformats-officedocument.spreadsheetml.table+xml"/>
  <Override PartName="/xl/queryTables/queryTable17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queryTables/queryTable15.xml" ContentType="application/vnd.openxmlformats-officedocument.spreadsheetml.query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0.xml" ContentType="application/vnd.openxmlformats-officedocument.spreadsheetml.query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queryTables/queryTable18.xml" ContentType="application/vnd.openxmlformats-officedocument.spreadsheetml.query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queryTables/queryTable16.xml" ContentType="application/vnd.openxmlformats-officedocument.spreadsheetml.queryTable+xml"/>
  <Override PartName="/xl/tables/table2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queryTables/queryTable14.xml" ContentType="application/vnd.openxmlformats-officedocument.spreadsheetml.queryTable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 tabRatio="837"/>
  </bookViews>
  <sheets>
    <sheet name="Secteur DE0302" sheetId="1" r:id="rId1"/>
    <sheet name="00102570" sheetId="2" r:id="rId2"/>
    <sheet name="00129265" sheetId="3" r:id="rId3"/>
    <sheet name="00534677" sheetId="13" r:id="rId4"/>
    <sheet name="01900144" sheetId="4" r:id="rId5"/>
    <sheet name="04860131" sheetId="18" r:id="rId6"/>
    <sheet name="05922324" sheetId="5" r:id="rId7"/>
    <sheet name="03052070" sheetId="6" r:id="rId8"/>
    <sheet name="03935190" sheetId="20" r:id="rId9"/>
    <sheet name="04298787" sheetId="7" r:id="rId10"/>
    <sheet name="04375351" sheetId="8" r:id="rId11"/>
    <sheet name="04375367" sheetId="9" r:id="rId12"/>
    <sheet name="04619743" sheetId="14" r:id="rId13"/>
    <sheet name="04717040" sheetId="17" r:id="rId14"/>
    <sheet name="05889359" sheetId="10" r:id="rId15"/>
    <sheet name="05926175" sheetId="11" r:id="rId16"/>
    <sheet name="06421644" sheetId="15" r:id="rId17"/>
    <sheet name="07749053" sheetId="16" r:id="rId18"/>
    <sheet name="08550639" sheetId="19" r:id="rId19"/>
    <sheet name="09238605" sheetId="12" r:id="rId20"/>
  </sheets>
  <definedNames>
    <definedName name="Lancer_la_requête_à_partir_de_MS_Access_Database" localSheetId="1" hidden="1">'00102570'!$B$9:$U$12</definedName>
    <definedName name="Lancer_la_requête_à_partir_de_MS_Access_Database" localSheetId="2" hidden="1">'00129265'!$B$9:$U$14</definedName>
    <definedName name="Lancer_la_requête_à_partir_de_MS_Access_Database" localSheetId="3" hidden="1">'00534677'!$B$9:$U$17</definedName>
    <definedName name="Lancer_la_requête_à_partir_de_MS_Access_Database" localSheetId="4" hidden="1">'01900144'!$B$9:$U$12</definedName>
    <definedName name="Lancer_la_requête_à_partir_de_MS_Access_Database" localSheetId="7" hidden="1">'03052070'!$B$9:$U$14</definedName>
    <definedName name="Lancer_la_requête_à_partir_de_MS_Access_Database" localSheetId="8" hidden="1">'03935190'!$B$9:$U$12</definedName>
    <definedName name="Lancer_la_requête_à_partir_de_MS_Access_Database" localSheetId="9" hidden="1">'04298787'!$B$9:$U$13</definedName>
    <definedName name="Lancer_la_requête_à_partir_de_MS_Access_Database" localSheetId="10" hidden="1">'04375351'!$B$9:$U$12</definedName>
    <definedName name="Lancer_la_requête_à_partir_de_MS_Access_Database" localSheetId="11" hidden="1">'04375367'!$B$9:$U$12</definedName>
    <definedName name="Lancer_la_requête_à_partir_de_MS_Access_Database" localSheetId="12" hidden="1">'04619743'!$B$9:$U$12</definedName>
    <definedName name="Lancer_la_requête_à_partir_de_MS_Access_Database" localSheetId="13" hidden="1">'04717040'!$B$9:$U$12</definedName>
    <definedName name="Lancer_la_requête_à_partir_de_MS_Access_Database" localSheetId="5" hidden="1">'04860131'!$B$9:$U$13</definedName>
    <definedName name="Lancer_la_requête_à_partir_de_MS_Access_Database" localSheetId="14" hidden="1">'05889359'!$B$9:$U$12</definedName>
    <definedName name="Lancer_la_requête_à_partir_de_MS_Access_Database" localSheetId="6" hidden="1">'05922324'!$B$9:$U$12</definedName>
    <definedName name="Lancer_la_requête_à_partir_de_MS_Access_Database" localSheetId="15" hidden="1">'05926175'!$B$9:$U$12</definedName>
    <definedName name="Lancer_la_requête_à_partir_de_MS_Access_Database" localSheetId="16" hidden="1">'06421644'!$B$9:$U$12</definedName>
    <definedName name="Lancer_la_requête_à_partir_de_MS_Access_Database" localSheetId="17" hidden="1">'07749053'!$B$9:$U$12</definedName>
    <definedName name="Lancer_la_requête_à_partir_de_MS_Access_Database" localSheetId="18" hidden="1">'08550639'!$B$9:$U$12</definedName>
    <definedName name="Lancer_la_requête_à_partir_de_MS_Access_Database" localSheetId="19" hidden="1">'09238605'!$B$9:$U$12</definedName>
    <definedName name="Lancer_la_requête_à_partir_de_MS_Access_Database_1" localSheetId="0" hidden="1">'Secteur DE0302'!$A$7:$K$26</definedName>
  </definedNames>
  <calcPr calcId="125725"/>
</workbook>
</file>

<file path=xl/calcChain.xml><?xml version="1.0" encoding="utf-8"?>
<calcChain xmlns="http://schemas.openxmlformats.org/spreadsheetml/2006/main">
  <c r="D27" i="1"/>
  <c r="E27"/>
  <c r="F27"/>
  <c r="G27"/>
  <c r="H27"/>
  <c r="I27"/>
  <c r="N4" i="20"/>
  <c r="M4"/>
  <c r="F4"/>
  <c r="N4" i="19"/>
  <c r="M4"/>
  <c r="F4"/>
  <c r="N4" i="18"/>
  <c r="M4"/>
  <c r="F4"/>
  <c r="N4" i="17"/>
  <c r="M4"/>
  <c r="F4"/>
  <c r="N4" i="16"/>
  <c r="M4"/>
  <c r="F4"/>
  <c r="N4" i="15"/>
  <c r="M4"/>
  <c r="F4"/>
  <c r="N4" i="14"/>
  <c r="M4"/>
  <c r="F4"/>
  <c r="N4" i="13" l="1"/>
  <c r="M4"/>
  <c r="F4"/>
  <c r="N4" i="12"/>
  <c r="M4"/>
  <c r="F4"/>
  <c r="N4" i="11"/>
  <c r="M4"/>
  <c r="F4"/>
  <c r="N4" i="10"/>
  <c r="M4"/>
  <c r="F4"/>
  <c r="N4" i="9"/>
  <c r="M4"/>
  <c r="F4"/>
  <c r="N4" i="8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G2" i="1"/>
  <c r="F2"/>
  <c r="D3"/>
  <c r="F4" i="2"/>
  <c r="N4"/>
  <c r="M4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302')_x000d__x000a_ORDER BY Req_REPORT_SECTEURS_GLOBAL.Medecin"/>
  </connection>
  <connection id="2" name="Lancer la requête à partir de MS Access Database0010257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102570')"/>
  </connection>
  <connection id="3" name="Lancer la requête à partir de MS Access Database0012926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129265')"/>
  </connection>
  <connection id="4" name="Lancer la requête à partir de MS Access Database0053467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534677')"/>
  </connection>
  <connection id="5" name="Lancer la requête à partir de MS Access Database0190014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900144')"/>
  </connection>
  <connection id="6" name="Lancer la requête à partir de MS Access Database0305207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052070')"/>
  </connection>
  <connection id="7" name="Lancer la requête à partir de MS Access Database0393519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935190')"/>
  </connection>
  <connection id="8" name="Lancer la requête à partir de MS Access Database0429878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298787')"/>
  </connection>
  <connection id="9" name="Lancer la requête à partir de MS Access Database0437535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375351')"/>
  </connection>
  <connection id="10" name="Lancer la requête à partir de MS Access Database0437536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375367')"/>
  </connection>
  <connection id="11" name="Lancer la requête à partir de MS Access Database0461974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619743')"/>
  </connection>
  <connection id="12" name="Lancer la requête à partir de MS Access Database0471704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717040')"/>
  </connection>
  <connection id="13" name="Lancer la requête à partir de MS Access Database0486013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860131')"/>
  </connection>
  <connection id="14" name="Lancer la requête à partir de MS Access Database0588935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889359')"/>
  </connection>
  <connection id="15" name="Lancer la requête à partir de MS Access Database0592232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922324')"/>
  </connection>
  <connection id="16" name="Lancer la requête à partir de MS Access Database0592617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926175')"/>
  </connection>
  <connection id="17" name="Lancer la requête à partir de MS Access Database0642164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421644')"/>
  </connection>
  <connection id="18" name="Lancer la requête à partir de MS Access Database0774905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749053')"/>
  </connection>
  <connection id="19" name="Lancer la requête à partir de MS Access Database0855063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550639')"/>
  </connection>
  <connection id="20" name="Lancer la requête à partir de MS Access Database0923860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238605')"/>
  </connection>
</connections>
</file>

<file path=xl/sharedStrings.xml><?xml version="1.0" encoding="utf-8"?>
<sst xmlns="http://schemas.openxmlformats.org/spreadsheetml/2006/main" count="1184" uniqueCount="125">
  <si>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</si>
  <si>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</si>
  <si>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</si>
  <si>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</si>
  <si>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</si>
  <si>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</si>
  <si>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</si>
  <si>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</si>
  <si>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</si>
  <si>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</si>
  <si>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</si>
  <si>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</si>
  <si>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</si>
  <si>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</si>
  <si>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</si>
  <si>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</si>
  <si>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</si>
  <si>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</si>
  <si>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</si>
  <si>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</si>
  <si>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</si>
  <si>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</si>
  <si>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</si>
  <si>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</si>
  <si>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</si>
  <si>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</si>
  <si>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</si>
  <si>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</si>
  <si>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</si>
  <si>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</si>
  <si>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</si>
  <si>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</si>
  <si>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</si>
  <si>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</si>
  <si>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</si>
  <si>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</si>
  <si>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</si>
  <si>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</si>
  <si>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</si>
  <si>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</si>
  <si>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</si>
  <si>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</si>
  <si>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</si>
  <si>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</si>
  <si>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</si>
  <si>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</si>
  <si>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</si>
  <si>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</si>
  <si>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</si>
  <si>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</si>
  <si>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</si>
  <si>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</si>
  <si>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</si>
  <si>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</si>
  <si>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</si>
  <si>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</si>
  <si>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</si>
  <si>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</si>
  <si>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</si>
  <si>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DE0302</t>
  </si>
  <si>
    <t>GEORGES Christine</t>
  </si>
  <si>
    <t>WFRM00102570</t>
  </si>
  <si>
    <t>ALLARD-GARY Claudine</t>
  </si>
  <si>
    <t>WFRM00129265</t>
  </si>
  <si>
    <t>AMICI Jean-Michel</t>
  </si>
  <si>
    <t>WFRM01900144</t>
  </si>
  <si>
    <t>CHATEIN Anne-Marie</t>
  </si>
  <si>
    <t>WFRM05922324</t>
  </si>
  <si>
    <t>COMPAIN-LAURENT Isabelle</t>
  </si>
  <si>
    <t>WFRM03052070</t>
  </si>
  <si>
    <t>DUBOZ Anne</t>
  </si>
  <si>
    <t>WFRM04298787</t>
  </si>
  <si>
    <t>GUERANT Nicole</t>
  </si>
  <si>
    <t>WFRM04375351</t>
  </si>
  <si>
    <t>GUILLOT Muriel</t>
  </si>
  <si>
    <t>WFRM04375367</t>
  </si>
  <si>
    <t>GUILLOT Patrick</t>
  </si>
  <si>
    <t>WFRM05889359</t>
  </si>
  <si>
    <t>LOUSTALAN Marie-Pierre</t>
  </si>
  <si>
    <t>WFRM05926175</t>
  </si>
  <si>
    <t>LY Sandra</t>
  </si>
  <si>
    <t>WFRM09238605</t>
  </si>
  <si>
    <t>VERSAPUECH Julie</t>
  </si>
  <si>
    <t>BASPEYRAS Martine</t>
  </si>
  <si>
    <t>WFRM00534677</t>
  </si>
  <si>
    <t>WFRM04619743</t>
  </si>
  <si>
    <t>HOCKE Claudine</t>
  </si>
  <si>
    <t>WFRM06421644</t>
  </si>
  <si>
    <t>16juin: N' a pas inclus car n'a pas encore rencontré de patient de ce type. Les voit plus tôt en hiver.</t>
  </si>
  <si>
    <t>11juin: Demande de lui renvoyer un dossier patient car en a perdu 1.</t>
  </si>
  <si>
    <t>WFRM07749053</t>
  </si>
  <si>
    <t>REGUILHEM Olivier</t>
  </si>
  <si>
    <t>MEUNIER-LALANNE Marie-Joëlle</t>
  </si>
  <si>
    <t>Mail - Courrier - Téléphone - Via médecin</t>
  </si>
  <si>
    <t>SMS - Mail - Courrier - Téléphone</t>
  </si>
  <si>
    <t>Courrier - Téléphone - Via médecin</t>
  </si>
  <si>
    <t>Via médecin</t>
  </si>
  <si>
    <t>SMS</t>
  </si>
  <si>
    <t>SMS - Courrier - Téléphone</t>
  </si>
  <si>
    <t>Téléphone</t>
  </si>
  <si>
    <t>Mail - Via médecin</t>
  </si>
  <si>
    <t>Courrier 05/08: demande envoi visite inclusion des patients 1, 2, 3</t>
  </si>
  <si>
    <t>Courrier 05/08: demande envoi visite inclusion patient 1</t>
  </si>
  <si>
    <t>04sept: a inclus son premier patient en rentrant de vacances. Elle trouve l'étude assez simple à réaliser, et va la terminer prochainement.</t>
  </si>
  <si>
    <t>04sept: tres debordé mais y pense et va s'en occuper prochainement</t>
  </si>
  <si>
    <t>10sept: Le Dr a peur de ne pas avoir assez de temps pour inclure des patients d'ici fin octobre, mais y pense.</t>
  </si>
  <si>
    <t>11sept: 1 seul patient. Va essayer d'inclure d'autre patient. Pas de souci particulier manque de temps</t>
  </si>
  <si>
    <t>10sept: va s'y mettre_x000D_
Le Dr y pense. N'a pour l'instant personne, mais en inclura dès qu'elle aura des patients à traiter.</t>
  </si>
  <si>
    <t>SMS - Courrier</t>
  </si>
  <si>
    <t>Mail - Courrier - Via médecin</t>
  </si>
  <si>
    <t>Courrier</t>
  </si>
  <si>
    <t>WFRM04717040</t>
  </si>
  <si>
    <t>IMBERT Jacqueline</t>
  </si>
  <si>
    <t>COLBERT Lorraine</t>
  </si>
  <si>
    <t>WFRM04860131</t>
  </si>
  <si>
    <t>WFRM08550639</t>
  </si>
  <si>
    <t>WFRM03935190</t>
  </si>
  <si>
    <t>GEORGEVITCH Yvette</t>
  </si>
  <si>
    <t>24oct: Se désiste, les patients qu'elle voit ne correspondent pas aux critères de l'étude</t>
  </si>
  <si>
    <t>SAVARIAULT-JAECK Isabelle</t>
  </si>
  <si>
    <t>17oct: a inclus ses 3 patients nous envoie les questionnaires</t>
  </si>
  <si>
    <t>17nov: envoi de 2 cahiers</t>
  </si>
  <si>
    <t>Mail</t>
  </si>
  <si>
    <t>Demande le renvoi visite d'inclusion du patient 1794 =&gt; OK me le renvoit demain pas de souci a oublié</t>
  </si>
  <si>
    <t>demande le renvoi de la visite d'inclusion du patient 1694</t>
  </si>
</sst>
</file>

<file path=xl/styles.xml><?xml version="1.0" encoding="utf-8"?>
<styleSheet xmlns="http://schemas.openxmlformats.org/spreadsheetml/2006/main">
  <numFmts count="1">
    <numFmt numFmtId="164" formatCode="dd/mm/yy;@"/>
  </numFmts>
  <fonts count="29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37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22" fontId="0" fillId="0" borderId="0" xfId="0" applyNumberFormat="1" applyAlignment="1">
      <alignment vertical="center" wrapText="1"/>
    </xf>
    <xf numFmtId="164" fontId="0" fillId="0" borderId="0" xfId="0" applyNumberFormat="1" applyAlignment="1">
      <alignment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27" fillId="0" borderId="0" xfId="0" applyFont="1" applyAlignment="1">
      <alignment horizontal="center" vertical="center" wrapText="1"/>
    </xf>
    <xf numFmtId="0" fontId="27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8" fillId="2" borderId="0" xfId="0" applyFont="1" applyFill="1" applyAlignment="1">
      <alignment horizontal="center"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418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417"/>
      <tableStyleElement type="headerRow" dxfId="416"/>
      <tableStyleElement type="totalRow" dxfId="415"/>
      <tableStyleElement type="firstColumn" dxfId="414"/>
      <tableStyleElement type="lastColumn" dxfId="413"/>
      <tableStyleElement type="firstRowStripe" dxfId="412"/>
      <tableStyleElement type="secondRowStripe" dxfId="411"/>
      <tableStyleElement type="firstColumnStripe" dxfId="410"/>
      <tableStyleElement type="secondColumnStripe" dxfId="409"/>
    </tableStyle>
    <tableStyle name="TableStyleLight8 2" pivot="0" count="9">
      <tableStyleElement type="wholeTable" dxfId="408"/>
      <tableStyleElement type="headerRow" dxfId="407"/>
      <tableStyleElement type="totalRow" dxfId="406"/>
      <tableStyleElement type="firstColumn" dxfId="405"/>
      <tableStyleElement type="lastColumn" dxfId="404"/>
      <tableStyleElement type="firstRowStripe" dxfId="403"/>
      <tableStyleElement type="secondRowStripe" dxfId="402"/>
      <tableStyleElement type="firstColumnStripe" dxfId="401"/>
      <tableStyleElement type="secondColumnStripe" dxfId="400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2">
    <queryTableFields count="11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1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1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3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4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5.xml><?xml version="1.0" encoding="utf-8"?>
<queryTable xmlns="http://schemas.openxmlformats.org/spreadsheetml/2006/main" name="Lancer la requête à partir de MS Access Database" adjustColumnWidth="0" connectionId="1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6.xml><?xml version="1.0" encoding="utf-8"?>
<queryTable xmlns="http://schemas.openxmlformats.org/spreadsheetml/2006/main" name="Lancer la requête à partir de MS Access Database" adjustColumnWidth="0" connectionId="1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7.xml><?xml version="1.0" encoding="utf-8"?>
<queryTable xmlns="http://schemas.openxmlformats.org/spreadsheetml/2006/main" name="Lancer la requête à partir de MS Access Database" adjustColumnWidth="0" connectionId="1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8.xml><?xml version="1.0" encoding="utf-8"?>
<queryTable xmlns="http://schemas.openxmlformats.org/spreadsheetml/2006/main" name="Lancer la requête à partir de MS Access Database" adjustColumnWidth="0" connectionId="1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9.xml><?xml version="1.0" encoding="utf-8"?>
<queryTable xmlns="http://schemas.openxmlformats.org/spreadsheetml/2006/main" name="Lancer la requête à partir de MS Access Database" adjustColumnWidth="0" connectionId="1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20.xml><?xml version="1.0" encoding="utf-8"?>
<queryTable xmlns="http://schemas.openxmlformats.org/spreadsheetml/2006/main" name="Lancer la requête à partir de MS Access Database" adjustColumnWidth="0" connectionId="2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K27" tableType="queryTable" totalsRowCount="1" headerRowDxfId="399" dataDxfId="398">
  <tableColumns count="11">
    <tableColumn id="1" uniqueName="1" name="Code Secteur" queryTableFieldId="1" dataDxfId="386" totalsRowDxfId="387"/>
    <tableColumn id="2" uniqueName="2" name="VM" queryTableFieldId="2" dataDxfId="385" totalsRowDxfId="388"/>
    <tableColumn id="3" uniqueName="3" name="Code médecin" totalsRowLabel="TOTAL" queryTableFieldId="3" dataDxfId="384" totalsRowDxfId="389" dataCellStyle="Lien hypertexte"/>
    <tableColumn id="4" uniqueName="4" name="Medecin" totalsRowFunction="custom" queryTableFieldId="4" dataDxfId="383" totalsRowDxfId="390">
      <totalsRowFormula>SUBTOTAL(3,D8:D26)</totalsRowFormula>
    </tableColumn>
    <tableColumn id="5" uniqueName="5" name="Date de réception convention financière" totalsRowFunction="custom" queryTableFieldId="5" dataDxfId="382" totalsRowDxfId="391">
      <totalsRowFormula>SUBTOTAL(3,[Date de réception convention financière])</totalsRowFormula>
    </tableColumn>
    <tableColumn id="6" uniqueName="6" name="Date de réception AR kit" totalsRowFunction="custom" queryTableFieldId="6" dataDxfId="381" totalsRowDxfId="392">
      <totalsRowFormula>SUBTOTAL(3,[Date de réception AR kit])</totalsRowFormula>
    </tableColumn>
    <tableColumn id="7" uniqueName="7" name="Date de MEP" totalsRowFunction="custom" queryTableFieldId="7" dataDxfId="380" totalsRowDxfId="393">
      <totalsRowFormula>SUBTOTAL(3,[Date de MEP])</totalsRowFormula>
    </tableColumn>
    <tableColumn id="8" uniqueName="8" name="Desistement" totalsRowFunction="custom" queryTableFieldId="8" dataDxfId="379" totalsRowDxfId="394">
      <totalsRowFormula>SUBTOTAL(3,[Desistement])</totalsRowFormula>
    </tableColumn>
    <tableColumn id="9" uniqueName="9" name="Nb Total Patients inclus" totalsRowFunction="custom" queryTableFieldId="9" dataDxfId="378" totalsRowDxfId="395">
      <totalsRowFormula>SUBTOTAL(109,I8:I26)</totalsRowFormula>
    </tableColumn>
    <tableColumn id="10" uniqueName="10" name="Comptes-rendus contact médecin-GECEM" queryTableFieldId="10" dataDxfId="377" totalsRowDxfId="396"/>
    <tableColumn id="11" uniqueName="11" name="Date" queryTableFieldId="11" dataDxfId="376" totalsRowDxfId="397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" name="Tableau_Lancer_la_requête_à_partir_de_MS_Access_Database" displayName="Tableau_Lancer_la_requête_à_partir_de_MS_Access_Database" ref="B9:U12" tableType="queryTable" totalsRowShown="0">
  <autoFilter ref="B9:U12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375"/>
    <tableColumn id="4" uniqueName="4" name="INCLUSION_Visite" queryTableFieldId="4" dataDxfId="374"/>
    <tableColumn id="5" uniqueName="5" name="INCLUSION_Reception" queryTableFieldId="5" dataDxfId="373"/>
    <tableColumn id="6" uniqueName="6" name="AQINCLUSION_Reception" queryTableFieldId="6" dataDxfId="372"/>
    <tableColumn id="7" uniqueName="7" name="CONTACT_Reception" queryTableFieldId="7" dataDxfId="371"/>
    <tableColumn id="8" uniqueName="8" name="TypeRappel" queryTableFieldId="8"/>
    <tableColumn id="9" uniqueName="9" name="AQ7Theo" queryTableFieldId="9" dataDxfId="370"/>
    <tableColumn id="10" uniqueName="10" name="AQJ7_Reception" queryTableFieldId="10" dataDxfId="369"/>
    <tableColumn id="11" uniqueName="11" name="AQ_M2_Theo" queryTableFieldId="11" dataDxfId="368"/>
    <tableColumn id="12" uniqueName="12" name="AQM2_Reception" queryTableFieldId="12" dataDxfId="367"/>
    <tableColumn id="13" uniqueName="13" name="VP_Theo" queryTableFieldId="13" dataDxfId="366"/>
    <tableColumn id="14" uniqueName="14" name="PRECOCE_Visite" queryTableFieldId="14" dataDxfId="365"/>
    <tableColumn id="15" uniqueName="15" name="PRECOCE_Reception" queryTableFieldId="15" dataDxfId="364"/>
    <tableColumn id="16" uniqueName="16" name="VT_Theo" queryTableFieldId="16" dataDxfId="363"/>
    <tableColumn id="17" uniqueName="17" name="TARDIF_Visite" queryTableFieldId="17" dataDxfId="362"/>
    <tableColumn id="18" uniqueName="18" name="TARDIF_Reception" queryTableFieldId="18" dataDxfId="361"/>
    <tableColumn id="19" uniqueName="19" name="Onekey" queryTableFieldId="19"/>
    <tableColumn id="20" uniqueName="20" name="Date" queryTableFieldId="20" dataDxfId="36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3" name="Tableau_Lancer_la_requête_à_partir_de_MS_Access_Database4" displayName="Tableau_Lancer_la_requête_à_partir_de_MS_Access_Database4" ref="B9:U14" tableType="queryTable" totalsRowShown="0">
  <autoFilter ref="B9:U14"/>
  <tableColumns count="20">
    <tableColumn id="1" uniqueName="1" name="Num_Centre" queryTableFieldId="1" dataDxfId="359"/>
    <tableColumn id="2" uniqueName="2" name="Investigateur" queryTableFieldId="2" dataDxfId="358"/>
    <tableColumn id="3" uniqueName="3" name="Num_Patient" queryTableFieldId="3" dataDxfId="357"/>
    <tableColumn id="4" uniqueName="4" name="INCLUSION_Visite" queryTableFieldId="4" dataDxfId="356"/>
    <tableColumn id="5" uniqueName="5" name="INCLUSION_Reception" queryTableFieldId="5" dataDxfId="355"/>
    <tableColumn id="6" uniqueName="6" name="AQINCLUSION_Reception" queryTableFieldId="6" dataDxfId="354"/>
    <tableColumn id="7" uniqueName="7" name="CONTACT_Reception" queryTableFieldId="7" dataDxfId="353"/>
    <tableColumn id="8" uniqueName="8" name="TypeRappel" queryTableFieldId="8" dataDxfId="352"/>
    <tableColumn id="9" uniqueName="9" name="AQ7Theo" queryTableFieldId="9" dataDxfId="351"/>
    <tableColumn id="10" uniqueName="10" name="AQJ7_Reception" queryTableFieldId="10" dataDxfId="350"/>
    <tableColumn id="11" uniqueName="11" name="AQ_M2_Theo" queryTableFieldId="11" dataDxfId="349"/>
    <tableColumn id="12" uniqueName="12" name="AQM2_Reception" queryTableFieldId="12" dataDxfId="348"/>
    <tableColumn id="13" uniqueName="13" name="VP_Theo" queryTableFieldId="13" dataDxfId="347"/>
    <tableColumn id="14" uniqueName="14" name="PRECOCE_Visite" queryTableFieldId="14" dataDxfId="346"/>
    <tableColumn id="15" uniqueName="15" name="PRECOCE_Reception" queryTableFieldId="15" dataDxfId="345"/>
    <tableColumn id="16" uniqueName="16" name="VT_Theo" queryTableFieldId="16" dataDxfId="344"/>
    <tableColumn id="17" uniqueName="17" name="TARDIF_Visite" queryTableFieldId="17" dataDxfId="343"/>
    <tableColumn id="18" uniqueName="18" name="TARDIF_Reception" queryTableFieldId="18" dataDxfId="342"/>
    <tableColumn id="19" uniqueName="19" name="Onekey" queryTableFieldId="19" dataDxfId="341"/>
    <tableColumn id="20" uniqueName="20" name="Date" queryTableFieldId="20" dataDxfId="34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13" name="Tableau_Lancer_la_requête_à_partir_de_MS_Access_Database4567891011121314" displayName="Tableau_Lancer_la_requête_à_partir_de_MS_Access_Database4567891011121314" ref="B9:U17" tableType="queryTable" totalsRowShown="0">
  <autoFilter ref="B9:U17"/>
  <tableColumns count="20">
    <tableColumn id="1" uniqueName="1" name="Num_Centre" queryTableFieldId="1" dataDxfId="339"/>
    <tableColumn id="2" uniqueName="2" name="Investigateur" queryTableFieldId="2" dataDxfId="338"/>
    <tableColumn id="3" uniqueName="3" name="Num_Patient" queryTableFieldId="3" dataDxfId="337"/>
    <tableColumn id="4" uniqueName="4" name="INCLUSION_Visite" queryTableFieldId="4" dataDxfId="336"/>
    <tableColumn id="5" uniqueName="5" name="INCLUSION_Reception" queryTableFieldId="5" dataDxfId="335"/>
    <tableColumn id="6" uniqueName="6" name="AQINCLUSION_Reception" queryTableFieldId="6" dataDxfId="334"/>
    <tableColumn id="7" uniqueName="7" name="CONTACT_Reception" queryTableFieldId="7" dataDxfId="333"/>
    <tableColumn id="8" uniqueName="8" name="TypeRappel" queryTableFieldId="8" dataDxfId="332"/>
    <tableColumn id="9" uniqueName="9" name="AQ7Theo" queryTableFieldId="9" dataDxfId="331"/>
    <tableColumn id="10" uniqueName="10" name="AQJ7_Reception" queryTableFieldId="10" dataDxfId="330"/>
    <tableColumn id="11" uniqueName="11" name="AQ_M2_Theo" queryTableFieldId="11" dataDxfId="329"/>
    <tableColumn id="12" uniqueName="12" name="AQM2_Reception" queryTableFieldId="12" dataDxfId="328"/>
    <tableColumn id="13" uniqueName="13" name="VP_Theo" queryTableFieldId="13" dataDxfId="327"/>
    <tableColumn id="14" uniqueName="14" name="PRECOCE_Visite" queryTableFieldId="14" dataDxfId="326"/>
    <tableColumn id="15" uniqueName="15" name="PRECOCE_Reception" queryTableFieldId="15" dataDxfId="325"/>
    <tableColumn id="16" uniqueName="16" name="VT_Theo" queryTableFieldId="16" dataDxfId="324"/>
    <tableColumn id="17" uniqueName="17" name="TARDIF_Visite" queryTableFieldId="17" dataDxfId="323"/>
    <tableColumn id="18" uniqueName="18" name="TARDIF_Reception" queryTableFieldId="18" dataDxfId="322"/>
    <tableColumn id="19" uniqueName="19" name="Onekey" queryTableFieldId="19" dataDxfId="321"/>
    <tableColumn id="20" uniqueName="20" name="Date" queryTableFieldId="20" dataDxfId="32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4" name="Tableau_Lancer_la_requête_à_partir_de_MS_Access_Database45" displayName="Tableau_Lancer_la_requête_à_partir_de_MS_Access_Database45" ref="B9:U12" tableType="queryTable" totalsRowShown="0">
  <autoFilter ref="B9:U12"/>
  <tableColumns count="20">
    <tableColumn id="1" uniqueName="1" name="Num_Centre" queryTableFieldId="1" dataDxfId="319"/>
    <tableColumn id="2" uniqueName="2" name="Investigateur" queryTableFieldId="2" dataDxfId="318"/>
    <tableColumn id="3" uniqueName="3" name="Num_Patient" queryTableFieldId="3" dataDxfId="317"/>
    <tableColumn id="4" uniqueName="4" name="INCLUSION_Visite" queryTableFieldId="4" dataDxfId="316"/>
    <tableColumn id="5" uniqueName="5" name="INCLUSION_Reception" queryTableFieldId="5" dataDxfId="315"/>
    <tableColumn id="6" uniqueName="6" name="AQINCLUSION_Reception" queryTableFieldId="6" dataDxfId="314"/>
    <tableColumn id="7" uniqueName="7" name="CONTACT_Reception" queryTableFieldId="7" dataDxfId="313"/>
    <tableColumn id="8" uniqueName="8" name="TypeRappel" queryTableFieldId="8" dataDxfId="312"/>
    <tableColumn id="9" uniqueName="9" name="AQ7Theo" queryTableFieldId="9" dataDxfId="311"/>
    <tableColumn id="10" uniqueName="10" name="AQJ7_Reception" queryTableFieldId="10" dataDxfId="310"/>
    <tableColumn id="11" uniqueName="11" name="AQ_M2_Theo" queryTableFieldId="11" dataDxfId="309"/>
    <tableColumn id="12" uniqueName="12" name="AQM2_Reception" queryTableFieldId="12" dataDxfId="308"/>
    <tableColumn id="13" uniqueName="13" name="VP_Theo" queryTableFieldId="13" dataDxfId="307"/>
    <tableColumn id="14" uniqueName="14" name="PRECOCE_Visite" queryTableFieldId="14" dataDxfId="306"/>
    <tableColumn id="15" uniqueName="15" name="PRECOCE_Reception" queryTableFieldId="15" dataDxfId="305"/>
    <tableColumn id="16" uniqueName="16" name="VT_Theo" queryTableFieldId="16" dataDxfId="304"/>
    <tableColumn id="17" uniqueName="17" name="TARDIF_Visite" queryTableFieldId="17" dataDxfId="303"/>
    <tableColumn id="18" uniqueName="18" name="TARDIF_Reception" queryTableFieldId="18" dataDxfId="302"/>
    <tableColumn id="19" uniqueName="19" name="Onekey" queryTableFieldId="19" dataDxfId="301"/>
    <tableColumn id="20" uniqueName="20" name="Date" queryTableFieldId="20" dataDxfId="30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18" name="Tableau_Lancer_la_requête_à_partir_de_MS_Access_Database4519" displayName="Tableau_Lancer_la_requête_à_partir_de_MS_Access_Database4519" ref="B9:U13" tableType="queryTable" totalsRowShown="0">
  <autoFilter ref="B9:U13"/>
  <tableColumns count="20">
    <tableColumn id="1" uniqueName="1" name="Num_Centre" queryTableFieldId="1" dataDxfId="299"/>
    <tableColumn id="2" uniqueName="2" name="Investigateur" queryTableFieldId="2" dataDxfId="298"/>
    <tableColumn id="3" uniqueName="3" name="Num_Patient" queryTableFieldId="3" dataDxfId="297"/>
    <tableColumn id="4" uniqueName="4" name="INCLUSION_Visite" queryTableFieldId="4" dataDxfId="296"/>
    <tableColumn id="5" uniqueName="5" name="INCLUSION_Reception" queryTableFieldId="5" dataDxfId="295"/>
    <tableColumn id="6" uniqueName="6" name="AQINCLUSION_Reception" queryTableFieldId="6" dataDxfId="294"/>
    <tableColumn id="7" uniqueName="7" name="CONTACT_Reception" queryTableFieldId="7" dataDxfId="293"/>
    <tableColumn id="8" uniqueName="8" name="TypeRappel" queryTableFieldId="8" dataDxfId="292"/>
    <tableColumn id="9" uniqueName="9" name="AQ7Theo" queryTableFieldId="9" dataDxfId="291"/>
    <tableColumn id="10" uniqueName="10" name="AQJ7_Reception" queryTableFieldId="10" dataDxfId="290"/>
    <tableColumn id="11" uniqueName="11" name="AQ_M2_Theo" queryTableFieldId="11" dataDxfId="289"/>
    <tableColumn id="12" uniqueName="12" name="AQM2_Reception" queryTableFieldId="12" dataDxfId="288"/>
    <tableColumn id="13" uniqueName="13" name="VP_Theo" queryTableFieldId="13" dataDxfId="287"/>
    <tableColumn id="14" uniqueName="14" name="PRECOCE_Visite" queryTableFieldId="14" dataDxfId="286"/>
    <tableColumn id="15" uniqueName="15" name="PRECOCE_Reception" queryTableFieldId="15" dataDxfId="285"/>
    <tableColumn id="16" uniqueName="16" name="VT_Theo" queryTableFieldId="16" dataDxfId="284"/>
    <tableColumn id="17" uniqueName="17" name="TARDIF_Visite" queryTableFieldId="17" dataDxfId="283"/>
    <tableColumn id="18" uniqueName="18" name="TARDIF_Reception" queryTableFieldId="18" dataDxfId="282"/>
    <tableColumn id="19" uniqueName="19" name="Onekey" queryTableFieldId="19" dataDxfId="281"/>
    <tableColumn id="20" uniqueName="20" name="Date" queryTableFieldId="20" dataDxfId="28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autoFilter ref="B9:U12"/>
  <tableColumns count="20">
    <tableColumn id="1" uniqueName="1" name="Num_Centre" queryTableFieldId="1" dataDxfId="279"/>
    <tableColumn id="2" uniqueName="2" name="Investigateur" queryTableFieldId="2" dataDxfId="278"/>
    <tableColumn id="3" uniqueName="3" name="Num_Patient" queryTableFieldId="3" dataDxfId="277"/>
    <tableColumn id="4" uniqueName="4" name="INCLUSION_Visite" queryTableFieldId="4" dataDxfId="276"/>
    <tableColumn id="5" uniqueName="5" name="INCLUSION_Reception" queryTableFieldId="5" dataDxfId="275"/>
    <tableColumn id="6" uniqueName="6" name="AQINCLUSION_Reception" queryTableFieldId="6" dataDxfId="274"/>
    <tableColumn id="7" uniqueName="7" name="CONTACT_Reception" queryTableFieldId="7" dataDxfId="273"/>
    <tableColumn id="8" uniqueName="8" name="TypeRappel" queryTableFieldId="8" dataDxfId="272"/>
    <tableColumn id="9" uniqueName="9" name="AQ7Theo" queryTableFieldId="9" dataDxfId="271"/>
    <tableColumn id="10" uniqueName="10" name="AQJ7_Reception" queryTableFieldId="10" dataDxfId="270"/>
    <tableColumn id="11" uniqueName="11" name="AQ_M2_Theo" queryTableFieldId="11" dataDxfId="269"/>
    <tableColumn id="12" uniqueName="12" name="AQM2_Reception" queryTableFieldId="12" dataDxfId="268"/>
    <tableColumn id="13" uniqueName="13" name="VP_Theo" queryTableFieldId="13" dataDxfId="267"/>
    <tableColumn id="14" uniqueName="14" name="PRECOCE_Visite" queryTableFieldId="14" dataDxfId="266"/>
    <tableColumn id="15" uniqueName="15" name="PRECOCE_Reception" queryTableFieldId="15" dataDxfId="265"/>
    <tableColumn id="16" uniqueName="16" name="VT_Theo" queryTableFieldId="16" dataDxfId="264"/>
    <tableColumn id="17" uniqueName="17" name="TARDIF_Visite" queryTableFieldId="17" dataDxfId="263"/>
    <tableColumn id="18" uniqueName="18" name="TARDIF_Reception" queryTableFieldId="18" dataDxfId="262"/>
    <tableColumn id="19" uniqueName="19" name="Onekey" queryTableFieldId="19" dataDxfId="261"/>
    <tableColumn id="20" uniqueName="20" name="Date" queryTableFieldId="20" dataDxfId="26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4" tableType="queryTable" totalsRowShown="0">
  <autoFilter ref="B9:U14"/>
  <tableColumns count="20">
    <tableColumn id="1" uniqueName="1" name="Num_Centre" queryTableFieldId="1" dataDxfId="259"/>
    <tableColumn id="2" uniqueName="2" name="Investigateur" queryTableFieldId="2" dataDxfId="258"/>
    <tableColumn id="3" uniqueName="3" name="Num_Patient" queryTableFieldId="3" dataDxfId="257"/>
    <tableColumn id="4" uniqueName="4" name="INCLUSION_Visite" queryTableFieldId="4" dataDxfId="256"/>
    <tableColumn id="5" uniqueName="5" name="INCLUSION_Reception" queryTableFieldId="5" dataDxfId="255"/>
    <tableColumn id="6" uniqueName="6" name="AQINCLUSION_Reception" queryTableFieldId="6" dataDxfId="254"/>
    <tableColumn id="7" uniqueName="7" name="CONTACT_Reception" queryTableFieldId="7" dataDxfId="253"/>
    <tableColumn id="8" uniqueName="8" name="TypeRappel" queryTableFieldId="8" dataDxfId="252"/>
    <tableColumn id="9" uniqueName="9" name="AQ7Theo" queryTableFieldId="9" dataDxfId="251"/>
    <tableColumn id="10" uniqueName="10" name="AQJ7_Reception" queryTableFieldId="10" dataDxfId="250"/>
    <tableColumn id="11" uniqueName="11" name="AQ_M2_Theo" queryTableFieldId="11" dataDxfId="249"/>
    <tableColumn id="12" uniqueName="12" name="AQM2_Reception" queryTableFieldId="12" dataDxfId="248"/>
    <tableColumn id="13" uniqueName="13" name="VP_Theo" queryTableFieldId="13" dataDxfId="247"/>
    <tableColumn id="14" uniqueName="14" name="PRECOCE_Visite" queryTableFieldId="14" dataDxfId="246"/>
    <tableColumn id="15" uniqueName="15" name="PRECOCE_Reception" queryTableFieldId="15" dataDxfId="245"/>
    <tableColumn id="16" uniqueName="16" name="VT_Theo" queryTableFieldId="16" dataDxfId="244"/>
    <tableColumn id="17" uniqueName="17" name="TARDIF_Visite" queryTableFieldId="17" dataDxfId="243"/>
    <tableColumn id="18" uniqueName="18" name="TARDIF_Reception" queryTableFieldId="18" dataDxfId="242"/>
    <tableColumn id="19" uniqueName="19" name="Onekey" queryTableFieldId="19" dataDxfId="241"/>
    <tableColumn id="20" uniqueName="20" name="Date" queryTableFieldId="20" dataDxfId="24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20" name="Tableau_Lancer_la_requête_à_partir_de_MS_Access_Database456721" displayName="Tableau_Lancer_la_requête_à_partir_de_MS_Access_Database456721" ref="B9:U12" tableType="queryTable" totalsRowShown="0">
  <autoFilter ref="B9:U12"/>
  <tableColumns count="20">
    <tableColumn id="1" uniqueName="1" name="Num_Centre" queryTableFieldId="1" dataDxfId="239"/>
    <tableColumn id="2" uniqueName="2" name="Investigateur" queryTableFieldId="2" dataDxfId="238"/>
    <tableColumn id="3" uniqueName="3" name="Num_Patient" queryTableFieldId="3" dataDxfId="237"/>
    <tableColumn id="4" uniqueName="4" name="INCLUSION_Visite" queryTableFieldId="4" dataDxfId="236"/>
    <tableColumn id="5" uniqueName="5" name="INCLUSION_Reception" queryTableFieldId="5" dataDxfId="235"/>
    <tableColumn id="6" uniqueName="6" name="AQINCLUSION_Reception" queryTableFieldId="6" dataDxfId="234"/>
    <tableColumn id="7" uniqueName="7" name="CONTACT_Reception" queryTableFieldId="7" dataDxfId="233"/>
    <tableColumn id="8" uniqueName="8" name="TypeRappel" queryTableFieldId="8" dataDxfId="232"/>
    <tableColumn id="9" uniqueName="9" name="AQ7Theo" queryTableFieldId="9" dataDxfId="231"/>
    <tableColumn id="10" uniqueName="10" name="AQJ7_Reception" queryTableFieldId="10" dataDxfId="230"/>
    <tableColumn id="11" uniqueName="11" name="AQ_M2_Theo" queryTableFieldId="11" dataDxfId="229"/>
    <tableColumn id="12" uniqueName="12" name="AQM2_Reception" queryTableFieldId="12" dataDxfId="228"/>
    <tableColumn id="13" uniqueName="13" name="VP_Theo" queryTableFieldId="13" dataDxfId="227"/>
    <tableColumn id="14" uniqueName="14" name="PRECOCE_Visite" queryTableFieldId="14" dataDxfId="226"/>
    <tableColumn id="15" uniqueName="15" name="PRECOCE_Reception" queryTableFieldId="15" dataDxfId="225"/>
    <tableColumn id="16" uniqueName="16" name="VT_Theo" queryTableFieldId="16" dataDxfId="224"/>
    <tableColumn id="17" uniqueName="17" name="TARDIF_Visite" queryTableFieldId="17" dataDxfId="223"/>
    <tableColumn id="18" uniqueName="18" name="TARDIF_Reception" queryTableFieldId="18" dataDxfId="222"/>
    <tableColumn id="19" uniqueName="19" name="Onekey" queryTableFieldId="19" dataDxfId="221"/>
    <tableColumn id="20" uniqueName="20" name="Date" queryTableFieldId="20" dataDxfId="22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3" tableType="queryTable" totalsRowShown="0">
  <autoFilter ref="B9:U13"/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8" name="Tableau_Lancer_la_requête_à_partir_de_MS_Access_Database456789" displayName="Tableau_Lancer_la_requête_à_partir_de_MS_Access_Database456789" ref="B9:U12" tableType="queryTable" totalsRowShown="0">
  <autoFilter ref="B9:U12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9" name="Tableau_Lancer_la_requête_à_partir_de_MS_Access_Database45678910" displayName="Tableau_Lancer_la_requête_à_partir_de_MS_Access_Database45678910" ref="B9:U12" tableType="queryTable" totalsRowShown="0">
  <autoFilter ref="B9:U12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13.xml><?xml version="1.0" encoding="utf-8"?>
<table xmlns="http://schemas.openxmlformats.org/spreadsheetml/2006/main" id="14" name="Tableau_Lancer_la_requête_à_partir_de_MS_Access_Database4567891015" displayName="Tableau_Lancer_la_requête_à_partir_de_MS_Access_Database4567891015" ref="B9:U12" tableType="queryTable" totalsRowShown="0">
  <autoFilter ref="B9:U12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14.xml><?xml version="1.0" encoding="utf-8"?>
<table xmlns="http://schemas.openxmlformats.org/spreadsheetml/2006/main" id="17" name="Tableau_Lancer_la_requête_à_partir_de_MS_Access_Database456789101518" displayName="Tableau_Lancer_la_requête_à_partir_de_MS_Access_Database456789101518" ref="B9:U12" tableType="queryTable" totalsRowShown="0">
  <autoFilter ref="B9:U12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15.xml><?xml version="1.0" encoding="utf-8"?>
<table xmlns="http://schemas.openxmlformats.org/spreadsheetml/2006/main" id="10" name="Tableau_Lancer_la_requête_à_partir_de_MS_Access_Database4567891011" displayName="Tableau_Lancer_la_requête_à_partir_de_MS_Access_Database4567891011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16.xml><?xml version="1.0" encoding="utf-8"?>
<table xmlns="http://schemas.openxmlformats.org/spreadsheetml/2006/main" id="11" name="Tableau_Lancer_la_requête_à_partir_de_MS_Access_Database456789101112" displayName="Tableau_Lancer_la_requête_à_partir_de_MS_Access_Database456789101112" ref="B9:U12" tableType="queryTable" totalsRowShown="0">
  <autoFilter ref="B9:U12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17.xml><?xml version="1.0" encoding="utf-8"?>
<table xmlns="http://schemas.openxmlformats.org/spreadsheetml/2006/main" id="15" name="Tableau_Lancer_la_requête_à_partir_de_MS_Access_Database4567891011121316" displayName="Tableau_Lancer_la_requête_à_partir_de_MS_Access_Database4567891011121316" ref="B9:U12" tableType="queryTable" totalsRowShown="0">
  <autoFilter ref="B9:U12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8.xml><?xml version="1.0" encoding="utf-8"?>
<table xmlns="http://schemas.openxmlformats.org/spreadsheetml/2006/main" id="16" name="Tableau_Lancer_la_requête_à_partir_de_MS_Access_Database456789101112131617" displayName="Tableau_Lancer_la_requête_à_partir_de_MS_Access_Database456789101112131617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9.xml><?xml version="1.0" encoding="utf-8"?>
<table xmlns="http://schemas.openxmlformats.org/spreadsheetml/2006/main" id="19" name="Tableau_Lancer_la_requête_à_partir_de_MS_Access_Database45678910111213161720" displayName="Tableau_Lancer_la_requête_à_partir_de_MS_Access_Database45678910111213161720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20.xml><?xml version="1.0" encoding="utf-8"?>
<table xmlns="http://schemas.openxmlformats.org/spreadsheetml/2006/main" id="12" name="Tableau_Lancer_la_requête_à_partir_de_MS_Access_Database45678910111213" displayName="Tableau_Lancer_la_requête_à_partir_de_MS_Access_Database45678910111213" ref="B9:U12" tableType="queryTable" totalsRowShown="0">
  <autoFilter ref="B9:U12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29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$A$26</f>
        <v>DE0302</v>
      </c>
      <c r="G2" s="120" t="str">
        <f>$B$26</f>
        <v>GEORGES Christine</v>
      </c>
      <c r="H2" s="120"/>
      <c r="I2" s="120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$K$26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</row>
    <row r="8" spans="1:17" s="82" customFormat="1" ht="45">
      <c r="A8" s="82" t="s">
        <v>59</v>
      </c>
      <c r="B8" s="82" t="s">
        <v>60</v>
      </c>
      <c r="C8" s="83" t="s">
        <v>61</v>
      </c>
      <c r="D8" s="84" t="s">
        <v>62</v>
      </c>
      <c r="E8" s="16">
        <v>41726</v>
      </c>
      <c r="F8" s="16">
        <v>41743</v>
      </c>
      <c r="G8" s="16">
        <v>41740</v>
      </c>
      <c r="H8" s="16"/>
      <c r="I8" s="15">
        <v>3</v>
      </c>
      <c r="J8" s="84" t="s">
        <v>103</v>
      </c>
      <c r="K8" s="85">
        <v>42306</v>
      </c>
    </row>
    <row r="9" spans="1:17" s="82" customFormat="1">
      <c r="A9" s="82" t="s">
        <v>59</v>
      </c>
      <c r="B9" s="82" t="s">
        <v>60</v>
      </c>
      <c r="C9" s="83" t="s">
        <v>63</v>
      </c>
      <c r="D9" s="84" t="s">
        <v>64</v>
      </c>
      <c r="E9" s="16">
        <v>41702</v>
      </c>
      <c r="F9" s="16">
        <v>41757</v>
      </c>
      <c r="G9" s="16">
        <v>41751</v>
      </c>
      <c r="H9" s="16"/>
      <c r="I9" s="15">
        <v>4</v>
      </c>
      <c r="J9" s="84" t="s">
        <v>121</v>
      </c>
      <c r="K9" s="85">
        <v>42306</v>
      </c>
    </row>
    <row r="10" spans="1:17" s="82" customFormat="1" ht="30">
      <c r="A10" s="82" t="s">
        <v>59</v>
      </c>
      <c r="B10" s="82" t="s">
        <v>60</v>
      </c>
      <c r="C10" s="83" t="s">
        <v>84</v>
      </c>
      <c r="D10" s="84" t="s">
        <v>83</v>
      </c>
      <c r="E10" s="16">
        <v>41773</v>
      </c>
      <c r="F10" s="16">
        <v>41800</v>
      </c>
      <c r="G10" s="16">
        <v>41796</v>
      </c>
      <c r="H10" s="16"/>
      <c r="I10" s="15">
        <v>8</v>
      </c>
      <c r="J10" s="84" t="s">
        <v>123</v>
      </c>
      <c r="K10" s="85">
        <v>42306</v>
      </c>
    </row>
    <row r="11" spans="1:17" s="82" customFormat="1" ht="30">
      <c r="A11" s="82" t="s">
        <v>59</v>
      </c>
      <c r="B11" s="82" t="s">
        <v>60</v>
      </c>
      <c r="C11" s="83" t="s">
        <v>65</v>
      </c>
      <c r="D11" s="84" t="s">
        <v>66</v>
      </c>
      <c r="E11" s="16">
        <v>41696</v>
      </c>
      <c r="F11" s="16">
        <v>41740</v>
      </c>
      <c r="G11" s="16">
        <v>41738</v>
      </c>
      <c r="H11" s="16"/>
      <c r="I11" s="15"/>
      <c r="J11" s="84" t="s">
        <v>88</v>
      </c>
      <c r="K11" s="85">
        <v>42306</v>
      </c>
    </row>
    <row r="12" spans="1:17" s="82" customFormat="1">
      <c r="A12" s="82" t="s">
        <v>59</v>
      </c>
      <c r="B12" s="82" t="s">
        <v>60</v>
      </c>
      <c r="C12" s="83" t="s">
        <v>114</v>
      </c>
      <c r="D12" s="84" t="s">
        <v>113</v>
      </c>
      <c r="E12" s="16">
        <v>41921</v>
      </c>
      <c r="F12" s="16">
        <v>41935</v>
      </c>
      <c r="G12" s="16">
        <v>41933</v>
      </c>
      <c r="H12" s="16"/>
      <c r="I12" s="15">
        <v>4</v>
      </c>
      <c r="J12" s="84"/>
      <c r="K12" s="85">
        <v>42306</v>
      </c>
    </row>
    <row r="13" spans="1:17" s="82" customFormat="1" ht="30">
      <c r="A13" s="82" t="s">
        <v>59</v>
      </c>
      <c r="B13" s="82" t="s">
        <v>60</v>
      </c>
      <c r="C13" s="83" t="s">
        <v>67</v>
      </c>
      <c r="D13" s="84" t="s">
        <v>68</v>
      </c>
      <c r="E13" s="16">
        <v>41698</v>
      </c>
      <c r="F13" s="16">
        <v>41743</v>
      </c>
      <c r="G13" s="16">
        <v>41740</v>
      </c>
      <c r="H13" s="16"/>
      <c r="I13" s="15">
        <v>3</v>
      </c>
      <c r="J13" s="84" t="s">
        <v>101</v>
      </c>
      <c r="K13" s="85">
        <v>42306</v>
      </c>
    </row>
    <row r="14" spans="1:17" s="82" customFormat="1">
      <c r="A14" s="82" t="s">
        <v>59</v>
      </c>
      <c r="B14" s="82" t="s">
        <v>60</v>
      </c>
      <c r="C14" s="83" t="s">
        <v>69</v>
      </c>
      <c r="D14" s="84" t="s">
        <v>70</v>
      </c>
      <c r="E14" s="16">
        <v>41731</v>
      </c>
      <c r="F14" s="16">
        <v>41757</v>
      </c>
      <c r="G14" s="16">
        <v>41751</v>
      </c>
      <c r="H14" s="16"/>
      <c r="I14" s="15">
        <v>5</v>
      </c>
      <c r="J14" s="84" t="s">
        <v>124</v>
      </c>
      <c r="K14" s="85">
        <v>42306</v>
      </c>
    </row>
    <row r="15" spans="1:17" s="82" customFormat="1">
      <c r="A15" s="82" t="s">
        <v>59</v>
      </c>
      <c r="B15" s="82" t="s">
        <v>60</v>
      </c>
      <c r="C15" s="83" t="s">
        <v>116</v>
      </c>
      <c r="D15" s="84" t="s">
        <v>117</v>
      </c>
      <c r="E15" s="16">
        <v>41940</v>
      </c>
      <c r="F15" s="16">
        <v>41967</v>
      </c>
      <c r="G15" s="16">
        <v>41961</v>
      </c>
      <c r="H15" s="16"/>
      <c r="I15" s="15">
        <v>1</v>
      </c>
      <c r="J15" s="84"/>
      <c r="K15" s="85">
        <v>42306</v>
      </c>
    </row>
    <row r="16" spans="1:17" s="82" customFormat="1" ht="30">
      <c r="A16" s="82" t="s">
        <v>59</v>
      </c>
      <c r="B16" s="82" t="s">
        <v>60</v>
      </c>
      <c r="C16" s="83" t="s">
        <v>71</v>
      </c>
      <c r="D16" s="84" t="s">
        <v>72</v>
      </c>
      <c r="E16" s="16">
        <v>41701</v>
      </c>
      <c r="F16" s="16">
        <v>41761</v>
      </c>
      <c r="G16" s="16">
        <v>41758</v>
      </c>
      <c r="H16" s="16"/>
      <c r="I16" s="15">
        <v>3</v>
      </c>
      <c r="J16" s="84" t="s">
        <v>89</v>
      </c>
      <c r="K16" s="85">
        <v>42306</v>
      </c>
    </row>
    <row r="17" spans="1:11" s="82" customFormat="1" ht="30">
      <c r="A17" s="82" t="s">
        <v>59</v>
      </c>
      <c r="B17" s="82" t="s">
        <v>60</v>
      </c>
      <c r="C17" s="83" t="s">
        <v>73</v>
      </c>
      <c r="D17" s="84" t="s">
        <v>74</v>
      </c>
      <c r="E17" s="16">
        <v>41725</v>
      </c>
      <c r="F17" s="16">
        <v>41786</v>
      </c>
      <c r="G17" s="16">
        <v>41781</v>
      </c>
      <c r="H17" s="16">
        <v>41936</v>
      </c>
      <c r="I17" s="15"/>
      <c r="J17" s="84" t="s">
        <v>118</v>
      </c>
      <c r="K17" s="85">
        <v>42306</v>
      </c>
    </row>
    <row r="18" spans="1:11" s="82" customFormat="1" ht="30">
      <c r="A18" s="82" t="s">
        <v>59</v>
      </c>
      <c r="B18" s="82" t="s">
        <v>60</v>
      </c>
      <c r="C18" s="83" t="s">
        <v>75</v>
      </c>
      <c r="D18" s="84" t="s">
        <v>76</v>
      </c>
      <c r="E18" s="16">
        <v>41712</v>
      </c>
      <c r="F18" s="16">
        <v>41754</v>
      </c>
      <c r="G18" s="16">
        <v>41752</v>
      </c>
      <c r="H18" s="16"/>
      <c r="I18" s="15">
        <v>3</v>
      </c>
      <c r="J18" s="84" t="s">
        <v>104</v>
      </c>
      <c r="K18" s="85">
        <v>42306</v>
      </c>
    </row>
    <row r="19" spans="1:11" s="82" customFormat="1">
      <c r="A19" s="82" t="s">
        <v>59</v>
      </c>
      <c r="B19" s="82" t="s">
        <v>60</v>
      </c>
      <c r="C19" s="83" t="s">
        <v>85</v>
      </c>
      <c r="D19" s="84" t="s">
        <v>86</v>
      </c>
      <c r="E19" s="16">
        <v>41780</v>
      </c>
      <c r="F19" s="16">
        <v>41800</v>
      </c>
      <c r="G19" s="16">
        <v>41796</v>
      </c>
      <c r="H19" s="16"/>
      <c r="I19" s="15">
        <v>2</v>
      </c>
      <c r="J19" s="84"/>
      <c r="K19" s="85">
        <v>42306</v>
      </c>
    </row>
    <row r="20" spans="1:11" s="82" customFormat="1">
      <c r="A20" s="82" t="s">
        <v>59</v>
      </c>
      <c r="B20" s="82" t="s">
        <v>60</v>
      </c>
      <c r="C20" s="83" t="s">
        <v>111</v>
      </c>
      <c r="D20" s="84" t="s">
        <v>112</v>
      </c>
      <c r="E20" s="16">
        <v>41920</v>
      </c>
      <c r="F20" s="16">
        <v>41934</v>
      </c>
      <c r="G20" s="16">
        <v>41932</v>
      </c>
      <c r="H20" s="16"/>
      <c r="I20" s="15">
        <v>1</v>
      </c>
      <c r="J20" s="84"/>
      <c r="K20" s="85">
        <v>42306</v>
      </c>
    </row>
    <row r="21" spans="1:11" ht="30">
      <c r="A21" s="82" t="s">
        <v>59</v>
      </c>
      <c r="B21" s="82" t="s">
        <v>60</v>
      </c>
      <c r="C21" s="83" t="s">
        <v>77</v>
      </c>
      <c r="D21" s="84" t="s">
        <v>78</v>
      </c>
      <c r="E21" s="16">
        <v>41696</v>
      </c>
      <c r="F21" s="16">
        <v>41774</v>
      </c>
      <c r="G21" s="16">
        <v>41772</v>
      </c>
      <c r="H21" s="16"/>
      <c r="I21" s="15"/>
      <c r="J21" s="84" t="s">
        <v>105</v>
      </c>
      <c r="K21" s="85">
        <v>42306</v>
      </c>
    </row>
    <row r="22" spans="1:11" ht="30">
      <c r="A22" s="82" t="s">
        <v>59</v>
      </c>
      <c r="B22" s="82" t="s">
        <v>60</v>
      </c>
      <c r="C22" s="83" t="s">
        <v>79</v>
      </c>
      <c r="D22" s="84" t="s">
        <v>80</v>
      </c>
      <c r="E22" s="16">
        <v>41705</v>
      </c>
      <c r="F22" s="16">
        <v>41757</v>
      </c>
      <c r="G22" s="16">
        <v>41757</v>
      </c>
      <c r="H22" s="16"/>
      <c r="I22" s="15">
        <v>1</v>
      </c>
      <c r="J22" s="84" t="s">
        <v>106</v>
      </c>
      <c r="K22" s="85">
        <v>42306</v>
      </c>
    </row>
    <row r="23" spans="1:11">
      <c r="A23" s="82" t="s">
        <v>59</v>
      </c>
      <c r="B23" s="82" t="s">
        <v>60</v>
      </c>
      <c r="C23" s="83" t="s">
        <v>87</v>
      </c>
      <c r="D23" s="84" t="s">
        <v>92</v>
      </c>
      <c r="E23" s="16">
        <v>41806</v>
      </c>
      <c r="F23" s="16">
        <v>41817</v>
      </c>
      <c r="G23" s="16">
        <v>41816</v>
      </c>
      <c r="H23" s="16"/>
      <c r="I23" s="15">
        <v>3</v>
      </c>
      <c r="J23" s="84" t="s">
        <v>102</v>
      </c>
      <c r="K23" s="85">
        <v>42306</v>
      </c>
    </row>
    <row r="24" spans="1:11">
      <c r="A24" s="82" t="s">
        <v>59</v>
      </c>
      <c r="B24" s="82" t="s">
        <v>60</v>
      </c>
      <c r="C24" s="83" t="s">
        <v>90</v>
      </c>
      <c r="D24" s="84" t="s">
        <v>91</v>
      </c>
      <c r="E24" s="16">
        <v>41815</v>
      </c>
      <c r="F24" s="16">
        <v>41841</v>
      </c>
      <c r="G24" s="16">
        <v>41837</v>
      </c>
      <c r="H24" s="16"/>
      <c r="I24" s="15">
        <v>1</v>
      </c>
      <c r="J24" s="84" t="s">
        <v>120</v>
      </c>
      <c r="K24" s="85">
        <v>42306</v>
      </c>
    </row>
    <row r="25" spans="1:11">
      <c r="A25" s="82" t="s">
        <v>59</v>
      </c>
      <c r="B25" s="82" t="s">
        <v>60</v>
      </c>
      <c r="C25" s="83" t="s">
        <v>115</v>
      </c>
      <c r="D25" s="84" t="s">
        <v>119</v>
      </c>
      <c r="E25" s="16">
        <v>41928</v>
      </c>
      <c r="F25" s="16">
        <v>41939</v>
      </c>
      <c r="G25" s="16">
        <v>41934</v>
      </c>
      <c r="H25" s="16"/>
      <c r="I25" s="15">
        <v>3</v>
      </c>
      <c r="J25" s="84"/>
      <c r="K25" s="85">
        <v>42306</v>
      </c>
    </row>
    <row r="26" spans="1:11" ht="45">
      <c r="A26" s="82" t="s">
        <v>59</v>
      </c>
      <c r="B26" s="82" t="s">
        <v>60</v>
      </c>
      <c r="C26" s="83" t="s">
        <v>81</v>
      </c>
      <c r="D26" s="84" t="s">
        <v>82</v>
      </c>
      <c r="E26" s="16">
        <v>41698</v>
      </c>
      <c r="F26" s="16">
        <v>41772</v>
      </c>
      <c r="G26" s="16">
        <v>41766</v>
      </c>
      <c r="H26" s="16"/>
      <c r="I26" s="15"/>
      <c r="J26" s="84" t="s">
        <v>107</v>
      </c>
      <c r="K26" s="85">
        <v>42306</v>
      </c>
    </row>
    <row r="27" spans="1:11">
      <c r="A27" s="28"/>
      <c r="B27" s="28"/>
      <c r="C27" s="27" t="s">
        <v>15</v>
      </c>
      <c r="D27" s="33">
        <f>SUBTOTAL(3,D8:D26)</f>
        <v>19</v>
      </c>
      <c r="E27" s="33">
        <f>SUBTOTAL(3,[Date de réception convention financière])</f>
        <v>19</v>
      </c>
      <c r="F27" s="33">
        <f>SUBTOTAL(3,[Date de réception AR kit])</f>
        <v>19</v>
      </c>
      <c r="G27" s="33">
        <f>SUBTOTAL(3,[Date de MEP])</f>
        <v>19</v>
      </c>
      <c r="H27" s="90">
        <f>SUBTOTAL(3,[Desistement])</f>
        <v>1</v>
      </c>
      <c r="I27" s="27">
        <f>SUBTOTAL(109,I8:I26)</f>
        <v>45</v>
      </c>
      <c r="J27" s="31"/>
      <c r="K27" s="32"/>
    </row>
    <row r="28" spans="1:11">
      <c r="D28" s="10"/>
      <c r="J28" s="10"/>
    </row>
    <row r="29" spans="1:11">
      <c r="C29" s="26" t="s">
        <v>14</v>
      </c>
    </row>
  </sheetData>
  <mergeCells count="1">
    <mergeCell ref="G2:I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$U$10</f>
        <v>42306</v>
      </c>
      <c r="G4" s="50"/>
      <c r="H4" s="50"/>
      <c r="I4" s="34"/>
      <c r="J4" s="50"/>
      <c r="K4" s="50"/>
      <c r="L4" s="57" t="s">
        <v>17</v>
      </c>
      <c r="M4" s="63">
        <f>$B$10</f>
        <v>151</v>
      </c>
      <c r="N4" s="124" t="str">
        <f>$C$10</f>
        <v>ALLARD-GARY Claudine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151</v>
      </c>
      <c r="C10" s="42" t="s">
        <v>62</v>
      </c>
      <c r="D10" s="19">
        <v>1</v>
      </c>
      <c r="E10" s="25">
        <v>41884</v>
      </c>
      <c r="F10" s="25">
        <v>41887</v>
      </c>
      <c r="G10" s="25">
        <v>41887</v>
      </c>
      <c r="H10" s="25">
        <v>41908</v>
      </c>
      <c r="I10" s="44" t="s">
        <v>108</v>
      </c>
      <c r="J10" s="25">
        <v>41896</v>
      </c>
      <c r="K10" s="25">
        <v>41908</v>
      </c>
      <c r="L10" s="25">
        <v>41955</v>
      </c>
      <c r="M10" s="25">
        <v>41942</v>
      </c>
      <c r="N10" s="25">
        <v>42004</v>
      </c>
      <c r="O10" s="25"/>
      <c r="P10" s="25"/>
      <c r="Q10" s="25">
        <v>42249</v>
      </c>
      <c r="R10" s="25">
        <v>41956</v>
      </c>
      <c r="S10" s="25">
        <v>41960</v>
      </c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151</v>
      </c>
      <c r="C11" t="s">
        <v>62</v>
      </c>
      <c r="D11" s="19">
        <v>2</v>
      </c>
      <c r="E11" s="25">
        <v>41890</v>
      </c>
      <c r="F11" s="25">
        <v>41892</v>
      </c>
      <c r="G11" s="25">
        <v>41962</v>
      </c>
      <c r="H11" s="25">
        <v>41892</v>
      </c>
      <c r="I11" t="s">
        <v>110</v>
      </c>
      <c r="J11" s="25">
        <v>41902</v>
      </c>
      <c r="K11" s="25">
        <v>41901</v>
      </c>
      <c r="L11" s="25">
        <v>41961</v>
      </c>
      <c r="M11" s="25">
        <v>41955</v>
      </c>
      <c r="N11" s="25">
        <v>42010</v>
      </c>
      <c r="Q11" s="25">
        <v>42255</v>
      </c>
      <c r="R11" s="25">
        <v>41960</v>
      </c>
      <c r="S11" s="25">
        <v>41962</v>
      </c>
      <c r="T11" t="s">
        <v>61</v>
      </c>
      <c r="U11" s="12">
        <v>42306</v>
      </c>
    </row>
    <row r="12" spans="2:48">
      <c r="B12">
        <v>151</v>
      </c>
      <c r="C12" t="s">
        <v>62</v>
      </c>
      <c r="D12" s="19">
        <v>3</v>
      </c>
      <c r="E12" s="25">
        <v>41907</v>
      </c>
      <c r="F12" s="25">
        <v>41911</v>
      </c>
      <c r="H12" s="25">
        <v>41911</v>
      </c>
      <c r="I12" t="s">
        <v>110</v>
      </c>
      <c r="J12" s="25">
        <v>41919</v>
      </c>
      <c r="K12" s="25">
        <v>41956</v>
      </c>
      <c r="L12" s="25">
        <v>41978</v>
      </c>
      <c r="M12" s="25">
        <v>42011</v>
      </c>
      <c r="N12" s="25">
        <v>42027</v>
      </c>
      <c r="O12" s="25">
        <v>41953</v>
      </c>
      <c r="P12" s="25">
        <v>41957</v>
      </c>
      <c r="Q12" s="25">
        <v>42272</v>
      </c>
      <c r="T12" t="s">
        <v>61</v>
      </c>
      <c r="U12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153</v>
      </c>
      <c r="N4" s="124" t="str">
        <f>$C$14</f>
        <v>AMICI Jean-Michel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153</v>
      </c>
      <c r="C10" s="42" t="s">
        <v>64</v>
      </c>
      <c r="D10" s="19">
        <v>1</v>
      </c>
      <c r="E10" s="25">
        <v>41751</v>
      </c>
      <c r="F10" s="25">
        <v>41757</v>
      </c>
      <c r="G10" s="25">
        <v>41757</v>
      </c>
      <c r="H10" s="25"/>
      <c r="I10" s="44" t="s">
        <v>57</v>
      </c>
      <c r="J10" s="25">
        <v>41763</v>
      </c>
      <c r="K10" s="25"/>
      <c r="L10" s="25">
        <v>41822</v>
      </c>
      <c r="M10" s="25"/>
      <c r="N10" s="25">
        <v>41871</v>
      </c>
      <c r="O10" s="25"/>
      <c r="P10" s="25"/>
      <c r="Q10" s="25">
        <v>42116</v>
      </c>
      <c r="R10" s="25"/>
      <c r="S10" s="25"/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153</v>
      </c>
      <c r="C11" s="69" t="s">
        <v>64</v>
      </c>
      <c r="D11" s="19">
        <v>2</v>
      </c>
      <c r="E11" s="25">
        <v>41751</v>
      </c>
      <c r="F11" s="25">
        <v>41757</v>
      </c>
      <c r="G11" s="25">
        <v>41802</v>
      </c>
      <c r="H11" s="25">
        <v>41757</v>
      </c>
      <c r="I11" s="74" t="s">
        <v>93</v>
      </c>
      <c r="J11" s="25">
        <v>41763</v>
      </c>
      <c r="K11" s="25">
        <v>41802</v>
      </c>
      <c r="L11" s="25">
        <v>41822</v>
      </c>
      <c r="M11" s="25">
        <v>41827</v>
      </c>
      <c r="N11" s="25">
        <v>41871</v>
      </c>
      <c r="Q11" s="25">
        <v>42116</v>
      </c>
      <c r="T11" s="69" t="s">
        <v>63</v>
      </c>
      <c r="U11" s="12">
        <v>42306</v>
      </c>
    </row>
    <row r="12" spans="2:48" ht="25.5">
      <c r="B12" s="68">
        <v>153</v>
      </c>
      <c r="C12" s="69" t="s">
        <v>64</v>
      </c>
      <c r="D12" s="19">
        <v>3</v>
      </c>
      <c r="E12" s="25">
        <v>41814</v>
      </c>
      <c r="F12" s="25">
        <v>41817</v>
      </c>
      <c r="G12" s="25">
        <v>41817</v>
      </c>
      <c r="H12" s="25">
        <v>41817</v>
      </c>
      <c r="I12" s="99" t="s">
        <v>94</v>
      </c>
      <c r="J12" s="25">
        <v>41826</v>
      </c>
      <c r="K12" s="25">
        <v>41827</v>
      </c>
      <c r="L12" s="25">
        <v>41885</v>
      </c>
      <c r="M12" s="25">
        <v>41880</v>
      </c>
      <c r="N12" s="25">
        <v>41934</v>
      </c>
      <c r="Q12" s="25">
        <v>42179</v>
      </c>
      <c r="T12" s="69" t="s">
        <v>63</v>
      </c>
      <c r="U12" s="12">
        <v>42306</v>
      </c>
    </row>
    <row r="13" spans="2:48" ht="25.5">
      <c r="B13" s="118">
        <v>153</v>
      </c>
      <c r="C13" s="119" t="s">
        <v>64</v>
      </c>
      <c r="D13" s="19">
        <v>4</v>
      </c>
      <c r="I13" s="99" t="s">
        <v>57</v>
      </c>
      <c r="T13" s="119" t="s">
        <v>63</v>
      </c>
      <c r="U13" s="12">
        <v>42306</v>
      </c>
    </row>
    <row r="14" spans="2:48" ht="25.5">
      <c r="B14" s="118">
        <v>153</v>
      </c>
      <c r="C14" s="119" t="s">
        <v>64</v>
      </c>
      <c r="D14" s="19">
        <v>5</v>
      </c>
      <c r="E14" s="25">
        <v>41975</v>
      </c>
      <c r="F14" s="25">
        <v>41981</v>
      </c>
      <c r="G14" s="25">
        <v>41981</v>
      </c>
      <c r="H14" s="25">
        <v>41981</v>
      </c>
      <c r="I14" s="99" t="s">
        <v>122</v>
      </c>
      <c r="J14" s="25">
        <v>41987</v>
      </c>
      <c r="K14" s="25">
        <v>41991</v>
      </c>
      <c r="L14" s="25">
        <v>42046</v>
      </c>
      <c r="M14" s="25">
        <v>42046</v>
      </c>
      <c r="N14" s="25">
        <v>42095</v>
      </c>
      <c r="Q14" s="25">
        <v>42340</v>
      </c>
      <c r="T14" s="119" t="s">
        <v>63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7"/>
  <sheetViews>
    <sheetView workbookViewId="0">
      <selection activeCell="D7" sqref="D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70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$U$17</f>
        <v>42306</v>
      </c>
      <c r="G4" s="50"/>
      <c r="H4" s="50"/>
      <c r="I4" s="34"/>
      <c r="J4" s="50"/>
      <c r="K4" s="50"/>
      <c r="L4" s="71" t="s">
        <v>17</v>
      </c>
      <c r="M4" s="63">
        <f>$B$17</f>
        <v>307</v>
      </c>
      <c r="N4" s="124" t="str">
        <f>$C$17</f>
        <v>BASPEYRAS Martine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3" t="s">
        <v>32</v>
      </c>
      <c r="M8" s="73" t="s">
        <v>31</v>
      </c>
      <c r="N8" s="72" t="s">
        <v>33</v>
      </c>
      <c r="O8" s="72" t="s">
        <v>34</v>
      </c>
      <c r="P8" s="7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307</v>
      </c>
      <c r="C10" s="42" t="s">
        <v>83</v>
      </c>
      <c r="D10" s="19">
        <v>1</v>
      </c>
      <c r="E10" s="25">
        <v>41800</v>
      </c>
      <c r="F10" s="25">
        <v>41802</v>
      </c>
      <c r="G10" s="25"/>
      <c r="H10" s="25">
        <v>41803</v>
      </c>
      <c r="I10" s="74" t="s">
        <v>95</v>
      </c>
      <c r="J10" s="25">
        <v>41812</v>
      </c>
      <c r="K10" s="25">
        <v>41810</v>
      </c>
      <c r="L10" s="25">
        <v>41871</v>
      </c>
      <c r="M10" s="25">
        <v>41848</v>
      </c>
      <c r="N10" s="25">
        <v>41920</v>
      </c>
      <c r="O10" s="25">
        <v>41849</v>
      </c>
      <c r="P10" s="25">
        <v>41850</v>
      </c>
      <c r="Q10" s="25">
        <v>42165</v>
      </c>
      <c r="R10" s="25">
        <v>41926</v>
      </c>
      <c r="S10" s="25">
        <v>41928</v>
      </c>
      <c r="T10" s="42" t="s">
        <v>84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43">
        <v>307</v>
      </c>
      <c r="C11" s="81" t="s">
        <v>83</v>
      </c>
      <c r="D11" s="19">
        <v>2</v>
      </c>
      <c r="E11" s="25">
        <v>41800</v>
      </c>
      <c r="F11" s="25">
        <v>41802</v>
      </c>
      <c r="H11" s="25">
        <v>41841</v>
      </c>
      <c r="I11" s="74" t="s">
        <v>100</v>
      </c>
      <c r="J11" s="25">
        <v>41812</v>
      </c>
      <c r="K11" s="25">
        <v>41887</v>
      </c>
      <c r="L11" s="25">
        <v>41871</v>
      </c>
      <c r="M11" s="25">
        <v>41887</v>
      </c>
      <c r="N11" s="25">
        <v>41920</v>
      </c>
      <c r="Q11" s="25">
        <v>42165</v>
      </c>
      <c r="T11" s="81" t="s">
        <v>84</v>
      </c>
      <c r="U11" s="12">
        <v>42306</v>
      </c>
    </row>
    <row r="12" spans="2:48" ht="19.5" customHeight="1">
      <c r="B12" s="43">
        <v>307</v>
      </c>
      <c r="C12" s="81" t="s">
        <v>83</v>
      </c>
      <c r="D12" s="19">
        <v>3</v>
      </c>
      <c r="E12" s="25">
        <v>41800</v>
      </c>
      <c r="F12" s="25">
        <v>41802</v>
      </c>
      <c r="I12" s="99" t="s">
        <v>57</v>
      </c>
      <c r="J12" s="25">
        <v>41812</v>
      </c>
      <c r="K12" s="25">
        <v>41857</v>
      </c>
      <c r="L12" s="25">
        <v>41871</v>
      </c>
      <c r="M12" s="25">
        <v>41857</v>
      </c>
      <c r="N12" s="25">
        <v>41920</v>
      </c>
      <c r="O12" s="25">
        <v>41849</v>
      </c>
      <c r="P12" s="25">
        <v>41850</v>
      </c>
      <c r="Q12" s="25">
        <v>42165</v>
      </c>
      <c r="R12" s="25">
        <v>41947</v>
      </c>
      <c r="S12" s="25">
        <v>41949</v>
      </c>
      <c r="T12" s="81" t="s">
        <v>84</v>
      </c>
      <c r="U12" s="12">
        <v>42306</v>
      </c>
    </row>
    <row r="13" spans="2:48" ht="25.5">
      <c r="B13" s="100">
        <v>307</v>
      </c>
      <c r="C13" s="101" t="s">
        <v>83</v>
      </c>
      <c r="D13" s="19">
        <v>4</v>
      </c>
      <c r="E13" s="25">
        <v>41905</v>
      </c>
      <c r="F13" s="25">
        <v>41906</v>
      </c>
      <c r="I13" s="99" t="s">
        <v>57</v>
      </c>
      <c r="J13" s="25">
        <v>41917</v>
      </c>
      <c r="L13" s="25">
        <v>41976</v>
      </c>
      <c r="N13" s="25">
        <v>42025</v>
      </c>
      <c r="O13" s="25">
        <v>41989</v>
      </c>
      <c r="P13" s="25">
        <v>41990</v>
      </c>
      <c r="Q13" s="25">
        <v>42270</v>
      </c>
      <c r="T13" s="101" t="s">
        <v>84</v>
      </c>
      <c r="U13" s="12">
        <v>42306</v>
      </c>
    </row>
    <row r="14" spans="2:48" ht="25.5">
      <c r="B14" s="100">
        <v>307</v>
      </c>
      <c r="C14" s="101" t="s">
        <v>83</v>
      </c>
      <c r="D14" s="19">
        <v>5</v>
      </c>
      <c r="E14" s="25">
        <v>41905</v>
      </c>
      <c r="F14" s="25">
        <v>41906</v>
      </c>
      <c r="H14" s="25">
        <v>41936</v>
      </c>
      <c r="I14" s="99" t="s">
        <v>97</v>
      </c>
      <c r="J14" s="25">
        <v>41917</v>
      </c>
      <c r="K14" s="25">
        <v>41936</v>
      </c>
      <c r="L14" s="25">
        <v>41976</v>
      </c>
      <c r="N14" s="25">
        <v>42025</v>
      </c>
      <c r="O14" s="25">
        <v>41982</v>
      </c>
      <c r="P14" s="25">
        <v>41984</v>
      </c>
      <c r="Q14" s="25">
        <v>42270</v>
      </c>
      <c r="T14" s="101" t="s">
        <v>84</v>
      </c>
      <c r="U14" s="12">
        <v>42306</v>
      </c>
    </row>
    <row r="15" spans="2:48" ht="25.5">
      <c r="B15" s="118">
        <v>307</v>
      </c>
      <c r="C15" s="119" t="s">
        <v>83</v>
      </c>
      <c r="D15" s="19">
        <v>6</v>
      </c>
      <c r="E15" s="25">
        <v>41957</v>
      </c>
      <c r="F15" s="25">
        <v>41961</v>
      </c>
      <c r="I15" s="99" t="s">
        <v>57</v>
      </c>
      <c r="J15" s="25">
        <v>41969</v>
      </c>
      <c r="L15" s="25">
        <v>42028</v>
      </c>
      <c r="N15" s="25">
        <v>42077</v>
      </c>
      <c r="O15" s="25">
        <v>42038</v>
      </c>
      <c r="P15" s="25">
        <v>42045</v>
      </c>
      <c r="Q15" s="25">
        <v>42322</v>
      </c>
      <c r="T15" s="119" t="s">
        <v>84</v>
      </c>
      <c r="U15" s="12">
        <v>42306</v>
      </c>
    </row>
    <row r="16" spans="2:48" ht="25.5">
      <c r="B16" s="118">
        <v>307</v>
      </c>
      <c r="C16" s="119" t="s">
        <v>83</v>
      </c>
      <c r="D16" s="19">
        <v>7</v>
      </c>
      <c r="E16" s="25">
        <v>41982</v>
      </c>
      <c r="F16" s="25">
        <v>42048</v>
      </c>
      <c r="H16" s="25">
        <v>41989</v>
      </c>
      <c r="I16" s="99" t="s">
        <v>122</v>
      </c>
      <c r="J16" s="25">
        <v>41994</v>
      </c>
      <c r="K16" s="25">
        <v>42067</v>
      </c>
      <c r="L16" s="25">
        <v>42053</v>
      </c>
      <c r="M16" s="25">
        <v>42067</v>
      </c>
      <c r="N16" s="25">
        <v>42102</v>
      </c>
      <c r="Q16" s="25">
        <v>42347</v>
      </c>
      <c r="T16" s="119" t="s">
        <v>84</v>
      </c>
      <c r="U16" s="12">
        <v>42306</v>
      </c>
    </row>
    <row r="17" spans="2:21" ht="25.5">
      <c r="B17" s="118">
        <v>307</v>
      </c>
      <c r="C17" s="119" t="s">
        <v>83</v>
      </c>
      <c r="D17" s="19">
        <v>8</v>
      </c>
      <c r="E17" s="25">
        <v>41982</v>
      </c>
      <c r="F17" s="25">
        <v>41985</v>
      </c>
      <c r="I17" s="99" t="s">
        <v>57</v>
      </c>
      <c r="J17" s="25">
        <v>41994</v>
      </c>
      <c r="L17" s="25">
        <v>42053</v>
      </c>
      <c r="N17" s="25">
        <v>42102</v>
      </c>
      <c r="Q17" s="25">
        <v>42347</v>
      </c>
      <c r="T17" s="119" t="s">
        <v>84</v>
      </c>
      <c r="U17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160</v>
      </c>
      <c r="N4" s="124" t="str">
        <f>$C$12</f>
        <v>CHATEIN Anne-Marie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160</v>
      </c>
      <c r="C10" s="42" t="s">
        <v>66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68">
        <v>160</v>
      </c>
      <c r="C11" s="69" t="s">
        <v>66</v>
      </c>
      <c r="D11" s="19">
        <v>2</v>
      </c>
      <c r="I11" s="44" t="s">
        <v>57</v>
      </c>
      <c r="T11" s="69" t="s">
        <v>65</v>
      </c>
      <c r="U11" s="12">
        <v>42306</v>
      </c>
    </row>
    <row r="12" spans="2:48" ht="18.75" customHeight="1">
      <c r="B12" s="68">
        <v>160</v>
      </c>
      <c r="C12" s="69" t="s">
        <v>66</v>
      </c>
      <c r="D12" s="19">
        <v>3</v>
      </c>
      <c r="I12" s="44" t="s">
        <v>57</v>
      </c>
      <c r="T12" s="69" t="s">
        <v>65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1:AV13"/>
  <sheetViews>
    <sheetView workbookViewId="0">
      <selection activeCell="I22" sqref="I2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10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$U$13</f>
        <v>42306</v>
      </c>
      <c r="G4" s="50"/>
      <c r="H4" s="50"/>
      <c r="I4" s="34"/>
      <c r="J4" s="50"/>
      <c r="K4" s="50"/>
      <c r="L4" s="107" t="s">
        <v>17</v>
      </c>
      <c r="M4" s="63">
        <f>$B$13</f>
        <v>401</v>
      </c>
      <c r="N4" s="124" t="str">
        <f>$C$13</f>
        <v>COLBERT Lorraine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09" t="s">
        <v>32</v>
      </c>
      <c r="M8" s="109" t="s">
        <v>31</v>
      </c>
      <c r="N8" s="108" t="s">
        <v>33</v>
      </c>
      <c r="O8" s="108" t="s">
        <v>34</v>
      </c>
      <c r="P8" s="108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401</v>
      </c>
      <c r="C10" s="42" t="s">
        <v>113</v>
      </c>
      <c r="D10" s="19">
        <v>1</v>
      </c>
      <c r="E10" s="25">
        <v>41933</v>
      </c>
      <c r="F10" s="25">
        <v>41935</v>
      </c>
      <c r="G10" s="25">
        <v>41935</v>
      </c>
      <c r="H10" s="25">
        <v>41935</v>
      </c>
      <c r="I10" s="99" t="s">
        <v>96</v>
      </c>
      <c r="J10" s="25">
        <v>41945</v>
      </c>
      <c r="K10" s="25">
        <v>41955</v>
      </c>
      <c r="L10" s="25">
        <v>42004</v>
      </c>
      <c r="M10" s="25">
        <v>42033</v>
      </c>
      <c r="N10" s="25">
        <v>42053</v>
      </c>
      <c r="O10" s="25">
        <v>41990</v>
      </c>
      <c r="P10" s="25">
        <v>41992</v>
      </c>
      <c r="Q10" s="25">
        <v>42298</v>
      </c>
      <c r="R10" s="25">
        <v>42241</v>
      </c>
      <c r="S10" s="25">
        <v>42244</v>
      </c>
      <c r="T10" s="42" t="s">
        <v>114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100">
        <v>401</v>
      </c>
      <c r="C11" s="101" t="s">
        <v>113</v>
      </c>
      <c r="D11" s="19">
        <v>2</v>
      </c>
      <c r="E11" s="25">
        <v>41948</v>
      </c>
      <c r="F11" s="25">
        <v>41955</v>
      </c>
      <c r="G11" s="25">
        <v>41955</v>
      </c>
      <c r="H11" s="25">
        <v>41955</v>
      </c>
      <c r="I11" s="99" t="s">
        <v>96</v>
      </c>
      <c r="J11" s="25">
        <v>41960</v>
      </c>
      <c r="K11" s="25">
        <v>41960</v>
      </c>
      <c r="L11" s="25">
        <v>42019</v>
      </c>
      <c r="M11" s="25">
        <v>42033</v>
      </c>
      <c r="N11" s="25">
        <v>42068</v>
      </c>
      <c r="O11" s="25">
        <v>42034</v>
      </c>
      <c r="P11" s="25">
        <v>42038</v>
      </c>
      <c r="Q11" s="25">
        <v>42313</v>
      </c>
      <c r="R11" s="25">
        <v>42248</v>
      </c>
      <c r="S11" s="25">
        <v>42256</v>
      </c>
      <c r="T11" s="101" t="s">
        <v>114</v>
      </c>
      <c r="U11" s="12">
        <v>42306</v>
      </c>
    </row>
    <row r="12" spans="2:48" ht="18.75" customHeight="1">
      <c r="B12" s="100">
        <v>401</v>
      </c>
      <c r="C12" s="101" t="s">
        <v>113</v>
      </c>
      <c r="D12" s="19">
        <v>3</v>
      </c>
      <c r="E12" s="25">
        <v>41950</v>
      </c>
      <c r="F12" s="25">
        <v>41957</v>
      </c>
      <c r="G12" s="25">
        <v>41957</v>
      </c>
      <c r="H12" s="25">
        <v>41956</v>
      </c>
      <c r="I12" s="99" t="s">
        <v>96</v>
      </c>
      <c r="J12" s="25">
        <v>41962</v>
      </c>
      <c r="K12" s="25">
        <v>41961</v>
      </c>
      <c r="L12" s="25">
        <v>42021</v>
      </c>
      <c r="M12" s="25">
        <v>42034</v>
      </c>
      <c r="N12" s="25">
        <v>42070</v>
      </c>
      <c r="O12" s="25">
        <v>42042</v>
      </c>
      <c r="P12" s="25">
        <v>42045</v>
      </c>
      <c r="Q12" s="25">
        <v>42315</v>
      </c>
      <c r="R12" s="25">
        <v>42249</v>
      </c>
      <c r="S12" s="25">
        <v>42256</v>
      </c>
      <c r="T12" s="101" t="s">
        <v>114</v>
      </c>
      <c r="U12" s="12">
        <v>42306</v>
      </c>
    </row>
    <row r="13" spans="2:48" ht="25.5">
      <c r="B13" s="118">
        <v>401</v>
      </c>
      <c r="C13" s="119" t="s">
        <v>113</v>
      </c>
      <c r="D13" s="19">
        <v>5</v>
      </c>
      <c r="E13" s="25">
        <v>41962</v>
      </c>
      <c r="F13" s="25">
        <v>41964</v>
      </c>
      <c r="G13" s="25">
        <v>41964</v>
      </c>
      <c r="H13" s="25">
        <v>41964</v>
      </c>
      <c r="I13" s="99" t="s">
        <v>96</v>
      </c>
      <c r="J13" s="25">
        <v>41974</v>
      </c>
      <c r="K13" s="25">
        <v>41982</v>
      </c>
      <c r="L13" s="25">
        <v>42033</v>
      </c>
      <c r="M13" s="25">
        <v>42034</v>
      </c>
      <c r="N13" s="25">
        <v>42082</v>
      </c>
      <c r="O13" s="25">
        <v>42041</v>
      </c>
      <c r="P13" s="25">
        <v>42045</v>
      </c>
      <c r="Q13" s="25">
        <v>42327</v>
      </c>
      <c r="R13" s="25">
        <v>42268</v>
      </c>
      <c r="S13" s="25">
        <v>42272</v>
      </c>
      <c r="T13" s="119" t="s">
        <v>114</v>
      </c>
      <c r="U13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161</v>
      </c>
      <c r="N4" s="124" t="str">
        <f>$C$12</f>
        <v>COMPAIN-LAURENT Isabelle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161</v>
      </c>
      <c r="C10" s="42" t="s">
        <v>68</v>
      </c>
      <c r="D10" s="19">
        <v>1</v>
      </c>
      <c r="E10" s="25">
        <v>41754</v>
      </c>
      <c r="F10" s="25">
        <v>41899</v>
      </c>
      <c r="G10" s="25">
        <v>41899</v>
      </c>
      <c r="H10" s="25"/>
      <c r="I10" s="44" t="s">
        <v>57</v>
      </c>
      <c r="J10" s="25">
        <v>41766</v>
      </c>
      <c r="K10" s="25">
        <v>41831</v>
      </c>
      <c r="L10" s="25">
        <v>41825</v>
      </c>
      <c r="M10" s="25">
        <v>41844</v>
      </c>
      <c r="N10" s="25">
        <v>41874</v>
      </c>
      <c r="O10" s="25">
        <v>41765</v>
      </c>
      <c r="P10" s="25">
        <v>41850</v>
      </c>
      <c r="Q10" s="25">
        <v>42119</v>
      </c>
      <c r="R10" s="25"/>
      <c r="S10" s="25"/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68">
        <v>161</v>
      </c>
      <c r="C11" s="69" t="s">
        <v>68</v>
      </c>
      <c r="D11" s="19">
        <v>2</v>
      </c>
      <c r="E11" s="25">
        <v>41765</v>
      </c>
      <c r="F11" s="25">
        <v>41900</v>
      </c>
      <c r="G11" s="25">
        <v>41899</v>
      </c>
      <c r="I11" s="44" t="s">
        <v>57</v>
      </c>
      <c r="J11" s="25">
        <v>41777</v>
      </c>
      <c r="L11" s="25">
        <v>41836</v>
      </c>
      <c r="N11" s="25">
        <v>41885</v>
      </c>
      <c r="O11" s="25">
        <v>41827</v>
      </c>
      <c r="P11" s="25">
        <v>41835</v>
      </c>
      <c r="Q11" s="25">
        <v>42130</v>
      </c>
      <c r="T11" s="69" t="s">
        <v>67</v>
      </c>
      <c r="U11" s="12">
        <v>42306</v>
      </c>
    </row>
    <row r="12" spans="2:48" ht="19.5" customHeight="1">
      <c r="B12" s="68">
        <v>161</v>
      </c>
      <c r="C12" s="69" t="s">
        <v>68</v>
      </c>
      <c r="D12" s="19">
        <v>3</v>
      </c>
      <c r="E12" s="25">
        <v>41785</v>
      </c>
      <c r="F12" s="25">
        <v>41899</v>
      </c>
      <c r="G12" s="25">
        <v>41899</v>
      </c>
      <c r="I12" s="44" t="s">
        <v>57</v>
      </c>
      <c r="J12" s="25">
        <v>41797</v>
      </c>
      <c r="K12" s="25">
        <v>41852</v>
      </c>
      <c r="L12" s="25">
        <v>41856</v>
      </c>
      <c r="M12" s="25">
        <v>41852</v>
      </c>
      <c r="N12" s="25">
        <v>41905</v>
      </c>
      <c r="O12" s="25">
        <v>41891</v>
      </c>
      <c r="P12" s="25">
        <v>41899</v>
      </c>
      <c r="Q12" s="25">
        <v>42150</v>
      </c>
      <c r="T12" s="69" t="s">
        <v>67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8"/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152</v>
      </c>
      <c r="N4" s="124" t="str">
        <f>$C$14</f>
        <v>DUBOZ Anne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152</v>
      </c>
      <c r="C10" s="42" t="s">
        <v>70</v>
      </c>
      <c r="D10" s="19">
        <v>1</v>
      </c>
      <c r="E10" s="25">
        <v>41723</v>
      </c>
      <c r="F10" s="25">
        <v>41801</v>
      </c>
      <c r="G10" s="25">
        <v>41823</v>
      </c>
      <c r="H10" s="25"/>
      <c r="I10" s="44" t="s">
        <v>57</v>
      </c>
      <c r="J10" s="25">
        <v>41735</v>
      </c>
      <c r="K10" s="25">
        <v>41823</v>
      </c>
      <c r="L10" s="25">
        <v>41794</v>
      </c>
      <c r="M10" s="25">
        <v>41823</v>
      </c>
      <c r="N10" s="25">
        <v>41843</v>
      </c>
      <c r="O10" s="25">
        <v>41773</v>
      </c>
      <c r="P10" s="25">
        <v>41801</v>
      </c>
      <c r="Q10" s="25">
        <v>42088</v>
      </c>
      <c r="R10" s="25"/>
      <c r="S10" s="25"/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68">
        <v>152</v>
      </c>
      <c r="C11" s="69" t="s">
        <v>70</v>
      </c>
      <c r="D11" s="19">
        <v>2</v>
      </c>
      <c r="E11" s="25">
        <v>41792</v>
      </c>
      <c r="F11" s="25">
        <v>41801</v>
      </c>
      <c r="H11" s="25">
        <v>41802</v>
      </c>
      <c r="I11" s="74" t="s">
        <v>96</v>
      </c>
      <c r="J11" s="25">
        <v>41804</v>
      </c>
      <c r="L11" s="25">
        <v>41863</v>
      </c>
      <c r="N11" s="25">
        <v>41912</v>
      </c>
      <c r="O11" s="25">
        <v>41813</v>
      </c>
      <c r="P11" s="25">
        <v>41886</v>
      </c>
      <c r="Q11" s="25">
        <v>42157</v>
      </c>
      <c r="T11" s="69" t="s">
        <v>69</v>
      </c>
      <c r="U11" s="12">
        <v>42306</v>
      </c>
    </row>
    <row r="12" spans="2:48" ht="19.5" customHeight="1">
      <c r="B12" s="68">
        <v>152</v>
      </c>
      <c r="C12" s="69" t="s">
        <v>70</v>
      </c>
      <c r="D12" s="19">
        <v>3</v>
      </c>
      <c r="E12" s="25">
        <v>41829</v>
      </c>
      <c r="F12" s="25">
        <v>41871</v>
      </c>
      <c r="H12" s="25">
        <v>41856</v>
      </c>
      <c r="I12" s="99" t="s">
        <v>97</v>
      </c>
      <c r="J12" s="25">
        <v>41841</v>
      </c>
      <c r="K12" s="25">
        <v>41856</v>
      </c>
      <c r="L12" s="25">
        <v>41900</v>
      </c>
      <c r="M12" s="25">
        <v>41906</v>
      </c>
      <c r="N12" s="25">
        <v>41949</v>
      </c>
      <c r="O12" s="25">
        <v>41869</v>
      </c>
      <c r="P12" s="25">
        <v>41871</v>
      </c>
      <c r="Q12" s="25">
        <v>42194</v>
      </c>
      <c r="T12" s="69" t="s">
        <v>69</v>
      </c>
      <c r="U12" s="12">
        <v>42306</v>
      </c>
    </row>
    <row r="13" spans="2:48" ht="25.5">
      <c r="B13" s="100">
        <v>152</v>
      </c>
      <c r="C13" s="101" t="s">
        <v>70</v>
      </c>
      <c r="D13" s="19">
        <v>4</v>
      </c>
      <c r="E13" s="25">
        <v>41904</v>
      </c>
      <c r="F13" s="25">
        <v>41908</v>
      </c>
      <c r="I13" s="99" t="s">
        <v>57</v>
      </c>
      <c r="J13" s="25">
        <v>41916</v>
      </c>
      <c r="L13" s="25">
        <v>41975</v>
      </c>
      <c r="N13" s="25">
        <v>42024</v>
      </c>
      <c r="O13" s="25">
        <v>41960</v>
      </c>
      <c r="P13" s="25">
        <v>41962</v>
      </c>
      <c r="Q13" s="25">
        <v>42269</v>
      </c>
      <c r="T13" s="101" t="s">
        <v>69</v>
      </c>
      <c r="U13" s="12">
        <v>42306</v>
      </c>
    </row>
    <row r="14" spans="2:48" ht="25.5">
      <c r="B14" s="100">
        <v>152</v>
      </c>
      <c r="C14" s="101" t="s">
        <v>70</v>
      </c>
      <c r="D14" s="19">
        <v>5</v>
      </c>
      <c r="E14" s="25">
        <v>41918</v>
      </c>
      <c r="F14" s="25">
        <v>42025</v>
      </c>
      <c r="I14" s="99" t="s">
        <v>57</v>
      </c>
      <c r="J14" s="25">
        <v>41930</v>
      </c>
      <c r="L14" s="25">
        <v>41989</v>
      </c>
      <c r="N14" s="25">
        <v>42038</v>
      </c>
      <c r="O14" s="25">
        <v>41960</v>
      </c>
      <c r="P14" s="25">
        <v>41962</v>
      </c>
      <c r="Q14" s="25">
        <v>42283</v>
      </c>
      <c r="T14" s="101" t="s">
        <v>69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20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11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$U$12</f>
        <v>42306</v>
      </c>
      <c r="G4" s="50"/>
      <c r="H4" s="50"/>
      <c r="I4" s="34"/>
      <c r="J4" s="50"/>
      <c r="K4" s="50"/>
      <c r="L4" s="115" t="s">
        <v>17</v>
      </c>
      <c r="M4" s="63">
        <f>$B$12</f>
        <v>431</v>
      </c>
      <c r="N4" s="124" t="str">
        <f>$C$12</f>
        <v>GEORGEVITCH Yvette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17" t="s">
        <v>32</v>
      </c>
      <c r="M8" s="117" t="s">
        <v>31</v>
      </c>
      <c r="N8" s="116" t="s">
        <v>33</v>
      </c>
      <c r="O8" s="116" t="s">
        <v>34</v>
      </c>
      <c r="P8" s="11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431</v>
      </c>
      <c r="C10" s="42" t="s">
        <v>117</v>
      </c>
      <c r="D10" s="19">
        <v>1</v>
      </c>
      <c r="E10" s="25"/>
      <c r="F10" s="25"/>
      <c r="G10" s="25"/>
      <c r="H10" s="25"/>
      <c r="I10" s="99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116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118">
        <v>431</v>
      </c>
      <c r="C11" s="119" t="s">
        <v>117</v>
      </c>
      <c r="D11" s="19">
        <v>2</v>
      </c>
      <c r="E11" s="25">
        <v>42031</v>
      </c>
      <c r="F11" s="25">
        <v>42033</v>
      </c>
      <c r="I11" s="99" t="s">
        <v>57</v>
      </c>
      <c r="J11" s="25">
        <v>42043</v>
      </c>
      <c r="K11" s="25">
        <v>42041</v>
      </c>
      <c r="L11" s="25">
        <v>42102</v>
      </c>
      <c r="M11" s="25">
        <v>42108</v>
      </c>
      <c r="N11" s="25">
        <v>42151</v>
      </c>
      <c r="Q11" s="25">
        <v>42396</v>
      </c>
      <c r="T11" s="119" t="s">
        <v>116</v>
      </c>
      <c r="U11" s="12">
        <v>42306</v>
      </c>
    </row>
    <row r="12" spans="2:48" ht="19.5" customHeight="1">
      <c r="B12" s="118">
        <v>431</v>
      </c>
      <c r="C12" s="119" t="s">
        <v>117</v>
      </c>
      <c r="D12" s="19">
        <v>3</v>
      </c>
      <c r="I12" s="99" t="s">
        <v>57</v>
      </c>
      <c r="T12" s="119" t="s">
        <v>116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9"/>
  <dimension ref="B1:AV13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$U$13</f>
        <v>42306</v>
      </c>
      <c r="G4" s="50"/>
      <c r="H4" s="50"/>
      <c r="I4" s="34"/>
      <c r="J4" s="50"/>
      <c r="K4" s="50"/>
      <c r="L4" s="65" t="s">
        <v>17</v>
      </c>
      <c r="M4" s="63">
        <f>$B$13</f>
        <v>158</v>
      </c>
      <c r="N4" s="124" t="str">
        <f>$C$13</f>
        <v>GUERANT Nicole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158</v>
      </c>
      <c r="C10" s="42" t="s">
        <v>72</v>
      </c>
      <c r="D10" s="19">
        <v>1</v>
      </c>
      <c r="E10" s="25"/>
      <c r="F10" s="25"/>
      <c r="G10" s="25"/>
      <c r="H10" s="25"/>
      <c r="I10" s="7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75">
        <v>158</v>
      </c>
      <c r="C11" s="76" t="s">
        <v>72</v>
      </c>
      <c r="D11" s="19">
        <v>2</v>
      </c>
      <c r="E11" s="25">
        <v>41801</v>
      </c>
      <c r="F11" s="25">
        <v>41806</v>
      </c>
      <c r="G11" s="25">
        <v>41806</v>
      </c>
      <c r="H11" s="25">
        <v>41806</v>
      </c>
      <c r="I11" s="74" t="s">
        <v>97</v>
      </c>
      <c r="J11" s="25">
        <v>41813</v>
      </c>
      <c r="L11" s="25">
        <v>41872</v>
      </c>
      <c r="N11" s="25">
        <v>41921</v>
      </c>
      <c r="O11" s="25">
        <v>41878</v>
      </c>
      <c r="P11" s="25">
        <v>41884</v>
      </c>
      <c r="Q11" s="25">
        <v>42166</v>
      </c>
      <c r="T11" s="76" t="s">
        <v>71</v>
      </c>
      <c r="U11" s="12">
        <v>42306</v>
      </c>
    </row>
    <row r="12" spans="2:48" ht="19.5" customHeight="1">
      <c r="B12" s="75">
        <v>158</v>
      </c>
      <c r="C12" s="76" t="s">
        <v>72</v>
      </c>
      <c r="D12" s="19">
        <v>3</v>
      </c>
      <c r="E12" s="25">
        <v>41918</v>
      </c>
      <c r="F12" s="25">
        <v>41919</v>
      </c>
      <c r="G12" s="25">
        <v>41919</v>
      </c>
      <c r="H12" s="25">
        <v>41919</v>
      </c>
      <c r="I12" s="74" t="s">
        <v>97</v>
      </c>
      <c r="J12" s="25">
        <v>41930</v>
      </c>
      <c r="K12" s="25">
        <v>41969</v>
      </c>
      <c r="L12" s="25">
        <v>41989</v>
      </c>
      <c r="M12" s="25">
        <v>42027</v>
      </c>
      <c r="N12" s="25">
        <v>42038</v>
      </c>
      <c r="Q12" s="25">
        <v>42283</v>
      </c>
      <c r="T12" s="76" t="s">
        <v>71</v>
      </c>
      <c r="U12" s="12">
        <v>42306</v>
      </c>
    </row>
    <row r="13" spans="2:48" ht="25.5">
      <c r="B13" s="43">
        <v>158</v>
      </c>
      <c r="C13" s="81" t="s">
        <v>72</v>
      </c>
      <c r="D13" s="19">
        <v>4</v>
      </c>
      <c r="E13" s="25">
        <v>41899</v>
      </c>
      <c r="F13" s="25">
        <v>41918</v>
      </c>
      <c r="G13" s="25">
        <v>41918</v>
      </c>
      <c r="H13" s="25">
        <v>41904</v>
      </c>
      <c r="I13" s="74" t="s">
        <v>96</v>
      </c>
      <c r="J13" s="25">
        <v>41911</v>
      </c>
      <c r="K13" s="25">
        <v>41960</v>
      </c>
      <c r="L13" s="25">
        <v>41970</v>
      </c>
      <c r="M13" s="25">
        <v>41960</v>
      </c>
      <c r="N13" s="25">
        <v>42019</v>
      </c>
      <c r="O13" s="25">
        <v>41957</v>
      </c>
      <c r="P13" s="25">
        <v>41960</v>
      </c>
      <c r="Q13" s="25">
        <v>42264</v>
      </c>
      <c r="T13" s="81" t="s">
        <v>71</v>
      </c>
      <c r="U13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10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155</v>
      </c>
      <c r="N4" s="124" t="str">
        <f>$C$12</f>
        <v>GUILLOT Muriel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155</v>
      </c>
      <c r="C10" s="42" t="s">
        <v>74</v>
      </c>
      <c r="D10" s="19">
        <v>1</v>
      </c>
      <c r="E10" s="25"/>
      <c r="F10" s="25"/>
      <c r="G10" s="25"/>
      <c r="H10" s="25"/>
      <c r="I10" s="7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75">
        <v>155</v>
      </c>
      <c r="C11" s="76" t="s">
        <v>74</v>
      </c>
      <c r="D11" s="19">
        <v>2</v>
      </c>
      <c r="I11" s="74" t="s">
        <v>57</v>
      </c>
      <c r="T11" s="76" t="s">
        <v>73</v>
      </c>
      <c r="U11" s="12">
        <v>42306</v>
      </c>
    </row>
    <row r="12" spans="2:48" ht="19.5" customHeight="1">
      <c r="B12" s="75">
        <v>155</v>
      </c>
      <c r="C12" s="76" t="s">
        <v>74</v>
      </c>
      <c r="D12" s="19">
        <v>3</v>
      </c>
      <c r="I12" s="74" t="s">
        <v>57</v>
      </c>
      <c r="T12" s="76" t="s">
        <v>73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11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154</v>
      </c>
      <c r="N4" s="124" t="str">
        <f>$C$12</f>
        <v>GUILLOT Patrick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154</v>
      </c>
      <c r="C10" s="42" t="s">
        <v>76</v>
      </c>
      <c r="D10" s="19">
        <v>1</v>
      </c>
      <c r="E10" s="25">
        <v>41918</v>
      </c>
      <c r="F10" s="25">
        <v>41925</v>
      </c>
      <c r="G10" s="25"/>
      <c r="H10" s="25">
        <v>41920</v>
      </c>
      <c r="I10" s="44" t="s">
        <v>99</v>
      </c>
      <c r="J10" s="25">
        <v>41930</v>
      </c>
      <c r="K10" s="25">
        <v>41928</v>
      </c>
      <c r="L10" s="25">
        <v>41989</v>
      </c>
      <c r="M10" s="25">
        <v>41989</v>
      </c>
      <c r="N10" s="25">
        <v>42038</v>
      </c>
      <c r="O10" s="25"/>
      <c r="P10" s="25"/>
      <c r="Q10" s="25">
        <v>42283</v>
      </c>
      <c r="R10" s="25">
        <v>42072</v>
      </c>
      <c r="S10" s="25">
        <v>42094</v>
      </c>
      <c r="T10" s="42" t="s">
        <v>75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68">
        <v>154</v>
      </c>
      <c r="C11" s="69" t="s">
        <v>76</v>
      </c>
      <c r="D11" s="19">
        <v>2</v>
      </c>
      <c r="E11" s="25">
        <v>41921</v>
      </c>
      <c r="F11" s="25">
        <v>41925</v>
      </c>
      <c r="H11" s="25">
        <v>41925</v>
      </c>
      <c r="I11" s="74" t="s">
        <v>99</v>
      </c>
      <c r="J11" s="25">
        <v>41933</v>
      </c>
      <c r="K11" s="25">
        <v>41929</v>
      </c>
      <c r="L11" s="25">
        <v>41992</v>
      </c>
      <c r="M11" s="25">
        <v>41989</v>
      </c>
      <c r="N11" s="25">
        <v>42041</v>
      </c>
      <c r="O11" s="25">
        <v>41983</v>
      </c>
      <c r="P11" s="25">
        <v>42094</v>
      </c>
      <c r="Q11" s="25">
        <v>42286</v>
      </c>
      <c r="T11" s="69" t="s">
        <v>75</v>
      </c>
      <c r="U11" s="12">
        <v>42306</v>
      </c>
    </row>
    <row r="12" spans="2:48" ht="19.5" customHeight="1">
      <c r="B12" s="68">
        <v>154</v>
      </c>
      <c r="C12" s="69" t="s">
        <v>76</v>
      </c>
      <c r="D12" s="19">
        <v>3</v>
      </c>
      <c r="E12" s="25">
        <v>41925</v>
      </c>
      <c r="F12" s="25">
        <v>41927</v>
      </c>
      <c r="H12" s="25">
        <v>41927</v>
      </c>
      <c r="I12" s="74" t="s">
        <v>99</v>
      </c>
      <c r="J12" s="25">
        <v>41937</v>
      </c>
      <c r="K12" s="25">
        <v>41947</v>
      </c>
      <c r="L12" s="25">
        <v>41996</v>
      </c>
      <c r="N12" s="25">
        <v>42045</v>
      </c>
      <c r="O12" s="25">
        <v>42025</v>
      </c>
      <c r="P12" s="25">
        <v>42033</v>
      </c>
      <c r="Q12" s="25">
        <v>42290</v>
      </c>
      <c r="T12" s="69" t="s">
        <v>75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12"/>
  <dimension ref="B1:AV12"/>
  <sheetViews>
    <sheetView workbookViewId="0">
      <selection activeCell="K22" sqref="K2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77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$U$12</f>
        <v>42306</v>
      </c>
      <c r="G4" s="50"/>
      <c r="H4" s="50"/>
      <c r="I4" s="34"/>
      <c r="J4" s="50"/>
      <c r="K4" s="50"/>
      <c r="L4" s="78" t="s">
        <v>17</v>
      </c>
      <c r="M4" s="63">
        <f>$B$12</f>
        <v>37</v>
      </c>
      <c r="N4" s="124" t="str">
        <f>$C$12</f>
        <v>HOCKE Claudine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0" t="s">
        <v>32</v>
      </c>
      <c r="M8" s="80" t="s">
        <v>31</v>
      </c>
      <c r="N8" s="79" t="s">
        <v>33</v>
      </c>
      <c r="O8" s="79" t="s">
        <v>34</v>
      </c>
      <c r="P8" s="79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37</v>
      </c>
      <c r="C10" s="42" t="s">
        <v>86</v>
      </c>
      <c r="D10" s="19">
        <v>1</v>
      </c>
      <c r="E10" s="25">
        <v>41803</v>
      </c>
      <c r="F10" s="25">
        <v>41806</v>
      </c>
      <c r="G10" s="25">
        <v>41806</v>
      </c>
      <c r="H10" s="25">
        <v>41806</v>
      </c>
      <c r="I10" s="74" t="s">
        <v>98</v>
      </c>
      <c r="J10" s="25">
        <v>41815</v>
      </c>
      <c r="K10" s="25">
        <v>41814</v>
      </c>
      <c r="L10" s="25">
        <v>41874</v>
      </c>
      <c r="M10" s="25"/>
      <c r="N10" s="25">
        <v>41923</v>
      </c>
      <c r="O10" s="25">
        <v>41813</v>
      </c>
      <c r="P10" s="25">
        <v>41823</v>
      </c>
      <c r="Q10" s="25">
        <v>42168</v>
      </c>
      <c r="R10" s="25"/>
      <c r="S10" s="25"/>
      <c r="T10" s="42" t="s">
        <v>85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43">
        <v>37</v>
      </c>
      <c r="C11" s="81" t="s">
        <v>86</v>
      </c>
      <c r="D11" s="19">
        <v>2</v>
      </c>
      <c r="E11" s="25">
        <v>41820</v>
      </c>
      <c r="F11" s="25">
        <v>41822</v>
      </c>
      <c r="H11" s="25">
        <v>41822</v>
      </c>
      <c r="I11" s="74" t="s">
        <v>97</v>
      </c>
      <c r="J11" s="25">
        <v>41832</v>
      </c>
      <c r="K11" s="25">
        <v>41830</v>
      </c>
      <c r="L11" s="25">
        <v>41891</v>
      </c>
      <c r="M11" s="25">
        <v>41897</v>
      </c>
      <c r="N11" s="25">
        <v>41940</v>
      </c>
      <c r="O11" s="25">
        <v>41844</v>
      </c>
      <c r="P11" s="25">
        <v>41883</v>
      </c>
      <c r="Q11" s="25">
        <v>42185</v>
      </c>
      <c r="R11" s="25">
        <v>41960</v>
      </c>
      <c r="S11" s="25">
        <v>41961</v>
      </c>
      <c r="T11" s="81" t="s">
        <v>85</v>
      </c>
      <c r="U11" s="12">
        <v>42306</v>
      </c>
    </row>
    <row r="12" spans="2:48" ht="19.5" customHeight="1">
      <c r="B12" s="43">
        <v>37</v>
      </c>
      <c r="C12" s="81" t="s">
        <v>86</v>
      </c>
      <c r="D12" s="19">
        <v>3</v>
      </c>
      <c r="I12" s="74" t="s">
        <v>57</v>
      </c>
      <c r="T12" s="81" t="s">
        <v>85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Feuil13"/>
  <dimension ref="B1:AV12"/>
  <sheetViews>
    <sheetView workbookViewId="0">
      <selection activeCell="L22" sqref="L2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102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$U$12</f>
        <v>42306</v>
      </c>
      <c r="G4" s="50"/>
      <c r="H4" s="50"/>
      <c r="I4" s="34"/>
      <c r="J4" s="50"/>
      <c r="K4" s="50"/>
      <c r="L4" s="103" t="s">
        <v>17</v>
      </c>
      <c r="M4" s="63">
        <f>$B$12</f>
        <v>392</v>
      </c>
      <c r="N4" s="124" t="str">
        <f>$C$12</f>
        <v>IMBERT Jacqueline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05" t="s">
        <v>32</v>
      </c>
      <c r="M8" s="105" t="s">
        <v>31</v>
      </c>
      <c r="N8" s="104" t="s">
        <v>33</v>
      </c>
      <c r="O8" s="104" t="s">
        <v>34</v>
      </c>
      <c r="P8" s="104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392</v>
      </c>
      <c r="C10" s="42" t="s">
        <v>112</v>
      </c>
      <c r="D10" s="19">
        <v>1</v>
      </c>
      <c r="E10" s="25">
        <v>41951</v>
      </c>
      <c r="F10" s="25">
        <v>41957</v>
      </c>
      <c r="G10" s="25">
        <v>41957</v>
      </c>
      <c r="H10" s="25">
        <v>41956</v>
      </c>
      <c r="I10" s="99" t="s">
        <v>99</v>
      </c>
      <c r="J10" s="25">
        <v>41963</v>
      </c>
      <c r="K10" s="25"/>
      <c r="L10" s="25">
        <v>42022</v>
      </c>
      <c r="M10" s="25"/>
      <c r="N10" s="25">
        <v>42071</v>
      </c>
      <c r="O10" s="25"/>
      <c r="P10" s="25"/>
      <c r="Q10" s="25">
        <v>42316</v>
      </c>
      <c r="R10" s="25"/>
      <c r="S10" s="25"/>
      <c r="T10" s="42" t="s">
        <v>111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100">
        <v>392</v>
      </c>
      <c r="C11" s="101" t="s">
        <v>112</v>
      </c>
      <c r="D11" s="19">
        <v>2</v>
      </c>
      <c r="I11" s="99" t="s">
        <v>57</v>
      </c>
      <c r="T11" s="101" t="s">
        <v>111</v>
      </c>
      <c r="U11" s="12">
        <v>42306</v>
      </c>
    </row>
    <row r="12" spans="2:48" ht="19.5" customHeight="1">
      <c r="B12" s="100">
        <v>392</v>
      </c>
      <c r="C12" s="101" t="s">
        <v>112</v>
      </c>
      <c r="D12" s="19">
        <v>3</v>
      </c>
      <c r="I12" s="99" t="s">
        <v>57</v>
      </c>
      <c r="T12" s="101" t="s">
        <v>111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Feuil14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159</v>
      </c>
      <c r="N4" s="124" t="str">
        <f>$C$12</f>
        <v>LOUSTALAN Marie-Pierre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159</v>
      </c>
      <c r="C10" s="42" t="s">
        <v>78</v>
      </c>
      <c r="D10" s="19">
        <v>1</v>
      </c>
      <c r="E10" s="25"/>
      <c r="F10" s="25"/>
      <c r="G10" s="25"/>
      <c r="H10" s="25"/>
      <c r="I10" s="7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75">
        <v>159</v>
      </c>
      <c r="C11" s="76" t="s">
        <v>78</v>
      </c>
      <c r="D11" s="19">
        <v>2</v>
      </c>
      <c r="I11" s="74" t="s">
        <v>57</v>
      </c>
      <c r="T11" s="76" t="s">
        <v>77</v>
      </c>
      <c r="U11" s="12">
        <v>42306</v>
      </c>
    </row>
    <row r="12" spans="2:48" ht="19.5" customHeight="1">
      <c r="B12" s="75">
        <v>159</v>
      </c>
      <c r="C12" s="76" t="s">
        <v>78</v>
      </c>
      <c r="D12" s="19">
        <v>3</v>
      </c>
      <c r="I12" s="74" t="s">
        <v>57</v>
      </c>
      <c r="T12" s="76" t="s">
        <v>77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Feuil15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156</v>
      </c>
      <c r="N4" s="124" t="str">
        <f>$C$12</f>
        <v>LY Sandra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156</v>
      </c>
      <c r="C10" s="42" t="s">
        <v>80</v>
      </c>
      <c r="D10" s="19">
        <v>1</v>
      </c>
      <c r="E10" s="25">
        <v>41803</v>
      </c>
      <c r="F10" s="25">
        <v>41816</v>
      </c>
      <c r="G10" s="25">
        <v>41816</v>
      </c>
      <c r="H10" s="25">
        <v>41816</v>
      </c>
      <c r="I10" s="44" t="s">
        <v>99</v>
      </c>
      <c r="J10" s="25">
        <v>41815</v>
      </c>
      <c r="K10" s="25">
        <v>41835</v>
      </c>
      <c r="L10" s="25">
        <v>41874</v>
      </c>
      <c r="M10" s="25">
        <v>41884</v>
      </c>
      <c r="N10" s="25">
        <v>41923</v>
      </c>
      <c r="O10" s="25"/>
      <c r="P10" s="25"/>
      <c r="Q10" s="25">
        <v>42168</v>
      </c>
      <c r="R10" s="25"/>
      <c r="S10" s="25"/>
      <c r="T10" s="42" t="s">
        <v>79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68">
        <v>156</v>
      </c>
      <c r="C11" s="69" t="s">
        <v>80</v>
      </c>
      <c r="D11" s="19">
        <v>2</v>
      </c>
      <c r="I11" s="74" t="s">
        <v>57</v>
      </c>
      <c r="T11" s="69" t="s">
        <v>79</v>
      </c>
      <c r="U11" s="12">
        <v>42306</v>
      </c>
    </row>
    <row r="12" spans="2:48" ht="19.5" customHeight="1">
      <c r="B12" s="68">
        <v>156</v>
      </c>
      <c r="C12" s="69" t="s">
        <v>80</v>
      </c>
      <c r="D12" s="19">
        <v>3</v>
      </c>
      <c r="I12" s="74" t="s">
        <v>57</v>
      </c>
      <c r="T12" s="69" t="s">
        <v>79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Feuil16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8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$U$12</f>
        <v>42306</v>
      </c>
      <c r="G4" s="50"/>
      <c r="H4" s="50"/>
      <c r="I4" s="34"/>
      <c r="J4" s="50"/>
      <c r="K4" s="50"/>
      <c r="L4" s="87" t="s">
        <v>17</v>
      </c>
      <c r="M4" s="63">
        <f>$B$12</f>
        <v>288</v>
      </c>
      <c r="N4" s="124" t="str">
        <f>$C$12</f>
        <v>MEUNIER-LALANNE Marie-Joëlle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9" t="s">
        <v>32</v>
      </c>
      <c r="M8" s="89" t="s">
        <v>31</v>
      </c>
      <c r="N8" s="88" t="s">
        <v>33</v>
      </c>
      <c r="O8" s="88" t="s">
        <v>34</v>
      </c>
      <c r="P8" s="88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288</v>
      </c>
      <c r="C10" s="42" t="s">
        <v>92</v>
      </c>
      <c r="D10" s="19">
        <v>1</v>
      </c>
      <c r="E10" s="25"/>
      <c r="F10" s="25">
        <v>42006</v>
      </c>
      <c r="G10" s="25">
        <v>41912</v>
      </c>
      <c r="H10" s="25">
        <v>41878</v>
      </c>
      <c r="I10" s="74" t="s">
        <v>110</v>
      </c>
      <c r="J10" s="25"/>
      <c r="K10" s="25">
        <v>41849</v>
      </c>
      <c r="L10" s="25"/>
      <c r="M10" s="25">
        <v>41907</v>
      </c>
      <c r="N10" s="25"/>
      <c r="O10" s="25"/>
      <c r="P10" s="25"/>
      <c r="Q10" s="25"/>
      <c r="R10" s="25"/>
      <c r="S10" s="25"/>
      <c r="T10" s="42" t="s">
        <v>87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95">
        <v>288</v>
      </c>
      <c r="C11" s="96" t="s">
        <v>92</v>
      </c>
      <c r="D11" s="19">
        <v>2</v>
      </c>
      <c r="E11" s="25">
        <v>41907</v>
      </c>
      <c r="F11" s="25">
        <v>41921</v>
      </c>
      <c r="H11" s="25">
        <v>41912</v>
      </c>
      <c r="I11" s="74" t="s">
        <v>109</v>
      </c>
      <c r="J11" s="25">
        <v>41919</v>
      </c>
      <c r="K11" s="25">
        <v>41918</v>
      </c>
      <c r="L11" s="25">
        <v>41978</v>
      </c>
      <c r="M11" s="25">
        <v>41977</v>
      </c>
      <c r="N11" s="25">
        <v>42027</v>
      </c>
      <c r="Q11" s="25">
        <v>42272</v>
      </c>
      <c r="T11" s="96" t="s">
        <v>87</v>
      </c>
      <c r="U11" s="12">
        <v>42306</v>
      </c>
    </row>
    <row r="12" spans="2:48" ht="19.5" customHeight="1">
      <c r="B12" s="95">
        <v>288</v>
      </c>
      <c r="C12" s="96" t="s">
        <v>92</v>
      </c>
      <c r="D12" s="19">
        <v>3</v>
      </c>
      <c r="E12" s="25">
        <v>41937</v>
      </c>
      <c r="F12" s="25">
        <v>41949</v>
      </c>
      <c r="H12" s="25">
        <v>41978</v>
      </c>
      <c r="I12" s="74" t="s">
        <v>122</v>
      </c>
      <c r="J12" s="25">
        <v>41949</v>
      </c>
      <c r="K12" s="25">
        <v>42002</v>
      </c>
      <c r="L12" s="25">
        <v>42008</v>
      </c>
      <c r="M12" s="25">
        <v>42016</v>
      </c>
      <c r="N12" s="25">
        <v>42057</v>
      </c>
      <c r="O12" s="25">
        <v>41961</v>
      </c>
      <c r="P12" s="25">
        <v>41970</v>
      </c>
      <c r="Q12" s="25">
        <v>42302</v>
      </c>
      <c r="T12" s="96" t="s">
        <v>87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Feuil17"/>
  <dimension ref="B1:AV12"/>
  <sheetViews>
    <sheetView workbookViewId="0">
      <selection activeCell="J27" sqref="J2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91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$U$12</f>
        <v>42306</v>
      </c>
      <c r="G4" s="50"/>
      <c r="H4" s="50"/>
      <c r="I4" s="34"/>
      <c r="J4" s="50"/>
      <c r="K4" s="50"/>
      <c r="L4" s="92" t="s">
        <v>17</v>
      </c>
      <c r="M4" s="63">
        <f>$B$12</f>
        <v>350</v>
      </c>
      <c r="N4" s="124" t="str">
        <f>$C$12</f>
        <v>REGUILHEM Olivier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4" t="s">
        <v>32</v>
      </c>
      <c r="M8" s="94" t="s">
        <v>31</v>
      </c>
      <c r="N8" s="93" t="s">
        <v>33</v>
      </c>
      <c r="O8" s="93" t="s">
        <v>34</v>
      </c>
      <c r="P8" s="93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350</v>
      </c>
      <c r="C10" s="42" t="s">
        <v>91</v>
      </c>
      <c r="D10" s="19">
        <v>1</v>
      </c>
      <c r="E10" s="25">
        <v>41927</v>
      </c>
      <c r="F10" s="25">
        <v>41929</v>
      </c>
      <c r="G10" s="25">
        <v>41932</v>
      </c>
      <c r="H10" s="25">
        <v>41929</v>
      </c>
      <c r="I10" s="74" t="s">
        <v>99</v>
      </c>
      <c r="J10" s="25">
        <v>41939</v>
      </c>
      <c r="K10" s="25">
        <v>41935</v>
      </c>
      <c r="L10" s="25">
        <v>41998</v>
      </c>
      <c r="M10" s="25"/>
      <c r="N10" s="25">
        <v>42047</v>
      </c>
      <c r="O10" s="25">
        <v>42009</v>
      </c>
      <c r="P10" s="25">
        <v>42044</v>
      </c>
      <c r="Q10" s="25">
        <v>42292</v>
      </c>
      <c r="R10" s="25">
        <v>42187</v>
      </c>
      <c r="S10" s="25">
        <v>42191</v>
      </c>
      <c r="T10" s="42" t="s">
        <v>90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97">
        <v>350</v>
      </c>
      <c r="C11" s="98" t="s">
        <v>91</v>
      </c>
      <c r="D11" s="19">
        <v>2</v>
      </c>
      <c r="I11" s="99" t="s">
        <v>57</v>
      </c>
      <c r="T11" s="98" t="s">
        <v>90</v>
      </c>
      <c r="U11" s="12">
        <v>42306</v>
      </c>
    </row>
    <row r="12" spans="2:48" ht="19.5" customHeight="1">
      <c r="B12" s="97">
        <v>350</v>
      </c>
      <c r="C12" s="98" t="s">
        <v>91</v>
      </c>
      <c r="D12" s="19">
        <v>3</v>
      </c>
      <c r="I12" s="99" t="s">
        <v>57</v>
      </c>
      <c r="T12" s="98" t="s">
        <v>90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Feuil18"/>
  <dimension ref="B1:AV12"/>
  <sheetViews>
    <sheetView workbookViewId="0">
      <selection activeCell="M19" sqref="M19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110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$U$12</f>
        <v>42306</v>
      </c>
      <c r="G4" s="50"/>
      <c r="H4" s="50"/>
      <c r="I4" s="34"/>
      <c r="J4" s="50"/>
      <c r="K4" s="50"/>
      <c r="L4" s="111" t="s">
        <v>17</v>
      </c>
      <c r="M4" s="63">
        <f>$B$12</f>
        <v>420</v>
      </c>
      <c r="N4" s="124" t="str">
        <f>$C$12</f>
        <v>SAVARIAULT-JAECK Isabelle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13" t="s">
        <v>32</v>
      </c>
      <c r="M8" s="113" t="s">
        <v>31</v>
      </c>
      <c r="N8" s="112" t="s">
        <v>33</v>
      </c>
      <c r="O8" s="112" t="s">
        <v>34</v>
      </c>
      <c r="P8" s="11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420</v>
      </c>
      <c r="C10" s="42" t="s">
        <v>119</v>
      </c>
      <c r="D10" s="19">
        <v>1</v>
      </c>
      <c r="E10" s="25">
        <v>41939</v>
      </c>
      <c r="F10" s="25">
        <v>41943</v>
      </c>
      <c r="G10" s="25">
        <v>41943</v>
      </c>
      <c r="H10" s="25"/>
      <c r="I10" s="99" t="s">
        <v>57</v>
      </c>
      <c r="J10" s="25">
        <v>41951</v>
      </c>
      <c r="K10" s="25"/>
      <c r="L10" s="25">
        <v>42010</v>
      </c>
      <c r="M10" s="25"/>
      <c r="N10" s="25">
        <v>42059</v>
      </c>
      <c r="O10" s="25">
        <v>42002</v>
      </c>
      <c r="P10" s="25">
        <v>42006</v>
      </c>
      <c r="Q10" s="25">
        <v>42304</v>
      </c>
      <c r="R10" s="25"/>
      <c r="S10" s="25"/>
      <c r="T10" s="42" t="s">
        <v>115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100">
        <v>420</v>
      </c>
      <c r="C11" s="101" t="s">
        <v>119</v>
      </c>
      <c r="D11" s="19">
        <v>2</v>
      </c>
      <c r="E11" s="25">
        <v>41950</v>
      </c>
      <c r="F11" s="25">
        <v>41955</v>
      </c>
      <c r="G11" s="25">
        <v>41955</v>
      </c>
      <c r="H11" s="25">
        <v>41955</v>
      </c>
      <c r="I11" s="99" t="s">
        <v>96</v>
      </c>
      <c r="J11" s="25">
        <v>41962</v>
      </c>
      <c r="K11" s="25">
        <v>41963</v>
      </c>
      <c r="L11" s="25">
        <v>42021</v>
      </c>
      <c r="M11" s="25">
        <v>42018</v>
      </c>
      <c r="N11" s="25">
        <v>42070</v>
      </c>
      <c r="Q11" s="25">
        <v>42315</v>
      </c>
      <c r="T11" s="101" t="s">
        <v>115</v>
      </c>
      <c r="U11" s="12">
        <v>42306</v>
      </c>
    </row>
    <row r="12" spans="2:48" ht="19.5" customHeight="1">
      <c r="B12" s="100">
        <v>420</v>
      </c>
      <c r="C12" s="101" t="s">
        <v>119</v>
      </c>
      <c r="D12" s="19">
        <v>3</v>
      </c>
      <c r="E12" s="25">
        <v>41970</v>
      </c>
      <c r="F12" s="25">
        <v>41974</v>
      </c>
      <c r="G12" s="25">
        <v>41974</v>
      </c>
      <c r="I12" s="99" t="s">
        <v>57</v>
      </c>
      <c r="J12" s="25">
        <v>41982</v>
      </c>
      <c r="L12" s="25">
        <v>42041</v>
      </c>
      <c r="N12" s="25">
        <v>42090</v>
      </c>
      <c r="Q12" s="25">
        <v>42335</v>
      </c>
      <c r="T12" s="101" t="s">
        <v>115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Feuil19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1" t="s">
        <v>16</v>
      </c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3"/>
      <c r="M3" s="123"/>
      <c r="N3" s="123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6" t="s">
        <v>58</v>
      </c>
      <c r="E4" s="136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157</v>
      </c>
      <c r="N4" s="124" t="str">
        <f>$C$12</f>
        <v>VERSAPUECH Julie</v>
      </c>
      <c r="O4" s="124"/>
      <c r="P4" s="124"/>
      <c r="Q4" s="124"/>
      <c r="R4" s="12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5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157</v>
      </c>
      <c r="C10" s="42" t="s">
        <v>82</v>
      </c>
      <c r="D10" s="19">
        <v>1</v>
      </c>
      <c r="E10" s="25"/>
      <c r="F10" s="25"/>
      <c r="G10" s="25"/>
      <c r="H10" s="25"/>
      <c r="I10" s="7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81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75">
        <v>157</v>
      </c>
      <c r="C11" s="76" t="s">
        <v>82</v>
      </c>
      <c r="D11" s="19">
        <v>2</v>
      </c>
      <c r="I11" s="74" t="s">
        <v>57</v>
      </c>
      <c r="T11" s="76" t="s">
        <v>81</v>
      </c>
      <c r="U11" s="12">
        <v>42306</v>
      </c>
    </row>
    <row r="12" spans="2:48" ht="19.5" customHeight="1">
      <c r="B12" s="75">
        <v>157</v>
      </c>
      <c r="C12" s="76" t="s">
        <v>82</v>
      </c>
      <c r="D12" s="19">
        <v>3</v>
      </c>
      <c r="I12" s="74" t="s">
        <v>57</v>
      </c>
      <c r="T12" s="76" t="s">
        <v>81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20</vt:i4>
      </vt:variant>
    </vt:vector>
  </HeadingPairs>
  <TitlesOfParts>
    <vt:vector size="20" baseType="lpstr">
      <vt:lpstr>Secteur DE0302</vt:lpstr>
      <vt:lpstr>00102570</vt:lpstr>
      <vt:lpstr>00129265</vt:lpstr>
      <vt:lpstr>00534677</vt:lpstr>
      <vt:lpstr>01900144</vt:lpstr>
      <vt:lpstr>04860131</vt:lpstr>
      <vt:lpstr>05922324</vt:lpstr>
      <vt:lpstr>03052070</vt:lpstr>
      <vt:lpstr>03935190</vt:lpstr>
      <vt:lpstr>04298787</vt:lpstr>
      <vt:lpstr>04375351</vt:lpstr>
      <vt:lpstr>04375367</vt:lpstr>
      <vt:lpstr>04619743</vt:lpstr>
      <vt:lpstr>04717040</vt:lpstr>
      <vt:lpstr>05889359</vt:lpstr>
      <vt:lpstr>05926175</vt:lpstr>
      <vt:lpstr>06421644</vt:lpstr>
      <vt:lpstr>07749053</vt:lpstr>
      <vt:lpstr>08550639</vt:lpstr>
      <vt:lpstr>09238605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2015-10-29T22:02:22Z</dcterms:modified>
</cp:coreProperties>
</file>