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queryTables/queryTable14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 tabRatio="642"/>
  </bookViews>
  <sheets>
    <sheet name="Secteur DE0306" sheetId="1" r:id="rId1"/>
    <sheet name="01052498" sheetId="10" r:id="rId2"/>
    <sheet name="00915540" sheetId="11" r:id="rId3"/>
    <sheet name="02724544" sheetId="13" r:id="rId4"/>
    <sheet name="01688890" sheetId="2" r:id="rId5"/>
    <sheet name="03275701" sheetId="3" r:id="rId6"/>
    <sheet name="04547830" sheetId="4" r:id="rId7"/>
    <sheet name="04884054" sheetId="5" r:id="rId8"/>
    <sheet name="06857915" sheetId="6" r:id="rId9"/>
    <sheet name="07088866" sheetId="12" r:id="rId10"/>
    <sheet name="05424108" sheetId="7" r:id="rId11"/>
    <sheet name="07463108" sheetId="8" r:id="rId12"/>
    <sheet name="07993743" sheetId="14" r:id="rId13"/>
    <sheet name="01714884" sheetId="9" r:id="rId14"/>
  </sheets>
  <definedNames>
    <definedName name="Lancer_la_requête_à_partir_de_MS_Access_Database" localSheetId="2" hidden="1">'00915540'!$B$9:$U$14</definedName>
    <definedName name="Lancer_la_requête_à_partir_de_MS_Access_Database" localSheetId="1" hidden="1">'01052498'!$B$9:$U$14</definedName>
    <definedName name="Lancer_la_requête_à_partir_de_MS_Access_Database" localSheetId="4" hidden="1">'01688890'!$B$9:$U$14</definedName>
    <definedName name="Lancer_la_requête_à_partir_de_MS_Access_Database" localSheetId="13" hidden="1">'01714884'!$B$9:$U$19</definedName>
    <definedName name="Lancer_la_requête_à_partir_de_MS_Access_Database" localSheetId="3" hidden="1">'02724544'!$B$9:$U$14</definedName>
    <definedName name="Lancer_la_requête_à_partir_de_MS_Access_Database" localSheetId="5" hidden="1">'03275701'!$B$9:$U$15</definedName>
    <definedName name="Lancer_la_requête_à_partir_de_MS_Access_Database" localSheetId="6" hidden="1">'04547830'!$B$9:$U$12</definedName>
    <definedName name="Lancer_la_requête_à_partir_de_MS_Access_Database" localSheetId="7" hidden="1">'04884054'!$B$9:$U$12</definedName>
    <definedName name="Lancer_la_requête_à_partir_de_MS_Access_Database" localSheetId="10" hidden="1">'05424108'!$B$9:$U$12</definedName>
    <definedName name="Lancer_la_requête_à_partir_de_MS_Access_Database" localSheetId="8" hidden="1">'06857915'!$B$9:$U$17</definedName>
    <definedName name="Lancer_la_requête_à_partir_de_MS_Access_Database" localSheetId="9" hidden="1">'07088866'!$B$9:$U$12</definedName>
    <definedName name="Lancer_la_requête_à_partir_de_MS_Access_Database" localSheetId="11" hidden="1">'07463108'!$B$9:$U$14</definedName>
    <definedName name="Lancer_la_requête_à_partir_de_MS_Access_Database" localSheetId="12" hidden="1">'07993743'!$B$9:$U$14</definedName>
    <definedName name="Lancer_la_requête_à_partir_de_MS_Access_Database_1" localSheetId="0" hidden="1">'Secteur DE0306'!$A$7:$K$20</definedName>
  </definedNames>
  <calcPr calcId="125725"/>
</workbook>
</file>

<file path=xl/calcChain.xml><?xml version="1.0" encoding="utf-8"?>
<calcChain xmlns="http://schemas.openxmlformats.org/spreadsheetml/2006/main">
  <c r="D21" i="1"/>
  <c r="E21"/>
  <c r="F21"/>
  <c r="G21"/>
  <c r="H21"/>
  <c r="I21"/>
  <c r="N4" i="14"/>
  <c r="M4"/>
  <c r="F4"/>
  <c r="N4" i="13"/>
  <c r="M4"/>
  <c r="F4"/>
  <c r="N4" i="12"/>
  <c r="M4"/>
  <c r="F4"/>
  <c r="N4" i="11"/>
  <c r="M4"/>
  <c r="F4"/>
  <c r="N4" i="10"/>
  <c r="M4"/>
  <c r="F4"/>
  <c r="N4" i="9" l="1"/>
  <c r="M4"/>
  <c r="F4"/>
  <c r="N4" i="8"/>
  <c r="M4"/>
  <c r="F4"/>
  <c r="N4" i="7"/>
  <c r="M4"/>
  <c r="F4"/>
  <c r="N4" i="6"/>
  <c r="M4"/>
  <c r="F4"/>
  <c r="N4" i="5"/>
  <c r="M4"/>
  <c r="F4"/>
  <c r="N4" i="4"/>
  <c r="M4"/>
  <c r="F4"/>
  <c r="N4" i="3"/>
  <c r="M4"/>
  <c r="F4"/>
  <c r="G2" i="1"/>
  <c r="F2"/>
  <c r="D3"/>
  <c r="F4" i="2"/>
  <c r="N4"/>
  <c r="M4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306')_x000d__x000a_ORDER BY Req_REPORT_SECTEURS_GLOBAL.Medecin"/>
  </connection>
  <connection id="2" name="Lancer la requête à partir de MS Access Database0091554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915540')"/>
  </connection>
  <connection id="3" name="Lancer la requête à partir de MS Access Database0105249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052498')"/>
  </connection>
  <connection id="4" name="Lancer la requête à partir de MS Access Database0168889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688890')"/>
  </connection>
  <connection id="5" name="Lancer la requête à partir de MS Access Database01714884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714884')"/>
  </connection>
  <connection id="6" name="Lancer la requête à partir de MS Access Database02724544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724544')"/>
  </connection>
  <connection id="7" name="Lancer la requête à partir de MS Access Database03275701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275701')"/>
  </connection>
  <connection id="8" name="Lancer la requête à partir de MS Access Database0454783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547830')"/>
  </connection>
  <connection id="9" name="Lancer la requête à partir de MS Access Database04884054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884054')"/>
  </connection>
  <connection id="10" name="Lancer la requête à partir de MS Access Database0542410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424108')"/>
  </connection>
  <connection id="11" name="Lancer la requête à partir de MS Access Database0685791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857915')"/>
  </connection>
  <connection id="12" name="Lancer la requête à partir de MS Access Database07088866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088866')"/>
  </connection>
  <connection id="13" name="Lancer la requête à partir de MS Access Database0746310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463108')"/>
  </connection>
  <connection id="14" name="Lancer la requête à partir de MS Access Database0799374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993743')"/>
  </connection>
</connections>
</file>

<file path=xl/sharedStrings.xml><?xml version="1.0" encoding="utf-8"?>
<sst xmlns="http://schemas.openxmlformats.org/spreadsheetml/2006/main" count="871" uniqueCount="110">
  <si>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</si>
  <si>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</si>
  <si>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</si>
  <si>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</si>
  <si>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</si>
  <si>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</si>
  <si>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</si>
  <si>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</si>
  <si>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</si>
  <si>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</si>
  <si>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</si>
  <si>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</si>
  <si>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</si>
  <si>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</si>
  <si>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</si>
  <si>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</si>
  <si>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</si>
  <si>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</si>
  <si>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</si>
  <si>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</si>
  <si>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</si>
  <si>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</si>
  <si>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</si>
  <si>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</si>
  <si>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</si>
  <si>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</si>
  <si>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</si>
  <si>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</si>
  <si>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</si>
  <si>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</si>
  <si>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</si>
  <si>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</si>
  <si>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</si>
  <si>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</si>
  <si>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</si>
  <si>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</si>
  <si>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</si>
  <si>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</si>
  <si>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</si>
  <si>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</si>
  <si>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</si>
  <si>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</si>
  <si>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</si>
  <si>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</si>
  <si>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</si>
  <si>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</si>
  <si>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</si>
  <si>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</si>
  <si>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</si>
  <si>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</si>
  <si>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</si>
  <si>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</si>
  <si>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</si>
  <si>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</si>
  <si>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</si>
  <si>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</si>
  <si>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</si>
  <si>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</si>
  <si>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</si>
  <si>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DE0306</t>
  </si>
  <si>
    <t>LEROY Grégoire</t>
  </si>
  <si>
    <t>WFRM01688890</t>
  </si>
  <si>
    <t>CASSARA Jean</t>
  </si>
  <si>
    <t>WFRM03275701</t>
  </si>
  <si>
    <t>EMERY-DELOURMEL Corinne</t>
  </si>
  <si>
    <t>WFRM04547830</t>
  </si>
  <si>
    <t>HENRY Michèle</t>
  </si>
  <si>
    <t>WFRM04884054</t>
  </si>
  <si>
    <t>JOUBERT Bruno</t>
  </si>
  <si>
    <t>WFRM06857915</t>
  </si>
  <si>
    <t>WFRM05424108</t>
  </si>
  <si>
    <t>PIETO LE CORVAISIER Christine</t>
  </si>
  <si>
    <t>WFRM07463108</t>
  </si>
  <si>
    <t>PONTOIZEAU Pierre</t>
  </si>
  <si>
    <t>WFRM01714884</t>
  </si>
  <si>
    <t>SIERRA FORTUNY Sandrine</t>
  </si>
  <si>
    <t>WFRM01052498</t>
  </si>
  <si>
    <t>BARTHAUX Clément</t>
  </si>
  <si>
    <t>WFRM00915540</t>
  </si>
  <si>
    <t>BINEAU Véronique</t>
  </si>
  <si>
    <t>WFRM07088866</t>
  </si>
  <si>
    <t>PATY Jean-Luc</t>
  </si>
  <si>
    <t>SMS - Mail - Téléphone</t>
  </si>
  <si>
    <t>Courrier - Via médecin</t>
  </si>
  <si>
    <t>Via médecin</t>
  </si>
  <si>
    <t>Mail - Téléphone</t>
  </si>
  <si>
    <t>Téléphone</t>
  </si>
  <si>
    <t>Mail - Courrier - Téléphone</t>
  </si>
  <si>
    <t>Courrier</t>
  </si>
  <si>
    <t>SMS - Courrier</t>
  </si>
  <si>
    <t>Courrier - Téléphone</t>
  </si>
  <si>
    <t>SMS - Mail - Courrier - Téléphone</t>
  </si>
  <si>
    <t>WFRM02724544</t>
  </si>
  <si>
    <t>BOUILLON DOUETTE Sylvie</t>
  </si>
  <si>
    <t>Courrier 05/08: demande visite inclusion patient 2</t>
  </si>
  <si>
    <t>Courrier 05/08: manque page 3 visite inclusion patient 1538 + relance à faire patient 1 n'a pas renvoyé son autoQ 2 mois</t>
  </si>
  <si>
    <t>05sept:Le Dr ne pense pas inclure de patients dans le cadre de l'étude car il a eu 2 patients traité avec Picato avant son lancement qui ont eu des effets secondaires "épouvantables" et qui n'ont pas réussi à aller jusqu'aù bout du traitement. Il pense qu</t>
  </si>
  <si>
    <t>WFRM07993743</t>
  </si>
  <si>
    <t>RIBEAUDEAU Fabrice</t>
  </si>
  <si>
    <t>Mail - Via médecin</t>
  </si>
  <si>
    <t>SMS - Mail - Courrier - Téléphone - Via médecin</t>
  </si>
  <si>
    <t>Téléphone - Via médecin</t>
  </si>
  <si>
    <t>13nov: souhaite 3 nv CRF =&gt; envoyé le 17nov</t>
  </si>
  <si>
    <t>SMS - Mail</t>
  </si>
  <si>
    <t>Mail</t>
  </si>
  <si>
    <t>Mail - Courrier</t>
  </si>
  <si>
    <t>Reste 2 patients à inclure</t>
  </si>
  <si>
    <t>Colonne1</t>
  </si>
  <si>
    <t>MOURTADA Iman</t>
  </si>
  <si>
    <t>demande renvoi visite inclusion patient 1645</t>
  </si>
</sst>
</file>

<file path=xl/styles.xml><?xml version="1.0" encoding="utf-8"?>
<styleSheet xmlns="http://schemas.openxmlformats.org/spreadsheetml/2006/main">
  <numFmts count="1">
    <numFmt numFmtId="164" formatCode="dd/mm/yy;@"/>
  </numFmts>
  <fonts count="27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8080"/>
      </left>
      <right style="thin">
        <color rgb="FF000000"/>
      </right>
      <top style="thin">
        <color rgb="FF000000"/>
      </top>
      <bottom style="thin">
        <color rgb="FF008080"/>
      </bottom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34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22" fontId="0" fillId="0" borderId="0" xfId="0" applyNumberFormat="1" applyBorder="1"/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4" fontId="0" fillId="0" borderId="0" xfId="0" applyNumberForma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1" fillId="0" borderId="0" xfId="2" applyAlignment="1" applyProtection="1">
      <alignment horizontal="center" vertical="center" wrapText="1"/>
    </xf>
    <xf numFmtId="22" fontId="0" fillId="0" borderId="0" xfId="0" applyNumberFormat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0" fillId="0" borderId="0" xfId="0" applyNumberFormat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4" fontId="0" fillId="0" borderId="0" xfId="0" applyNumberFormat="1"/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0" fontId="0" fillId="11" borderId="0" xfId="0" applyFill="1" applyAlignment="1">
      <alignment vertical="center" wrapText="1"/>
    </xf>
    <xf numFmtId="0" fontId="11" fillId="11" borderId="0" xfId="2" applyFill="1" applyAlignment="1" applyProtection="1">
      <alignment horizontal="center" vertical="center" wrapText="1"/>
    </xf>
    <xf numFmtId="22" fontId="0" fillId="11" borderId="0" xfId="0" applyNumberFormat="1" applyFill="1" applyAlignment="1">
      <alignment vertical="center" wrapText="1"/>
    </xf>
    <xf numFmtId="164" fontId="0" fillId="11" borderId="0" xfId="0" applyNumberForma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164" fontId="0" fillId="11" borderId="0" xfId="0" applyNumberFormat="1" applyFill="1" applyAlignment="1">
      <alignment vertical="center" wrapText="1"/>
    </xf>
    <xf numFmtId="0" fontId="26" fillId="12" borderId="5" xfId="0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11" fillId="0" borderId="0" xfId="2" applyFill="1" applyAlignment="1" applyProtection="1">
      <alignment horizontal="center" vertical="center" wrapText="1"/>
    </xf>
    <xf numFmtId="22" fontId="0" fillId="0" borderId="0" xfId="0" applyNumberFormat="1" applyFill="1" applyAlignment="1">
      <alignment vertical="center" wrapText="1"/>
    </xf>
    <xf numFmtId="164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4" fontId="0" fillId="0" borderId="0" xfId="0" applyNumberFormat="1" applyFill="1" applyAlignment="1">
      <alignment vertical="center" wrapText="1"/>
    </xf>
    <xf numFmtId="0" fontId="26" fillId="0" borderId="5" xfId="0" applyFont="1" applyFill="1" applyBorder="1" applyAlignment="1">
      <alignment vertical="center" wrapText="1"/>
    </xf>
    <xf numFmtId="14" fontId="7" fillId="3" borderId="0" xfId="1" applyNumberFormat="1" applyFont="1" applyFill="1" applyAlignment="1">
      <alignment horizont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299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numFmt numFmtId="164" formatCode="dd/mm/yy;@"/>
      <alignment horizontal="general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  <protection locked="1" hidden="0"/>
    </dxf>
    <dxf>
      <alignment horizontal="general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wrapText="1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298"/>
      <tableStyleElement type="headerRow" dxfId="297"/>
      <tableStyleElement type="totalRow" dxfId="296"/>
      <tableStyleElement type="firstColumn" dxfId="295"/>
      <tableStyleElement type="lastColumn" dxfId="294"/>
      <tableStyleElement type="firstRowStripe" dxfId="293"/>
      <tableStyleElement type="secondRowStripe" dxfId="292"/>
      <tableStyleElement type="firstColumnStripe" dxfId="291"/>
      <tableStyleElement type="secondColumnStripe" dxfId="290"/>
    </tableStyle>
    <tableStyle name="TableStyleLight8 2" pivot="0" count="9">
      <tableStyleElement type="wholeTable" dxfId="289"/>
      <tableStyleElement type="headerRow" dxfId="288"/>
      <tableStyleElement type="totalRow" dxfId="287"/>
      <tableStyleElement type="firstColumn" dxfId="286"/>
      <tableStyleElement type="lastColumn" dxfId="285"/>
      <tableStyleElement type="firstRowStripe" dxfId="284"/>
      <tableStyleElement type="secondRowStripe" dxfId="283"/>
      <tableStyleElement type="firstColumnStripe" dxfId="282"/>
      <tableStyleElement type="secondColumnStripe" dxfId="281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9.xml><?xml version="1.0" encoding="utf-8"?>
<queryTable xmlns="http://schemas.openxmlformats.org/spreadsheetml/2006/main" name="Lancer la requête à partir de MS Access Database" adjustColumnWidth="0" connectionId="11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0.xml><?xml version="1.0" encoding="utf-8"?>
<queryTable xmlns="http://schemas.openxmlformats.org/spreadsheetml/2006/main" name="Lancer la requête à partir de MS Access Database" adjustColumnWidth="0" connectionId="1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1.xml><?xml version="1.0" encoding="utf-8"?>
<queryTable xmlns="http://schemas.openxmlformats.org/spreadsheetml/2006/main" name="Lancer la requête à partir de MS Access Database" adjustColumnWidth="0" connectionId="10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2.xml><?xml version="1.0" encoding="utf-8"?>
<queryTable xmlns="http://schemas.openxmlformats.org/spreadsheetml/2006/main" name="Lancer la requête à partir de MS Access Database" adjustColumnWidth="0" connectionId="1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3.xml><?xml version="1.0" encoding="utf-8"?>
<queryTable xmlns="http://schemas.openxmlformats.org/spreadsheetml/2006/main" name="Lancer la requête à partir de MS Access Database" adjustColumnWidth="0" connectionId="1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4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L21" tableType="queryTable" totalsRowCount="1" headerRowDxfId="280" dataDxfId="279">
  <tableColumns count="12">
    <tableColumn id="1" uniqueName="1" name="Code Secteur" queryTableFieldId="1" dataDxfId="267" totalsRowDxfId="268"/>
    <tableColumn id="2" uniqueName="2" name="VM" queryTableFieldId="2" dataDxfId="266" totalsRowDxfId="269"/>
    <tableColumn id="3" uniqueName="3" name="Code médecin" totalsRowLabel="TOTAL" queryTableFieldId="3" dataDxfId="265" totalsRowDxfId="270" dataCellStyle="Lien hypertexte"/>
    <tableColumn id="4" uniqueName="4" name="Medecin" totalsRowFunction="custom" queryTableFieldId="4" dataDxfId="264" totalsRowDxfId="271">
      <totalsRowFormula>SUBTOTAL(3,D8:D20)</totalsRowFormula>
    </tableColumn>
    <tableColumn id="5" uniqueName="5" name="Date de réception convention financière" totalsRowFunction="custom" queryTableFieldId="5" dataDxfId="263" totalsRowDxfId="272">
      <totalsRowFormula>SUBTOTAL(3,[Date de réception convention financière])</totalsRowFormula>
    </tableColumn>
    <tableColumn id="6" uniqueName="6" name="Date de réception AR kit" totalsRowFunction="custom" queryTableFieldId="6" dataDxfId="262" totalsRowDxfId="273">
      <totalsRowFormula>SUBTOTAL(3,[Date de réception AR kit])</totalsRowFormula>
    </tableColumn>
    <tableColumn id="7" uniqueName="7" name="Date de MEP" totalsRowFunction="custom" queryTableFieldId="7" dataDxfId="261" totalsRowDxfId="274">
      <totalsRowFormula>SUBTOTAL(3,[Date de MEP])</totalsRowFormula>
    </tableColumn>
    <tableColumn id="8" uniqueName="8" name="Desistement" totalsRowFunction="custom" queryTableFieldId="8" dataDxfId="260" totalsRowDxfId="275">
      <totalsRowFormula>SUBTOTAL(3,[Desistement])</totalsRowFormula>
    </tableColumn>
    <tableColumn id="9" uniqueName="9" name="Nb Total Patients inclus" totalsRowFunction="custom" queryTableFieldId="9" dataDxfId="259" totalsRowDxfId="276">
      <totalsRowFormula>SUBTOTAL(109,I8:I20)</totalsRowFormula>
    </tableColumn>
    <tableColumn id="10" uniqueName="10" name="Comptes-rendus contact médecin-GECEM" queryTableFieldId="10" dataDxfId="258" totalsRowDxfId="277"/>
    <tableColumn id="11" uniqueName="11" name="Date" queryTableFieldId="11" dataDxfId="257" totalsRowDxfId="278"/>
    <tableColumn id="12" uniqueName="12" name="Colonne1" queryTableFieldId="12" dataDxfId="256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10" name="Tableau_Lancer_la_requête_à_partir_de_MS_Access_Database4567891011" displayName="Tableau_Lancer_la_requête_à_partir_de_MS_Access_Database4567891011" ref="B9:U14" tableType="queryTable" totalsRowShown="0">
  <autoFilter ref="B9:U14"/>
  <tableColumns count="20">
    <tableColumn id="1" uniqueName="1" name="Num_Centre" queryTableFieldId="1" dataDxfId="255"/>
    <tableColumn id="2" uniqueName="2" name="Investigateur" queryTableFieldId="2" dataDxfId="254"/>
    <tableColumn id="3" uniqueName="3" name="Num_Patient" queryTableFieldId="3" dataDxfId="253"/>
    <tableColumn id="4" uniqueName="4" name="INCLUSION_Visite" queryTableFieldId="4" dataDxfId="252"/>
    <tableColumn id="5" uniqueName="5" name="INCLUSION_Reception" queryTableFieldId="5" dataDxfId="251"/>
    <tableColumn id="6" uniqueName="6" name="AQINCLUSION_Reception" queryTableFieldId="6" dataDxfId="250"/>
    <tableColumn id="7" uniqueName="7" name="CONTACT_Reception" queryTableFieldId="7" dataDxfId="249"/>
    <tableColumn id="8" uniqueName="8" name="TypeRappel" queryTableFieldId="8" dataDxfId="248"/>
    <tableColumn id="9" uniqueName="9" name="AQ7Theo" queryTableFieldId="9" dataDxfId="247"/>
    <tableColumn id="10" uniqueName="10" name="AQJ7_Reception" queryTableFieldId="10" dataDxfId="246"/>
    <tableColumn id="11" uniqueName="11" name="AQ_M2_Theo" queryTableFieldId="11" dataDxfId="245"/>
    <tableColumn id="12" uniqueName="12" name="AQM2_Reception" queryTableFieldId="12" dataDxfId="244"/>
    <tableColumn id="13" uniqueName="13" name="VP_Theo" queryTableFieldId="13" dataDxfId="243"/>
    <tableColumn id="14" uniqueName="14" name="PRECOCE_Visite" queryTableFieldId="14" dataDxfId="242"/>
    <tableColumn id="15" uniqueName="15" name="PRECOCE_Reception" queryTableFieldId="15" dataDxfId="241"/>
    <tableColumn id="16" uniqueName="16" name="VT_Theo" queryTableFieldId="16" dataDxfId="240"/>
    <tableColumn id="17" uniqueName="17" name="TARDIF_Visite" queryTableFieldId="17" dataDxfId="239"/>
    <tableColumn id="18" uniqueName="18" name="TARDIF_Reception" queryTableFieldId="18" dataDxfId="238"/>
    <tableColumn id="19" uniqueName="19" name="Onekey" queryTableFieldId="19" dataDxfId="237"/>
    <tableColumn id="20" uniqueName="20" name="Date" queryTableFieldId="20" dataDxfId="236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11" name="Tableau_Lancer_la_requête_à_partir_de_MS_Access_Database456789101112" displayName="Tableau_Lancer_la_requête_à_partir_de_MS_Access_Database456789101112" ref="B9:U14" tableType="queryTable" totalsRowShown="0">
  <autoFilter ref="B9:U14"/>
  <tableColumns count="20">
    <tableColumn id="1" uniqueName="1" name="Num_Centre" queryTableFieldId="1" dataDxfId="235"/>
    <tableColumn id="2" uniqueName="2" name="Investigateur" queryTableFieldId="2" dataDxfId="234"/>
    <tableColumn id="3" uniqueName="3" name="Num_Patient" queryTableFieldId="3" dataDxfId="233"/>
    <tableColumn id="4" uniqueName="4" name="INCLUSION_Visite" queryTableFieldId="4" dataDxfId="232"/>
    <tableColumn id="5" uniqueName="5" name="INCLUSION_Reception" queryTableFieldId="5" dataDxfId="231"/>
    <tableColumn id="6" uniqueName="6" name="AQINCLUSION_Reception" queryTableFieldId="6" dataDxfId="230"/>
    <tableColumn id="7" uniqueName="7" name="CONTACT_Reception" queryTableFieldId="7" dataDxfId="229"/>
    <tableColumn id="8" uniqueName="8" name="TypeRappel" queryTableFieldId="8" dataDxfId="228"/>
    <tableColumn id="9" uniqueName="9" name="AQ7Theo" queryTableFieldId="9" dataDxfId="227"/>
    <tableColumn id="10" uniqueName="10" name="AQJ7_Reception" queryTableFieldId="10" dataDxfId="226"/>
    <tableColumn id="11" uniqueName="11" name="AQ_M2_Theo" queryTableFieldId="11" dataDxfId="225"/>
    <tableColumn id="12" uniqueName="12" name="AQM2_Reception" queryTableFieldId="12" dataDxfId="224"/>
    <tableColumn id="13" uniqueName="13" name="VP_Theo" queryTableFieldId="13" dataDxfId="223"/>
    <tableColumn id="14" uniqueName="14" name="PRECOCE_Visite" queryTableFieldId="14" dataDxfId="222"/>
    <tableColumn id="15" uniqueName="15" name="PRECOCE_Reception" queryTableFieldId="15" dataDxfId="221"/>
    <tableColumn id="16" uniqueName="16" name="VT_Theo" queryTableFieldId="16" dataDxfId="220"/>
    <tableColumn id="17" uniqueName="17" name="TARDIF_Visite" queryTableFieldId="17" dataDxfId="219"/>
    <tableColumn id="18" uniqueName="18" name="TARDIF_Reception" queryTableFieldId="18" dataDxfId="218"/>
    <tableColumn id="19" uniqueName="19" name="Onekey" queryTableFieldId="19" dataDxfId="217"/>
    <tableColumn id="20" uniqueName="20" name="Date" queryTableFieldId="20" dataDxfId="216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13" name="Tableau_Lancer_la_requête_à_partir_de_MS_Access_Database45678910111214" displayName="Tableau_Lancer_la_requête_à_partir_de_MS_Access_Database45678910111214" ref="B9:U14" tableType="queryTable" totalsRowShown="0">
  <autoFilter ref="B9:U14"/>
  <tableColumns count="20">
    <tableColumn id="1" uniqueName="1" name="Num_Centre" queryTableFieldId="1" dataDxfId="215"/>
    <tableColumn id="2" uniqueName="2" name="Investigateur" queryTableFieldId="2" dataDxfId="214"/>
    <tableColumn id="3" uniqueName="3" name="Num_Patient" queryTableFieldId="3" dataDxfId="213"/>
    <tableColumn id="4" uniqueName="4" name="INCLUSION_Visite" queryTableFieldId="4" dataDxfId="212"/>
    <tableColumn id="5" uniqueName="5" name="INCLUSION_Reception" queryTableFieldId="5" dataDxfId="211"/>
    <tableColumn id="6" uniqueName="6" name="AQINCLUSION_Reception" queryTableFieldId="6" dataDxfId="210"/>
    <tableColumn id="7" uniqueName="7" name="CONTACT_Reception" queryTableFieldId="7" dataDxfId="209"/>
    <tableColumn id="8" uniqueName="8" name="TypeRappel" queryTableFieldId="8" dataDxfId="208"/>
    <tableColumn id="9" uniqueName="9" name="AQ7Theo" queryTableFieldId="9" dataDxfId="207"/>
    <tableColumn id="10" uniqueName="10" name="AQJ7_Reception" queryTableFieldId="10" dataDxfId="206"/>
    <tableColumn id="11" uniqueName="11" name="AQ_M2_Theo" queryTableFieldId="11" dataDxfId="205"/>
    <tableColumn id="12" uniqueName="12" name="AQM2_Reception" queryTableFieldId="12" dataDxfId="204"/>
    <tableColumn id="13" uniqueName="13" name="VP_Theo" queryTableFieldId="13" dataDxfId="203"/>
    <tableColumn id="14" uniqueName="14" name="PRECOCE_Visite" queryTableFieldId="14" dataDxfId="202"/>
    <tableColumn id="15" uniqueName="15" name="PRECOCE_Reception" queryTableFieldId="15" dataDxfId="201"/>
    <tableColumn id="16" uniqueName="16" name="VT_Theo" queryTableFieldId="16" dataDxfId="200"/>
    <tableColumn id="17" uniqueName="17" name="TARDIF_Visite" queryTableFieldId="17" dataDxfId="199"/>
    <tableColumn id="18" uniqueName="18" name="TARDIF_Reception" queryTableFieldId="18" dataDxfId="198"/>
    <tableColumn id="19" uniqueName="19" name="Onekey" queryTableFieldId="19" dataDxfId="197"/>
    <tableColumn id="20" uniqueName="20" name="Date" queryTableFieldId="20" dataDxfId="196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1" name="Tableau_Lancer_la_requête_à_partir_de_MS_Access_Database" displayName="Tableau_Lancer_la_requête_à_partir_de_MS_Access_Database" ref="B9:U14" tableType="queryTable" totalsRowShown="0">
  <autoFilter ref="B9:U14"/>
  <tableColumns count="20">
    <tableColumn id="1" uniqueName="1" name="Num_Centre" queryTableFieldId="1"/>
    <tableColumn id="2" uniqueName="2" name="Investigateur" queryTableFieldId="2"/>
    <tableColumn id="3" uniqueName="3" name="Num_Patient" queryTableFieldId="3" dataDxfId="195"/>
    <tableColumn id="4" uniqueName="4" name="INCLUSION_Visite" queryTableFieldId="4" dataDxfId="194"/>
    <tableColumn id="5" uniqueName="5" name="INCLUSION_Reception" queryTableFieldId="5" dataDxfId="193"/>
    <tableColumn id="6" uniqueName="6" name="AQINCLUSION_Reception" queryTableFieldId="6" dataDxfId="192"/>
    <tableColumn id="7" uniqueName="7" name="CONTACT_Reception" queryTableFieldId="7" dataDxfId="191"/>
    <tableColumn id="8" uniqueName="8" name="TypeRappel" queryTableFieldId="8"/>
    <tableColumn id="9" uniqueName="9" name="AQ7Theo" queryTableFieldId="9" dataDxfId="190"/>
    <tableColumn id="10" uniqueName="10" name="AQJ7_Reception" queryTableFieldId="10" dataDxfId="189"/>
    <tableColumn id="11" uniqueName="11" name="AQ_M2_Theo" queryTableFieldId="11" dataDxfId="188"/>
    <tableColumn id="12" uniqueName="12" name="AQM2_Reception" queryTableFieldId="12" dataDxfId="187"/>
    <tableColumn id="13" uniqueName="13" name="VP_Theo" queryTableFieldId="13" dataDxfId="186"/>
    <tableColumn id="14" uniqueName="14" name="PRECOCE_Visite" queryTableFieldId="14" dataDxfId="185"/>
    <tableColumn id="15" uniqueName="15" name="PRECOCE_Reception" queryTableFieldId="15" dataDxfId="184"/>
    <tableColumn id="16" uniqueName="16" name="VT_Theo" queryTableFieldId="16" dataDxfId="183"/>
    <tableColumn id="17" uniqueName="17" name="TARDIF_Visite" queryTableFieldId="17" dataDxfId="182"/>
    <tableColumn id="18" uniqueName="18" name="TARDIF_Reception" queryTableFieldId="18" dataDxfId="181"/>
    <tableColumn id="19" uniqueName="19" name="Onekey" queryTableFieldId="19"/>
    <tableColumn id="20" uniqueName="20" name="Date" queryTableFieldId="20" dataDxfId="18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3" name="Tableau_Lancer_la_requête_à_partir_de_MS_Access_Database4" displayName="Tableau_Lancer_la_requête_à_partir_de_MS_Access_Database4" ref="B9:U15" tableType="queryTable" totalsRowShown="0">
  <autoFilter ref="B9:U15"/>
  <tableColumns count="20">
    <tableColumn id="1" uniqueName="1" name="Num_Centre" queryTableFieldId="1" dataDxfId="179"/>
    <tableColumn id="2" uniqueName="2" name="Investigateur" queryTableFieldId="2" dataDxfId="178"/>
    <tableColumn id="3" uniqueName="3" name="Num_Patient" queryTableFieldId="3" dataDxfId="177"/>
    <tableColumn id="4" uniqueName="4" name="INCLUSION_Visite" queryTableFieldId="4" dataDxfId="176"/>
    <tableColumn id="5" uniqueName="5" name="INCLUSION_Reception" queryTableFieldId="5" dataDxfId="175"/>
    <tableColumn id="6" uniqueName="6" name="AQINCLUSION_Reception" queryTableFieldId="6" dataDxfId="174"/>
    <tableColumn id="7" uniqueName="7" name="CONTACT_Reception" queryTableFieldId="7" dataDxfId="173"/>
    <tableColumn id="8" uniqueName="8" name="TypeRappel" queryTableFieldId="8" dataDxfId="172"/>
    <tableColumn id="9" uniqueName="9" name="AQ7Theo" queryTableFieldId="9" dataDxfId="171"/>
    <tableColumn id="10" uniqueName="10" name="AQJ7_Reception" queryTableFieldId="10" dataDxfId="170"/>
    <tableColumn id="11" uniqueName="11" name="AQ_M2_Theo" queryTableFieldId="11" dataDxfId="169"/>
    <tableColumn id="12" uniqueName="12" name="AQM2_Reception" queryTableFieldId="12" dataDxfId="168"/>
    <tableColumn id="13" uniqueName="13" name="VP_Theo" queryTableFieldId="13" dataDxfId="167"/>
    <tableColumn id="14" uniqueName="14" name="PRECOCE_Visite" queryTableFieldId="14" dataDxfId="166"/>
    <tableColumn id="15" uniqueName="15" name="PRECOCE_Reception" queryTableFieldId="15" dataDxfId="165"/>
    <tableColumn id="16" uniqueName="16" name="VT_Theo" queryTableFieldId="16" dataDxfId="164"/>
    <tableColumn id="17" uniqueName="17" name="TARDIF_Visite" queryTableFieldId="17" dataDxfId="163"/>
    <tableColumn id="18" uniqueName="18" name="TARDIF_Reception" queryTableFieldId="18" dataDxfId="162"/>
    <tableColumn id="19" uniqueName="19" name="Onekey" queryTableFieldId="19" dataDxfId="161"/>
    <tableColumn id="20" uniqueName="20" name="Date" queryTableFieldId="20" dataDxfId="160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4" name="Tableau_Lancer_la_requête_à_partir_de_MS_Access_Database45" displayName="Tableau_Lancer_la_requête_à_partir_de_MS_Access_Database45" ref="B9:U12" tableType="queryTable" totalsRowShown="0">
  <autoFilter ref="B9:U12"/>
  <tableColumns count="20">
    <tableColumn id="1" uniqueName="1" name="Num_Centre" queryTableFieldId="1" dataDxfId="159"/>
    <tableColumn id="2" uniqueName="2" name="Investigateur" queryTableFieldId="2" dataDxfId="158"/>
    <tableColumn id="3" uniqueName="3" name="Num_Patient" queryTableFieldId="3" dataDxfId="157"/>
    <tableColumn id="4" uniqueName="4" name="INCLUSION_Visite" queryTableFieldId="4" dataDxfId="156"/>
    <tableColumn id="5" uniqueName="5" name="INCLUSION_Reception" queryTableFieldId="5" dataDxfId="155"/>
    <tableColumn id="6" uniqueName="6" name="AQINCLUSION_Reception" queryTableFieldId="6" dataDxfId="154"/>
    <tableColumn id="7" uniqueName="7" name="CONTACT_Reception" queryTableFieldId="7" dataDxfId="153"/>
    <tableColumn id="8" uniqueName="8" name="TypeRappel" queryTableFieldId="8" dataDxfId="152"/>
    <tableColumn id="9" uniqueName="9" name="AQ7Theo" queryTableFieldId="9" dataDxfId="151"/>
    <tableColumn id="10" uniqueName="10" name="AQJ7_Reception" queryTableFieldId="10" dataDxfId="150"/>
    <tableColumn id="11" uniqueName="11" name="AQ_M2_Theo" queryTableFieldId="11" dataDxfId="149"/>
    <tableColumn id="12" uniqueName="12" name="AQM2_Reception" queryTableFieldId="12" dataDxfId="148"/>
    <tableColumn id="13" uniqueName="13" name="VP_Theo" queryTableFieldId="13" dataDxfId="147"/>
    <tableColumn id="14" uniqueName="14" name="PRECOCE_Visite" queryTableFieldId="14" dataDxfId="146"/>
    <tableColumn id="15" uniqueName="15" name="PRECOCE_Reception" queryTableFieldId="15" dataDxfId="145"/>
    <tableColumn id="16" uniqueName="16" name="VT_Theo" queryTableFieldId="16" dataDxfId="144"/>
    <tableColumn id="17" uniqueName="17" name="TARDIF_Visite" queryTableFieldId="17" dataDxfId="143"/>
    <tableColumn id="18" uniqueName="18" name="TARDIF_Reception" queryTableFieldId="18" dataDxfId="142"/>
    <tableColumn id="19" uniqueName="19" name="Onekey" queryTableFieldId="19" dataDxfId="141"/>
    <tableColumn id="20" uniqueName="20" name="Date" queryTableFieldId="20" dataDxfId="140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5" name="Tableau_Lancer_la_requête_à_partir_de_MS_Access_Database456" displayName="Tableau_Lancer_la_requête_à_partir_de_MS_Access_Database456" ref="B9:U12" tableType="queryTable" totalsRowShown="0">
  <autoFilter ref="B9:U12"/>
  <tableColumns count="20">
    <tableColumn id="1" uniqueName="1" name="Num_Centre" queryTableFieldId="1" dataDxfId="139"/>
    <tableColumn id="2" uniqueName="2" name="Investigateur" queryTableFieldId="2" dataDxfId="138"/>
    <tableColumn id="3" uniqueName="3" name="Num_Patient" queryTableFieldId="3" dataDxfId="137"/>
    <tableColumn id="4" uniqueName="4" name="INCLUSION_Visite" queryTableFieldId="4" dataDxfId="136"/>
    <tableColumn id="5" uniqueName="5" name="INCLUSION_Reception" queryTableFieldId="5" dataDxfId="135"/>
    <tableColumn id="6" uniqueName="6" name="AQINCLUSION_Reception" queryTableFieldId="6" dataDxfId="134"/>
    <tableColumn id="7" uniqueName="7" name="CONTACT_Reception" queryTableFieldId="7" dataDxfId="133"/>
    <tableColumn id="8" uniqueName="8" name="TypeRappel" queryTableFieldId="8" dataDxfId="132"/>
    <tableColumn id="9" uniqueName="9" name="AQ7Theo" queryTableFieldId="9" dataDxfId="131"/>
    <tableColumn id="10" uniqueName="10" name="AQJ7_Reception" queryTableFieldId="10" dataDxfId="130"/>
    <tableColumn id="11" uniqueName="11" name="AQ_M2_Theo" queryTableFieldId="11" dataDxfId="129"/>
    <tableColumn id="12" uniqueName="12" name="AQM2_Reception" queryTableFieldId="12" dataDxfId="128"/>
    <tableColumn id="13" uniqueName="13" name="VP_Theo" queryTableFieldId="13" dataDxfId="127"/>
    <tableColumn id="14" uniqueName="14" name="PRECOCE_Visite" queryTableFieldId="14" dataDxfId="126"/>
    <tableColumn id="15" uniqueName="15" name="PRECOCE_Reception" queryTableFieldId="15" dataDxfId="125"/>
    <tableColumn id="16" uniqueName="16" name="VT_Theo" queryTableFieldId="16" dataDxfId="124"/>
    <tableColumn id="17" uniqueName="17" name="TARDIF_Visite" queryTableFieldId="17" dataDxfId="123"/>
    <tableColumn id="18" uniqueName="18" name="TARDIF_Reception" queryTableFieldId="18" dataDxfId="122"/>
    <tableColumn id="19" uniqueName="19" name="Onekey" queryTableFieldId="19" dataDxfId="121"/>
    <tableColumn id="20" uniqueName="20" name="Date" queryTableFieldId="20" dataDxfId="120"/>
  </tableColumns>
  <tableStyleInfo name="TableStyleLight8 2" showFirstColumn="0" showLastColumn="0" showRowStripes="1" showColumnStripes="0"/>
</table>
</file>

<file path=xl/tables/table9.xml><?xml version="1.0" encoding="utf-8"?>
<table xmlns="http://schemas.openxmlformats.org/spreadsheetml/2006/main" id="6" name="Tableau_Lancer_la_requête_à_partir_de_MS_Access_Database4567" displayName="Tableau_Lancer_la_requête_à_partir_de_MS_Access_Database4567" ref="B9:U17" tableType="queryTable" totalsRowShown="0">
  <autoFilter ref="B9:U17"/>
  <tableColumns count="20">
    <tableColumn id="1" uniqueName="1" name="Num_Centre" queryTableFieldId="1" dataDxfId="119"/>
    <tableColumn id="2" uniqueName="2" name="Investigateur" queryTableFieldId="2" dataDxfId="118"/>
    <tableColumn id="3" uniqueName="3" name="Num_Patient" queryTableFieldId="3" dataDxfId="117"/>
    <tableColumn id="4" uniqueName="4" name="INCLUSION_Visite" queryTableFieldId="4" dataDxfId="116"/>
    <tableColumn id="5" uniqueName="5" name="INCLUSION_Reception" queryTableFieldId="5" dataDxfId="115"/>
    <tableColumn id="6" uniqueName="6" name="AQINCLUSION_Reception" queryTableFieldId="6" dataDxfId="114"/>
    <tableColumn id="7" uniqueName="7" name="CONTACT_Reception" queryTableFieldId="7" dataDxfId="113"/>
    <tableColumn id="8" uniqueName="8" name="TypeRappel" queryTableFieldId="8" dataDxfId="112"/>
    <tableColumn id="9" uniqueName="9" name="AQ7Theo" queryTableFieldId="9" dataDxfId="111"/>
    <tableColumn id="10" uniqueName="10" name="AQJ7_Reception" queryTableFieldId="10" dataDxfId="110"/>
    <tableColumn id="11" uniqueName="11" name="AQ_M2_Theo" queryTableFieldId="11" dataDxfId="109"/>
    <tableColumn id="12" uniqueName="12" name="AQM2_Reception" queryTableFieldId="12" dataDxfId="108"/>
    <tableColumn id="13" uniqueName="13" name="VP_Theo" queryTableFieldId="13" dataDxfId="107"/>
    <tableColumn id="14" uniqueName="14" name="PRECOCE_Visite" queryTableFieldId="14" dataDxfId="106"/>
    <tableColumn id="15" uniqueName="15" name="PRECOCE_Reception" queryTableFieldId="15" dataDxfId="105"/>
    <tableColumn id="16" uniqueName="16" name="VT_Theo" queryTableFieldId="16" dataDxfId="104"/>
    <tableColumn id="17" uniqueName="17" name="TARDIF_Visite" queryTableFieldId="17" dataDxfId="103"/>
    <tableColumn id="18" uniqueName="18" name="TARDIF_Reception" queryTableFieldId="18" dataDxfId="102"/>
    <tableColumn id="19" uniqueName="19" name="Onekey" queryTableFieldId="19" dataDxfId="101"/>
    <tableColumn id="20" uniqueName="20" name="Date" queryTableFieldId="20" dataDxfId="100"/>
  </tableColumns>
  <tableStyleInfo name="TableStyleLight8 2" showFirstColumn="0" showLastColumn="0" showRowStripes="1" showColumnStripes="0"/>
</table>
</file>

<file path=xl/tables/table10.xml><?xml version="1.0" encoding="utf-8"?>
<table xmlns="http://schemas.openxmlformats.org/spreadsheetml/2006/main" id="12" name="Tableau_Lancer_la_requête_à_partir_de_MS_Access_Database456713" displayName="Tableau_Lancer_la_requête_à_partir_de_MS_Access_Database456713" ref="B9:U12" tableType="queryTable" totalsRowShown="0">
  <autoFilter ref="B9:U12"/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11.xml><?xml version="1.0" encoding="utf-8"?>
<table xmlns="http://schemas.openxmlformats.org/spreadsheetml/2006/main" id="7" name="Tableau_Lancer_la_requête_à_partir_de_MS_Access_Database45678" displayName="Tableau_Lancer_la_requête_à_partir_de_MS_Access_Database45678" ref="B9:U12" tableType="queryTable" totalsRowShown="0">
  <autoFilter ref="B9:U12"/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12.xml><?xml version="1.0" encoding="utf-8"?>
<table xmlns="http://schemas.openxmlformats.org/spreadsheetml/2006/main" id="8" name="Tableau_Lancer_la_requête_à_partir_de_MS_Access_Database456789" displayName="Tableau_Lancer_la_requête_à_partir_de_MS_Access_Database456789" ref="B9:U14" tableType="queryTable" totalsRowShown="0">
  <autoFilter ref="B9:U14"/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13.xml><?xml version="1.0" encoding="utf-8"?>
<table xmlns="http://schemas.openxmlformats.org/spreadsheetml/2006/main" id="14" name="Tableau_Lancer_la_requête_à_partir_de_MS_Access_Database45678915" displayName="Tableau_Lancer_la_requête_à_partir_de_MS_Access_Database45678915" ref="B9:U14" tableType="queryTable" totalsRowShown="0">
  <autoFilter ref="B9:U14"/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14.xml><?xml version="1.0" encoding="utf-8"?>
<table xmlns="http://schemas.openxmlformats.org/spreadsheetml/2006/main" id="9" name="Tableau_Lancer_la_requête_à_partir_de_MS_Access_Database45678910" displayName="Tableau_Lancer_la_requête_à_partir_de_MS_Access_Database45678910" ref="B9:U19" tableType="queryTable" totalsRowShown="0">
  <autoFilter ref="B9:U19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Q23"/>
  <sheetViews>
    <sheetView tabSelected="1" topLeftCell="C1" workbookViewId="0">
      <selection activeCell="C6" sqref="C6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K1" s="2"/>
    </row>
    <row r="2" spans="1:17" s="3" customFormat="1" ht="15.75">
      <c r="C2" s="17"/>
      <c r="D2" s="4"/>
      <c r="E2" s="11" t="s">
        <v>13</v>
      </c>
      <c r="F2" s="30" t="str">
        <f>$A$20</f>
        <v>DE0306</v>
      </c>
      <c r="G2" s="117" t="str">
        <f>$B$20</f>
        <v>LEROY Grégoire</v>
      </c>
      <c r="H2" s="117"/>
      <c r="I2" s="117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$K$20</f>
        <v>42306</v>
      </c>
      <c r="E3" s="22"/>
      <c r="F3" s="22"/>
      <c r="G3" s="22"/>
      <c r="H3" s="22"/>
      <c r="I3" s="17"/>
      <c r="K3" s="2"/>
    </row>
    <row r="4" spans="1:17" s="3" customFormat="1">
      <c r="C4" s="17"/>
      <c r="D4" s="4"/>
      <c r="E4" s="22"/>
      <c r="F4" s="22"/>
      <c r="G4" s="22"/>
      <c r="H4" s="22"/>
      <c r="I4" s="17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7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28"/>
    </row>
    <row r="7" spans="1:17" s="15" customFormat="1" ht="53.25" customHeight="1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  <c r="L7" s="15" t="s">
        <v>107</v>
      </c>
    </row>
    <row r="8" spans="1:17" s="76" customFormat="1">
      <c r="A8" s="76" t="s">
        <v>59</v>
      </c>
      <c r="B8" s="76" t="s">
        <v>60</v>
      </c>
      <c r="C8" s="77" t="s">
        <v>76</v>
      </c>
      <c r="D8" s="78" t="s">
        <v>77</v>
      </c>
      <c r="E8" s="16">
        <v>41780</v>
      </c>
      <c r="F8" s="16">
        <v>41794</v>
      </c>
      <c r="G8" s="16">
        <v>41792</v>
      </c>
      <c r="H8" s="16"/>
      <c r="I8" s="15">
        <v>5</v>
      </c>
      <c r="J8" s="78"/>
      <c r="K8" s="79">
        <v>42306</v>
      </c>
    </row>
    <row r="9" spans="1:17" s="76" customFormat="1">
      <c r="A9" s="76" t="s">
        <v>59</v>
      </c>
      <c r="B9" s="76" t="s">
        <v>60</v>
      </c>
      <c r="C9" s="77" t="s">
        <v>78</v>
      </c>
      <c r="D9" s="78" t="s">
        <v>79</v>
      </c>
      <c r="E9" s="16">
        <v>41820</v>
      </c>
      <c r="F9" s="16">
        <v>41835</v>
      </c>
      <c r="G9" s="16">
        <v>41831</v>
      </c>
      <c r="H9" s="16"/>
      <c r="I9" s="15">
        <v>5</v>
      </c>
      <c r="J9" s="78"/>
      <c r="K9" s="79">
        <v>42306</v>
      </c>
    </row>
    <row r="10" spans="1:17" s="103" customFormat="1" ht="45">
      <c r="A10" s="103" t="s">
        <v>59</v>
      </c>
      <c r="B10" s="103" t="s">
        <v>60</v>
      </c>
      <c r="C10" s="104" t="s">
        <v>92</v>
      </c>
      <c r="D10" s="105" t="s">
        <v>93</v>
      </c>
      <c r="E10" s="106">
        <v>41830</v>
      </c>
      <c r="F10" s="106">
        <v>41904</v>
      </c>
      <c r="G10" s="106">
        <v>41898</v>
      </c>
      <c r="H10" s="106"/>
      <c r="I10" s="107">
        <v>5</v>
      </c>
      <c r="J10" s="105"/>
      <c r="K10" s="108">
        <v>42306</v>
      </c>
      <c r="L10" s="109" t="s">
        <v>106</v>
      </c>
    </row>
    <row r="11" spans="1:17" s="76" customFormat="1">
      <c r="A11" s="76" t="s">
        <v>59</v>
      </c>
      <c r="B11" s="76" t="s">
        <v>60</v>
      </c>
      <c r="C11" s="77" t="s">
        <v>61</v>
      </c>
      <c r="D11" s="78" t="s">
        <v>62</v>
      </c>
      <c r="E11" s="16">
        <v>41698</v>
      </c>
      <c r="F11" s="16">
        <v>41745</v>
      </c>
      <c r="G11" s="16">
        <v>41743</v>
      </c>
      <c r="H11" s="16"/>
      <c r="I11" s="15">
        <v>5</v>
      </c>
      <c r="J11" s="78"/>
      <c r="K11" s="79">
        <v>42306</v>
      </c>
    </row>
    <row r="12" spans="1:17" s="76" customFormat="1">
      <c r="A12" s="76" t="s">
        <v>59</v>
      </c>
      <c r="B12" s="76" t="s">
        <v>60</v>
      </c>
      <c r="C12" s="77" t="s">
        <v>63</v>
      </c>
      <c r="D12" s="78" t="s">
        <v>64</v>
      </c>
      <c r="E12" s="16">
        <v>41711</v>
      </c>
      <c r="F12" s="16">
        <v>41780</v>
      </c>
      <c r="G12" s="16">
        <v>41779</v>
      </c>
      <c r="H12" s="16"/>
      <c r="I12" s="15">
        <v>6</v>
      </c>
      <c r="J12" s="78"/>
      <c r="K12" s="79">
        <v>42306</v>
      </c>
    </row>
    <row r="13" spans="1:17" s="76" customFormat="1">
      <c r="A13" s="76" t="s">
        <v>59</v>
      </c>
      <c r="B13" s="76" t="s">
        <v>60</v>
      </c>
      <c r="C13" s="77" t="s">
        <v>65</v>
      </c>
      <c r="D13" s="78" t="s">
        <v>66</v>
      </c>
      <c r="E13" s="16">
        <v>41698</v>
      </c>
      <c r="F13" s="16">
        <v>41747</v>
      </c>
      <c r="G13" s="16">
        <v>41745</v>
      </c>
      <c r="H13" s="16"/>
      <c r="I13" s="15">
        <v>1</v>
      </c>
      <c r="J13" s="78"/>
      <c r="K13" s="79">
        <v>42306</v>
      </c>
    </row>
    <row r="14" spans="1:17" s="76" customFormat="1" ht="75">
      <c r="A14" s="76" t="s">
        <v>59</v>
      </c>
      <c r="B14" s="76" t="s">
        <v>60</v>
      </c>
      <c r="C14" s="77" t="s">
        <v>67</v>
      </c>
      <c r="D14" s="78" t="s">
        <v>68</v>
      </c>
      <c r="E14" s="16">
        <v>41702</v>
      </c>
      <c r="F14" s="16">
        <v>41745</v>
      </c>
      <c r="G14" s="16">
        <v>41744</v>
      </c>
      <c r="H14" s="16"/>
      <c r="I14" s="15"/>
      <c r="J14" s="78" t="s">
        <v>96</v>
      </c>
      <c r="K14" s="79">
        <v>42306</v>
      </c>
    </row>
    <row r="15" spans="1:17" s="110" customFormat="1">
      <c r="A15" s="110" t="s">
        <v>59</v>
      </c>
      <c r="B15" s="110" t="s">
        <v>60</v>
      </c>
      <c r="C15" s="111" t="s">
        <v>69</v>
      </c>
      <c r="D15" s="112" t="s">
        <v>108</v>
      </c>
      <c r="E15" s="113">
        <v>41696</v>
      </c>
      <c r="F15" s="113">
        <v>41743</v>
      </c>
      <c r="G15" s="113">
        <v>41739</v>
      </c>
      <c r="H15" s="113"/>
      <c r="I15" s="114">
        <v>8</v>
      </c>
      <c r="J15" s="112" t="s">
        <v>102</v>
      </c>
      <c r="K15" s="115">
        <v>42306</v>
      </c>
      <c r="L15" s="116"/>
    </row>
    <row r="16" spans="1:17" s="76" customFormat="1">
      <c r="A16" s="76" t="s">
        <v>59</v>
      </c>
      <c r="B16" s="76" t="s">
        <v>60</v>
      </c>
      <c r="C16" s="77" t="s">
        <v>80</v>
      </c>
      <c r="D16" s="78" t="s">
        <v>81</v>
      </c>
      <c r="E16" s="16">
        <v>41820</v>
      </c>
      <c r="F16" s="16">
        <v>41835</v>
      </c>
      <c r="G16" s="16">
        <v>41830</v>
      </c>
      <c r="H16" s="16"/>
      <c r="I16" s="15"/>
      <c r="J16" s="78"/>
      <c r="K16" s="79">
        <v>42306</v>
      </c>
    </row>
    <row r="17" spans="1:12">
      <c r="A17" s="76" t="s">
        <v>59</v>
      </c>
      <c r="B17" s="76" t="s">
        <v>60</v>
      </c>
      <c r="C17" s="77" t="s">
        <v>70</v>
      </c>
      <c r="D17" s="78" t="s">
        <v>71</v>
      </c>
      <c r="E17" s="16">
        <v>41745</v>
      </c>
      <c r="F17" s="16">
        <v>41774</v>
      </c>
      <c r="G17" s="16">
        <v>41753</v>
      </c>
      <c r="H17" s="16"/>
      <c r="I17" s="15">
        <v>3</v>
      </c>
      <c r="J17" s="78" t="s">
        <v>94</v>
      </c>
      <c r="K17" s="79">
        <v>42306</v>
      </c>
      <c r="L17" s="76"/>
    </row>
    <row r="18" spans="1:12">
      <c r="A18" s="76" t="s">
        <v>59</v>
      </c>
      <c r="B18" s="76" t="s">
        <v>60</v>
      </c>
      <c r="C18" s="77" t="s">
        <v>72</v>
      </c>
      <c r="D18" s="78" t="s">
        <v>73</v>
      </c>
      <c r="E18" s="16">
        <v>41701</v>
      </c>
      <c r="F18" s="16">
        <v>41747</v>
      </c>
      <c r="G18" s="16">
        <v>41745</v>
      </c>
      <c r="H18" s="16"/>
      <c r="I18" s="15">
        <v>4</v>
      </c>
      <c r="J18" s="78" t="s">
        <v>109</v>
      </c>
      <c r="K18" s="79">
        <v>42306</v>
      </c>
      <c r="L18" s="76"/>
    </row>
    <row r="19" spans="1:12">
      <c r="A19" s="76" t="s">
        <v>59</v>
      </c>
      <c r="B19" s="76" t="s">
        <v>60</v>
      </c>
      <c r="C19" s="77" t="s">
        <v>97</v>
      </c>
      <c r="D19" s="93" t="s">
        <v>98</v>
      </c>
      <c r="E19" s="16">
        <v>41921</v>
      </c>
      <c r="F19" s="16">
        <v>41936</v>
      </c>
      <c r="G19" s="16">
        <v>41934</v>
      </c>
      <c r="H19" s="16"/>
      <c r="I19" s="15">
        <v>5</v>
      </c>
      <c r="J19" s="93"/>
      <c r="K19" s="79">
        <v>42306</v>
      </c>
      <c r="L19" s="76"/>
    </row>
    <row r="20" spans="1:12" ht="30">
      <c r="A20" s="76" t="s">
        <v>59</v>
      </c>
      <c r="B20" s="76" t="s">
        <v>60</v>
      </c>
      <c r="C20" s="77" t="s">
        <v>74</v>
      </c>
      <c r="D20" s="93" t="s">
        <v>75</v>
      </c>
      <c r="E20" s="16">
        <v>41695</v>
      </c>
      <c r="F20" s="16">
        <v>41746</v>
      </c>
      <c r="G20" s="16">
        <v>41744</v>
      </c>
      <c r="H20" s="16"/>
      <c r="I20" s="15">
        <v>10</v>
      </c>
      <c r="J20" s="93" t="s">
        <v>95</v>
      </c>
      <c r="K20" s="79">
        <v>42306</v>
      </c>
      <c r="L20" s="76"/>
    </row>
    <row r="21" spans="1:12">
      <c r="A21" s="28"/>
      <c r="B21" s="28"/>
      <c r="C21" s="27" t="s">
        <v>15</v>
      </c>
      <c r="D21" s="33">
        <f>SUBTOTAL(3,D8:D20)</f>
        <v>13</v>
      </c>
      <c r="E21" s="33">
        <f>SUBTOTAL(3,[Date de réception convention financière])</f>
        <v>13</v>
      </c>
      <c r="F21" s="33">
        <f>SUBTOTAL(3,[Date de réception AR kit])</f>
        <v>13</v>
      </c>
      <c r="G21" s="33">
        <f>SUBTOTAL(3,[Date de MEP])</f>
        <v>13</v>
      </c>
      <c r="H21" s="80">
        <f>SUBTOTAL(3,[Desistement])</f>
        <v>0</v>
      </c>
      <c r="I21" s="27">
        <f>SUBTOTAL(109,I8:I20)</f>
        <v>57</v>
      </c>
      <c r="J21" s="31"/>
      <c r="K21" s="32"/>
    </row>
    <row r="22" spans="1:12">
      <c r="D22" s="10"/>
      <c r="J22" s="10"/>
    </row>
    <row r="23" spans="1:12">
      <c r="C23" s="26" t="s">
        <v>14</v>
      </c>
    </row>
  </sheetData>
  <mergeCells count="1">
    <mergeCell ref="G2:I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1:AV14"/>
  <sheetViews>
    <sheetView workbookViewId="0">
      <selection activeCell="K26" sqref="K26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8" t="s">
        <v>16</v>
      </c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0"/>
      <c r="M3" s="120"/>
      <c r="N3" s="120"/>
      <c r="O3" s="71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1" t="s">
        <v>58</v>
      </c>
      <c r="E4" s="121"/>
      <c r="F4" s="53">
        <f>$U$14</f>
        <v>42306</v>
      </c>
      <c r="G4" s="50"/>
      <c r="H4" s="50"/>
      <c r="I4" s="34"/>
      <c r="J4" s="50"/>
      <c r="K4" s="50"/>
      <c r="L4" s="72" t="s">
        <v>17</v>
      </c>
      <c r="M4" s="63">
        <f>$B$14</f>
        <v>309</v>
      </c>
      <c r="N4" s="122" t="str">
        <f>$C$14</f>
        <v>BARTHAUX Clément</v>
      </c>
      <c r="O4" s="122"/>
      <c r="P4" s="122"/>
      <c r="Q4" s="122"/>
      <c r="R4" s="12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3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5" t="s">
        <v>19</v>
      </c>
      <c r="F7" s="126"/>
      <c r="G7" s="126"/>
      <c r="H7" s="126"/>
      <c r="I7" s="126"/>
      <c r="J7" s="127" t="s">
        <v>20</v>
      </c>
      <c r="K7" s="128"/>
      <c r="L7" s="129" t="s">
        <v>21</v>
      </c>
      <c r="M7" s="129"/>
      <c r="N7" s="130" t="s">
        <v>22</v>
      </c>
      <c r="O7" s="131"/>
      <c r="P7" s="132"/>
      <c r="Q7" s="133" t="s">
        <v>23</v>
      </c>
      <c r="R7" s="131"/>
      <c r="S7" s="132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4" t="s">
        <v>32</v>
      </c>
      <c r="M8" s="74" t="s">
        <v>31</v>
      </c>
      <c r="N8" s="73" t="s">
        <v>33</v>
      </c>
      <c r="O8" s="73" t="s">
        <v>34</v>
      </c>
      <c r="P8" s="73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309</v>
      </c>
      <c r="C10" s="42" t="s">
        <v>77</v>
      </c>
      <c r="D10" s="19">
        <v>1</v>
      </c>
      <c r="E10" s="25">
        <v>41793</v>
      </c>
      <c r="F10" s="25">
        <v>41800</v>
      </c>
      <c r="G10" s="25">
        <v>41800</v>
      </c>
      <c r="H10" s="25"/>
      <c r="I10" s="44" t="s">
        <v>57</v>
      </c>
      <c r="J10" s="25">
        <v>41805</v>
      </c>
      <c r="K10" s="25">
        <v>41803</v>
      </c>
      <c r="L10" s="25">
        <v>41864</v>
      </c>
      <c r="M10" s="25">
        <v>41876</v>
      </c>
      <c r="N10" s="25">
        <v>41913</v>
      </c>
      <c r="O10" s="25"/>
      <c r="P10" s="25"/>
      <c r="Q10" s="25">
        <v>42158</v>
      </c>
      <c r="R10" s="25"/>
      <c r="S10" s="25"/>
      <c r="T10" s="42" t="s">
        <v>76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43">
        <v>309</v>
      </c>
      <c r="C11" s="75" t="s">
        <v>77</v>
      </c>
      <c r="D11" s="19">
        <v>2</v>
      </c>
      <c r="E11" s="25">
        <v>41793</v>
      </c>
      <c r="F11" s="25">
        <v>41800</v>
      </c>
      <c r="G11" s="25">
        <v>41800</v>
      </c>
      <c r="I11" s="44" t="s">
        <v>57</v>
      </c>
      <c r="J11" s="25">
        <v>41805</v>
      </c>
      <c r="L11" s="25">
        <v>41864</v>
      </c>
      <c r="N11" s="25">
        <v>41913</v>
      </c>
      <c r="Q11" s="25">
        <v>42158</v>
      </c>
      <c r="T11" s="75" t="s">
        <v>76</v>
      </c>
      <c r="U11" s="12">
        <v>42306</v>
      </c>
    </row>
    <row r="12" spans="2:48" ht="17.25" customHeight="1">
      <c r="B12" s="43">
        <v>309</v>
      </c>
      <c r="C12" s="75" t="s">
        <v>77</v>
      </c>
      <c r="D12" s="19">
        <v>3</v>
      </c>
      <c r="E12" s="25">
        <v>41803</v>
      </c>
      <c r="F12" s="25">
        <v>41808</v>
      </c>
      <c r="G12" s="25">
        <v>41808</v>
      </c>
      <c r="H12" s="25">
        <v>41809</v>
      </c>
      <c r="I12" s="96" t="s">
        <v>82</v>
      </c>
      <c r="J12" s="25">
        <v>41815</v>
      </c>
      <c r="K12" s="25">
        <v>41820</v>
      </c>
      <c r="L12" s="25">
        <v>41874</v>
      </c>
      <c r="M12" s="25">
        <v>41871</v>
      </c>
      <c r="N12" s="25">
        <v>41923</v>
      </c>
      <c r="O12" s="25">
        <v>41871</v>
      </c>
      <c r="P12" s="25">
        <v>41876</v>
      </c>
      <c r="Q12" s="25">
        <v>42168</v>
      </c>
      <c r="T12" s="75" t="s">
        <v>76</v>
      </c>
      <c r="U12" s="12">
        <v>42306</v>
      </c>
    </row>
    <row r="13" spans="2:48" ht="25.5">
      <c r="B13" s="97">
        <v>309</v>
      </c>
      <c r="C13" s="98" t="s">
        <v>77</v>
      </c>
      <c r="D13" s="19">
        <v>4</v>
      </c>
      <c r="E13" s="25">
        <v>41918</v>
      </c>
      <c r="F13" s="25">
        <v>41921</v>
      </c>
      <c r="G13" s="25">
        <v>41921</v>
      </c>
      <c r="I13" s="96" t="s">
        <v>57</v>
      </c>
      <c r="J13" s="25">
        <v>41930</v>
      </c>
      <c r="L13" s="25">
        <v>41989</v>
      </c>
      <c r="N13" s="25">
        <v>42038</v>
      </c>
      <c r="Q13" s="25">
        <v>42283</v>
      </c>
      <c r="T13" s="98" t="s">
        <v>76</v>
      </c>
      <c r="U13" s="12">
        <v>42306</v>
      </c>
    </row>
    <row r="14" spans="2:48" ht="25.5">
      <c r="B14" s="97">
        <v>309</v>
      </c>
      <c r="C14" s="98" t="s">
        <v>77</v>
      </c>
      <c r="D14" s="19">
        <v>5</v>
      </c>
      <c r="E14" s="25">
        <v>41913</v>
      </c>
      <c r="F14" s="25">
        <v>41919</v>
      </c>
      <c r="G14" s="25">
        <v>41919</v>
      </c>
      <c r="H14" s="25">
        <v>41933</v>
      </c>
      <c r="I14" s="96" t="s">
        <v>86</v>
      </c>
      <c r="J14" s="25">
        <v>41925</v>
      </c>
      <c r="L14" s="25">
        <v>41984</v>
      </c>
      <c r="M14" s="25">
        <v>41989</v>
      </c>
      <c r="N14" s="25">
        <v>42033</v>
      </c>
      <c r="Q14" s="25">
        <v>42278</v>
      </c>
      <c r="T14" s="98" t="s">
        <v>76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1:AV14"/>
  <sheetViews>
    <sheetView workbookViewId="0">
      <selection activeCell="G22" sqref="G22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8" t="s">
        <v>16</v>
      </c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0"/>
      <c r="M3" s="120"/>
      <c r="N3" s="120"/>
      <c r="O3" s="81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1" t="s">
        <v>58</v>
      </c>
      <c r="E4" s="121"/>
      <c r="F4" s="53">
        <f>$U$14</f>
        <v>42306</v>
      </c>
      <c r="G4" s="50"/>
      <c r="H4" s="50"/>
      <c r="I4" s="34"/>
      <c r="J4" s="50"/>
      <c r="K4" s="50"/>
      <c r="L4" s="82" t="s">
        <v>17</v>
      </c>
      <c r="M4" s="63">
        <f>$B$14</f>
        <v>374</v>
      </c>
      <c r="N4" s="122" t="str">
        <f>$C$14</f>
        <v>BINEAU Véronique</v>
      </c>
      <c r="O4" s="122"/>
      <c r="P4" s="122"/>
      <c r="Q4" s="122"/>
      <c r="R4" s="12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3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5" t="s">
        <v>19</v>
      </c>
      <c r="F7" s="126"/>
      <c r="G7" s="126"/>
      <c r="H7" s="126"/>
      <c r="I7" s="126"/>
      <c r="J7" s="127" t="s">
        <v>20</v>
      </c>
      <c r="K7" s="128"/>
      <c r="L7" s="129" t="s">
        <v>21</v>
      </c>
      <c r="M7" s="129"/>
      <c r="N7" s="130" t="s">
        <v>22</v>
      </c>
      <c r="O7" s="131"/>
      <c r="P7" s="132"/>
      <c r="Q7" s="133" t="s">
        <v>23</v>
      </c>
      <c r="R7" s="131"/>
      <c r="S7" s="132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4" t="s">
        <v>32</v>
      </c>
      <c r="M8" s="84" t="s">
        <v>31</v>
      </c>
      <c r="N8" s="83" t="s">
        <v>33</v>
      </c>
      <c r="O8" s="83" t="s">
        <v>34</v>
      </c>
      <c r="P8" s="83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374</v>
      </c>
      <c r="C10" s="42" t="s">
        <v>79</v>
      </c>
      <c r="D10" s="19">
        <v>1</v>
      </c>
      <c r="E10" s="25">
        <v>41890</v>
      </c>
      <c r="F10" s="25">
        <v>41911</v>
      </c>
      <c r="G10" s="25">
        <v>41911</v>
      </c>
      <c r="H10" s="25"/>
      <c r="I10" s="70" t="s">
        <v>57</v>
      </c>
      <c r="J10" s="25">
        <v>41902</v>
      </c>
      <c r="K10" s="25">
        <v>41911</v>
      </c>
      <c r="L10" s="25">
        <v>41961</v>
      </c>
      <c r="M10" s="25">
        <v>41989</v>
      </c>
      <c r="N10" s="25">
        <v>42010</v>
      </c>
      <c r="O10" s="25">
        <v>41969</v>
      </c>
      <c r="P10" s="25">
        <v>42002</v>
      </c>
      <c r="Q10" s="25">
        <v>42255</v>
      </c>
      <c r="R10" s="25">
        <v>42079</v>
      </c>
      <c r="S10" s="25">
        <v>42115</v>
      </c>
      <c r="T10" s="42" t="s">
        <v>78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94">
        <v>374</v>
      </c>
      <c r="C11" s="95" t="s">
        <v>79</v>
      </c>
      <c r="D11" s="19">
        <v>2</v>
      </c>
      <c r="E11" s="25">
        <v>41890</v>
      </c>
      <c r="F11" s="25">
        <v>41911</v>
      </c>
      <c r="G11" s="25">
        <v>41911</v>
      </c>
      <c r="I11" s="96" t="s">
        <v>57</v>
      </c>
      <c r="J11" s="25">
        <v>41902</v>
      </c>
      <c r="K11" s="25">
        <v>41911</v>
      </c>
      <c r="L11" s="25">
        <v>41961</v>
      </c>
      <c r="M11" s="25">
        <v>41989</v>
      </c>
      <c r="N11" s="25">
        <v>42010</v>
      </c>
      <c r="O11" s="25">
        <v>41968</v>
      </c>
      <c r="P11" s="25">
        <v>42002</v>
      </c>
      <c r="Q11" s="25">
        <v>42255</v>
      </c>
      <c r="R11" s="25">
        <v>42079</v>
      </c>
      <c r="S11" s="25">
        <v>42115</v>
      </c>
      <c r="T11" s="95" t="s">
        <v>78</v>
      </c>
      <c r="U11" s="12">
        <v>42306</v>
      </c>
    </row>
    <row r="12" spans="2:48" ht="17.25" customHeight="1">
      <c r="B12" s="94">
        <v>374</v>
      </c>
      <c r="C12" s="95" t="s">
        <v>79</v>
      </c>
      <c r="D12" s="19">
        <v>3</v>
      </c>
      <c r="E12" s="25">
        <v>41894</v>
      </c>
      <c r="F12" s="25">
        <v>41918</v>
      </c>
      <c r="G12" s="25">
        <v>41918</v>
      </c>
      <c r="I12" s="96" t="s">
        <v>57</v>
      </c>
      <c r="J12" s="25">
        <v>41906</v>
      </c>
      <c r="K12" s="25">
        <v>41918</v>
      </c>
      <c r="L12" s="25">
        <v>41965</v>
      </c>
      <c r="M12" s="25">
        <v>41989</v>
      </c>
      <c r="N12" s="25">
        <v>42014</v>
      </c>
      <c r="O12" s="25">
        <v>41976</v>
      </c>
      <c r="P12" s="25">
        <v>42002</v>
      </c>
      <c r="Q12" s="25">
        <v>42259</v>
      </c>
      <c r="R12" s="25">
        <v>42080</v>
      </c>
      <c r="S12" s="25">
        <v>42115</v>
      </c>
      <c r="T12" s="95" t="s">
        <v>78</v>
      </c>
      <c r="U12" s="12">
        <v>42306</v>
      </c>
    </row>
    <row r="13" spans="2:48" ht="25.5">
      <c r="B13" s="97">
        <v>374</v>
      </c>
      <c r="C13" s="98" t="s">
        <v>79</v>
      </c>
      <c r="D13" s="19">
        <v>4</v>
      </c>
      <c r="E13" s="25">
        <v>41908</v>
      </c>
      <c r="F13" s="25">
        <v>41918</v>
      </c>
      <c r="G13" s="25">
        <v>41918</v>
      </c>
      <c r="I13" s="96" t="s">
        <v>57</v>
      </c>
      <c r="J13" s="25">
        <v>41920</v>
      </c>
      <c r="K13" s="25">
        <v>41918</v>
      </c>
      <c r="L13" s="25">
        <v>41979</v>
      </c>
      <c r="M13" s="25">
        <v>41989</v>
      </c>
      <c r="N13" s="25">
        <v>42028</v>
      </c>
      <c r="O13" s="25">
        <v>41978</v>
      </c>
      <c r="P13" s="25">
        <v>42002</v>
      </c>
      <c r="Q13" s="25">
        <v>42273</v>
      </c>
      <c r="R13" s="25">
        <v>42111</v>
      </c>
      <c r="S13" s="25">
        <v>42128</v>
      </c>
      <c r="T13" s="98" t="s">
        <v>78</v>
      </c>
      <c r="U13" s="12">
        <v>42306</v>
      </c>
    </row>
    <row r="14" spans="2:48" ht="25.5">
      <c r="B14" s="97">
        <v>374</v>
      </c>
      <c r="C14" s="98" t="s">
        <v>79</v>
      </c>
      <c r="D14" s="19">
        <v>5</v>
      </c>
      <c r="E14" s="25">
        <v>41908</v>
      </c>
      <c r="F14" s="25">
        <v>41918</v>
      </c>
      <c r="G14" s="25">
        <v>41918</v>
      </c>
      <c r="I14" s="96" t="s">
        <v>57</v>
      </c>
      <c r="J14" s="25">
        <v>41920</v>
      </c>
      <c r="K14" s="25">
        <v>41918</v>
      </c>
      <c r="L14" s="25">
        <v>41979</v>
      </c>
      <c r="M14" s="25">
        <v>41989</v>
      </c>
      <c r="N14" s="25">
        <v>42028</v>
      </c>
      <c r="O14" s="25">
        <v>41983</v>
      </c>
      <c r="P14" s="25">
        <v>42002</v>
      </c>
      <c r="Q14" s="25">
        <v>42273</v>
      </c>
      <c r="R14" s="25">
        <v>42111</v>
      </c>
      <c r="S14" s="25">
        <v>42128</v>
      </c>
      <c r="T14" s="98" t="s">
        <v>78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13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8" t="s">
        <v>16</v>
      </c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0"/>
      <c r="M3" s="120"/>
      <c r="N3" s="120"/>
      <c r="O3" s="89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1" t="s">
        <v>58</v>
      </c>
      <c r="E4" s="121"/>
      <c r="F4" s="53">
        <f>$U$14</f>
        <v>42306</v>
      </c>
      <c r="G4" s="50"/>
      <c r="H4" s="50"/>
      <c r="I4" s="34"/>
      <c r="J4" s="50"/>
      <c r="K4" s="50"/>
      <c r="L4" s="90" t="s">
        <v>17</v>
      </c>
      <c r="M4" s="63">
        <f>$B$14</f>
        <v>380</v>
      </c>
      <c r="N4" s="122" t="str">
        <f>$C$14</f>
        <v>BOUILLON DOUETTE Sylvie</v>
      </c>
      <c r="O4" s="122"/>
      <c r="P4" s="122"/>
      <c r="Q4" s="122"/>
      <c r="R4" s="12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3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5" t="s">
        <v>19</v>
      </c>
      <c r="F7" s="126"/>
      <c r="G7" s="126"/>
      <c r="H7" s="126"/>
      <c r="I7" s="126"/>
      <c r="J7" s="127" t="s">
        <v>20</v>
      </c>
      <c r="K7" s="128"/>
      <c r="L7" s="129" t="s">
        <v>21</v>
      </c>
      <c r="M7" s="129"/>
      <c r="N7" s="130" t="s">
        <v>22</v>
      </c>
      <c r="O7" s="131"/>
      <c r="P7" s="132"/>
      <c r="Q7" s="133" t="s">
        <v>23</v>
      </c>
      <c r="R7" s="131"/>
      <c r="S7" s="132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2" t="s">
        <v>32</v>
      </c>
      <c r="M8" s="92" t="s">
        <v>31</v>
      </c>
      <c r="N8" s="91" t="s">
        <v>33</v>
      </c>
      <c r="O8" s="91" t="s">
        <v>34</v>
      </c>
      <c r="P8" s="9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380</v>
      </c>
      <c r="C10" s="42" t="s">
        <v>93</v>
      </c>
      <c r="D10" s="19">
        <v>1</v>
      </c>
      <c r="E10" s="25">
        <v>41768</v>
      </c>
      <c r="F10" s="25">
        <v>41941</v>
      </c>
      <c r="G10" s="25">
        <v>41941</v>
      </c>
      <c r="H10" s="25">
        <v>41941</v>
      </c>
      <c r="I10" s="96" t="s">
        <v>84</v>
      </c>
      <c r="J10" s="25">
        <v>41780</v>
      </c>
      <c r="K10" s="25">
        <v>41941</v>
      </c>
      <c r="L10" s="25">
        <v>41839</v>
      </c>
      <c r="M10" s="25">
        <v>41941</v>
      </c>
      <c r="N10" s="25">
        <v>41888</v>
      </c>
      <c r="O10" s="25">
        <v>41828</v>
      </c>
      <c r="P10" s="25">
        <v>41941</v>
      </c>
      <c r="Q10" s="25">
        <v>42133</v>
      </c>
      <c r="R10" s="25">
        <v>41952</v>
      </c>
      <c r="S10" s="25">
        <v>41963</v>
      </c>
      <c r="T10" s="42" t="s">
        <v>92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97">
        <v>380</v>
      </c>
      <c r="C11" s="98" t="s">
        <v>93</v>
      </c>
      <c r="D11" s="19">
        <v>2</v>
      </c>
      <c r="E11" s="25">
        <v>41769</v>
      </c>
      <c r="F11" s="25">
        <v>41941</v>
      </c>
      <c r="G11" s="25">
        <v>41941</v>
      </c>
      <c r="H11" s="25">
        <v>41941</v>
      </c>
      <c r="I11" s="96" t="s">
        <v>84</v>
      </c>
      <c r="J11" s="25">
        <v>41781</v>
      </c>
      <c r="K11" s="25">
        <v>41941</v>
      </c>
      <c r="L11" s="25">
        <v>41840</v>
      </c>
      <c r="M11" s="25">
        <v>41941</v>
      </c>
      <c r="N11" s="25">
        <v>41889</v>
      </c>
      <c r="O11" s="25">
        <v>41800</v>
      </c>
      <c r="P11" s="25">
        <v>41941</v>
      </c>
      <c r="Q11" s="25">
        <v>42134</v>
      </c>
      <c r="R11" s="25">
        <v>41953</v>
      </c>
      <c r="S11" s="25">
        <v>41963</v>
      </c>
      <c r="T11" s="98" t="s">
        <v>92</v>
      </c>
      <c r="U11" s="12">
        <v>42306</v>
      </c>
    </row>
    <row r="12" spans="2:48" ht="17.25" customHeight="1">
      <c r="B12" s="97">
        <v>380</v>
      </c>
      <c r="C12" s="98" t="s">
        <v>93</v>
      </c>
      <c r="D12" s="19">
        <v>3</v>
      </c>
      <c r="E12" s="25">
        <v>41771</v>
      </c>
      <c r="F12" s="25">
        <v>41941</v>
      </c>
      <c r="G12" s="25">
        <v>41941</v>
      </c>
      <c r="H12" s="25">
        <v>41941</v>
      </c>
      <c r="I12" s="96" t="s">
        <v>84</v>
      </c>
      <c r="J12" s="25">
        <v>41783</v>
      </c>
      <c r="K12" s="25">
        <v>41941</v>
      </c>
      <c r="L12" s="25">
        <v>41842</v>
      </c>
      <c r="M12" s="25">
        <v>41941</v>
      </c>
      <c r="N12" s="25">
        <v>41891</v>
      </c>
      <c r="O12" s="25">
        <v>41869</v>
      </c>
      <c r="P12" s="25">
        <v>41941</v>
      </c>
      <c r="Q12" s="25">
        <v>42136</v>
      </c>
      <c r="R12" s="25">
        <v>41955</v>
      </c>
      <c r="S12" s="25">
        <v>41963</v>
      </c>
      <c r="T12" s="98" t="s">
        <v>92</v>
      </c>
      <c r="U12" s="12">
        <v>42306</v>
      </c>
    </row>
    <row r="13" spans="2:48" ht="25.5">
      <c r="B13" s="97">
        <v>380</v>
      </c>
      <c r="C13" s="98" t="s">
        <v>93</v>
      </c>
      <c r="D13" s="19">
        <v>4</v>
      </c>
      <c r="E13" s="25">
        <v>41974</v>
      </c>
      <c r="F13" s="25">
        <v>42034</v>
      </c>
      <c r="G13" s="25">
        <v>42034</v>
      </c>
      <c r="H13" s="25">
        <v>42032</v>
      </c>
      <c r="I13" s="96" t="s">
        <v>84</v>
      </c>
      <c r="J13" s="25">
        <v>41986</v>
      </c>
      <c r="K13" s="25">
        <v>42032</v>
      </c>
      <c r="L13" s="25">
        <v>42045</v>
      </c>
      <c r="M13" s="25">
        <v>42048</v>
      </c>
      <c r="N13" s="25">
        <v>42094</v>
      </c>
      <c r="O13" s="25">
        <v>42009</v>
      </c>
      <c r="P13" s="25">
        <v>42032</v>
      </c>
      <c r="Q13" s="25">
        <v>42339</v>
      </c>
      <c r="R13" s="25">
        <v>42040</v>
      </c>
      <c r="S13" s="25">
        <v>42048</v>
      </c>
      <c r="T13" s="98" t="s">
        <v>92</v>
      </c>
      <c r="U13" s="12">
        <v>42306</v>
      </c>
    </row>
    <row r="14" spans="2:48" ht="25.5">
      <c r="B14" s="97">
        <v>380</v>
      </c>
      <c r="C14" s="98" t="s">
        <v>93</v>
      </c>
      <c r="D14" s="19">
        <v>5</v>
      </c>
      <c r="E14" s="25">
        <v>41967</v>
      </c>
      <c r="F14" s="25">
        <v>42032</v>
      </c>
      <c r="G14" s="25">
        <v>42032</v>
      </c>
      <c r="H14" s="25">
        <v>42034</v>
      </c>
      <c r="I14" s="96" t="s">
        <v>84</v>
      </c>
      <c r="J14" s="25">
        <v>41979</v>
      </c>
      <c r="K14" s="25">
        <v>42032</v>
      </c>
      <c r="L14" s="25">
        <v>42038</v>
      </c>
      <c r="M14" s="25">
        <v>42048</v>
      </c>
      <c r="N14" s="25">
        <v>42087</v>
      </c>
      <c r="O14" s="25">
        <v>42012</v>
      </c>
      <c r="P14" s="25">
        <v>42034</v>
      </c>
      <c r="Q14" s="25">
        <v>42332</v>
      </c>
      <c r="R14" s="25">
        <v>42124</v>
      </c>
      <c r="S14" s="25">
        <v>42135</v>
      </c>
      <c r="T14" s="98" t="s">
        <v>92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4"/>
  <dimension ref="B1:AV14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8" t="s">
        <v>16</v>
      </c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0"/>
      <c r="M3" s="120"/>
      <c r="N3" s="120"/>
      <c r="O3" s="5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1" t="s">
        <v>58</v>
      </c>
      <c r="E4" s="121"/>
      <c r="F4" s="53">
        <f>$U$10</f>
        <v>42306</v>
      </c>
      <c r="G4" s="50"/>
      <c r="H4" s="50"/>
      <c r="I4" s="34"/>
      <c r="J4" s="50"/>
      <c r="K4" s="50"/>
      <c r="L4" s="57" t="s">
        <v>17</v>
      </c>
      <c r="M4" s="63">
        <f>$B$10</f>
        <v>183</v>
      </c>
      <c r="N4" s="122" t="str">
        <f>$C$10</f>
        <v>CASSARA Jean</v>
      </c>
      <c r="O4" s="122"/>
      <c r="P4" s="122"/>
      <c r="Q4" s="122"/>
      <c r="R4" s="12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3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5" t="s">
        <v>19</v>
      </c>
      <c r="F7" s="126"/>
      <c r="G7" s="126"/>
      <c r="H7" s="126"/>
      <c r="I7" s="126"/>
      <c r="J7" s="127" t="s">
        <v>20</v>
      </c>
      <c r="K7" s="128"/>
      <c r="L7" s="129" t="s">
        <v>21</v>
      </c>
      <c r="M7" s="129"/>
      <c r="N7" s="130" t="s">
        <v>22</v>
      </c>
      <c r="O7" s="131"/>
      <c r="P7" s="132"/>
      <c r="Q7" s="133" t="s">
        <v>23</v>
      </c>
      <c r="R7" s="131"/>
      <c r="S7" s="132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183</v>
      </c>
      <c r="C10" s="42" t="s">
        <v>62</v>
      </c>
      <c r="D10" s="19">
        <v>1</v>
      </c>
      <c r="E10" s="25">
        <v>41752</v>
      </c>
      <c r="F10" s="25">
        <v>41754</v>
      </c>
      <c r="G10" s="25">
        <v>41753</v>
      </c>
      <c r="H10" s="25">
        <v>41753</v>
      </c>
      <c r="I10" s="44" t="s">
        <v>83</v>
      </c>
      <c r="J10" s="25">
        <v>41764</v>
      </c>
      <c r="K10" s="25">
        <v>41758</v>
      </c>
      <c r="L10" s="25">
        <v>41823</v>
      </c>
      <c r="M10" s="25"/>
      <c r="N10" s="25">
        <v>41872</v>
      </c>
      <c r="O10" s="25"/>
      <c r="P10" s="25">
        <v>41820</v>
      </c>
      <c r="Q10" s="25">
        <v>42117</v>
      </c>
      <c r="R10" s="25"/>
      <c r="S10" s="25"/>
      <c r="T10" s="42" t="s">
        <v>61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>
      <c r="B11">
        <v>183</v>
      </c>
      <c r="C11" t="s">
        <v>62</v>
      </c>
      <c r="D11" s="19">
        <v>2</v>
      </c>
      <c r="E11" s="25">
        <v>41766</v>
      </c>
      <c r="F11" s="25">
        <v>41771</v>
      </c>
      <c r="G11" s="25">
        <v>41796</v>
      </c>
      <c r="I11" t="s">
        <v>57</v>
      </c>
      <c r="J11" s="25">
        <v>41778</v>
      </c>
      <c r="K11" s="25">
        <v>41796</v>
      </c>
      <c r="L11" s="25">
        <v>41837</v>
      </c>
      <c r="N11" s="25">
        <v>41886</v>
      </c>
      <c r="O11" s="25">
        <v>41827</v>
      </c>
      <c r="P11" s="25">
        <v>41830</v>
      </c>
      <c r="Q11" s="25">
        <v>42131</v>
      </c>
      <c r="T11" t="s">
        <v>61</v>
      </c>
      <c r="U11" s="12">
        <v>42306</v>
      </c>
    </row>
    <row r="12" spans="2:48">
      <c r="B12">
        <v>183</v>
      </c>
      <c r="C12" t="s">
        <v>62</v>
      </c>
      <c r="D12" s="19">
        <v>3</v>
      </c>
      <c r="E12" s="25">
        <v>41778</v>
      </c>
      <c r="F12" s="25">
        <v>41781</v>
      </c>
      <c r="G12" s="25">
        <v>41880</v>
      </c>
      <c r="H12" s="25">
        <v>41801</v>
      </c>
      <c r="I12" t="s">
        <v>84</v>
      </c>
      <c r="J12" s="25">
        <v>41790</v>
      </c>
      <c r="K12" s="25">
        <v>41802</v>
      </c>
      <c r="L12" s="25">
        <v>41849</v>
      </c>
      <c r="M12" s="25">
        <v>41877</v>
      </c>
      <c r="N12" s="25">
        <v>41898</v>
      </c>
      <c r="O12" s="25">
        <v>41876</v>
      </c>
      <c r="P12" s="25">
        <v>41880</v>
      </c>
      <c r="Q12" s="25">
        <v>42143</v>
      </c>
      <c r="T12" t="s">
        <v>61</v>
      </c>
      <c r="U12" s="12">
        <v>42306</v>
      </c>
    </row>
    <row r="13" spans="2:48">
      <c r="B13">
        <v>183</v>
      </c>
      <c r="C13" t="s">
        <v>62</v>
      </c>
      <c r="D13" s="19">
        <v>4</v>
      </c>
      <c r="E13" s="25">
        <v>41904</v>
      </c>
      <c r="F13" s="25">
        <v>41907</v>
      </c>
      <c r="G13" s="25">
        <v>41971</v>
      </c>
      <c r="H13" s="25">
        <v>41911</v>
      </c>
      <c r="I13" t="s">
        <v>83</v>
      </c>
      <c r="J13" s="25">
        <v>41916</v>
      </c>
      <c r="K13" s="25">
        <v>41918</v>
      </c>
      <c r="L13" s="25">
        <v>41975</v>
      </c>
      <c r="M13" s="25">
        <v>41963</v>
      </c>
      <c r="N13" s="25">
        <v>42024</v>
      </c>
      <c r="O13" s="25">
        <v>41967</v>
      </c>
      <c r="P13" s="25">
        <v>41971</v>
      </c>
      <c r="Q13" s="25">
        <v>42269</v>
      </c>
      <c r="T13" t="s">
        <v>61</v>
      </c>
      <c r="U13" s="12">
        <v>42306</v>
      </c>
    </row>
    <row r="14" spans="2:48">
      <c r="B14">
        <v>183</v>
      </c>
      <c r="C14" t="s">
        <v>62</v>
      </c>
      <c r="D14" s="19">
        <v>5</v>
      </c>
      <c r="E14" s="25">
        <v>41904</v>
      </c>
      <c r="F14" s="25">
        <v>41907</v>
      </c>
      <c r="G14" s="25">
        <v>41978</v>
      </c>
      <c r="H14" s="25">
        <v>41907</v>
      </c>
      <c r="I14" t="s">
        <v>99</v>
      </c>
      <c r="J14" s="25">
        <v>41916</v>
      </c>
      <c r="K14" s="25">
        <v>41956</v>
      </c>
      <c r="L14" s="25">
        <v>41975</v>
      </c>
      <c r="M14" s="25">
        <v>41969</v>
      </c>
      <c r="N14" s="25">
        <v>42024</v>
      </c>
      <c r="O14" s="25">
        <v>41974</v>
      </c>
      <c r="P14" s="25">
        <v>41978</v>
      </c>
      <c r="Q14" s="25">
        <v>42269</v>
      </c>
      <c r="T14" t="s">
        <v>61</v>
      </c>
      <c r="U14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5"/>
  <dimension ref="B1:AV15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8" t="s">
        <v>16</v>
      </c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0"/>
      <c r="M3" s="120"/>
      <c r="N3" s="120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1" t="s">
        <v>58</v>
      </c>
      <c r="E4" s="121"/>
      <c r="F4" s="53">
        <f>$U$15</f>
        <v>42306</v>
      </c>
      <c r="G4" s="50"/>
      <c r="H4" s="50"/>
      <c r="I4" s="34"/>
      <c r="J4" s="50"/>
      <c r="K4" s="50"/>
      <c r="L4" s="65" t="s">
        <v>17</v>
      </c>
      <c r="M4" s="63">
        <f>$B$15</f>
        <v>18</v>
      </c>
      <c r="N4" s="122" t="str">
        <f>$C$15</f>
        <v>EMERY-DELOURMEL Corinne</v>
      </c>
      <c r="O4" s="122"/>
      <c r="P4" s="122"/>
      <c r="Q4" s="122"/>
      <c r="R4" s="12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3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5" t="s">
        <v>19</v>
      </c>
      <c r="F7" s="126"/>
      <c r="G7" s="126"/>
      <c r="H7" s="126"/>
      <c r="I7" s="126"/>
      <c r="J7" s="127" t="s">
        <v>20</v>
      </c>
      <c r="K7" s="128"/>
      <c r="L7" s="129" t="s">
        <v>21</v>
      </c>
      <c r="M7" s="129"/>
      <c r="N7" s="130" t="s">
        <v>22</v>
      </c>
      <c r="O7" s="131"/>
      <c r="P7" s="132"/>
      <c r="Q7" s="133" t="s">
        <v>23</v>
      </c>
      <c r="R7" s="131"/>
      <c r="S7" s="132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18</v>
      </c>
      <c r="C10" s="42" t="s">
        <v>64</v>
      </c>
      <c r="D10" s="19">
        <v>1</v>
      </c>
      <c r="E10" s="25">
        <v>41782</v>
      </c>
      <c r="F10" s="25">
        <v>41829</v>
      </c>
      <c r="G10" s="25">
        <v>41920</v>
      </c>
      <c r="H10" s="25">
        <v>41829</v>
      </c>
      <c r="I10" s="44" t="s">
        <v>84</v>
      </c>
      <c r="J10" s="25">
        <v>41794</v>
      </c>
      <c r="K10" s="25">
        <v>41828</v>
      </c>
      <c r="L10" s="25">
        <v>41853</v>
      </c>
      <c r="M10" s="25">
        <v>41849</v>
      </c>
      <c r="N10" s="25">
        <v>41902</v>
      </c>
      <c r="O10" s="25">
        <v>41792</v>
      </c>
      <c r="P10" s="25">
        <v>41829</v>
      </c>
      <c r="Q10" s="25">
        <v>42147</v>
      </c>
      <c r="R10" s="25">
        <v>41948</v>
      </c>
      <c r="S10" s="25">
        <v>41956</v>
      </c>
      <c r="T10" s="42" t="s">
        <v>63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38.25">
      <c r="B11" s="68">
        <v>18</v>
      </c>
      <c r="C11" s="69" t="s">
        <v>64</v>
      </c>
      <c r="D11" s="19">
        <v>2</v>
      </c>
      <c r="E11" s="25">
        <v>41884</v>
      </c>
      <c r="F11" s="25">
        <v>41891</v>
      </c>
      <c r="G11" s="25">
        <v>41893</v>
      </c>
      <c r="H11" s="25">
        <v>41891</v>
      </c>
      <c r="I11" s="44" t="s">
        <v>84</v>
      </c>
      <c r="J11" s="25">
        <v>41896</v>
      </c>
      <c r="K11" s="25">
        <v>41900</v>
      </c>
      <c r="L11" s="25">
        <v>41955</v>
      </c>
      <c r="M11" s="25">
        <v>41984</v>
      </c>
      <c r="N11" s="25">
        <v>42004</v>
      </c>
      <c r="O11" s="25">
        <v>41947</v>
      </c>
      <c r="P11" s="25">
        <v>41983</v>
      </c>
      <c r="Q11" s="25">
        <v>42249</v>
      </c>
      <c r="T11" s="69" t="s">
        <v>63</v>
      </c>
      <c r="U11" s="12">
        <v>42306</v>
      </c>
    </row>
    <row r="12" spans="2:48" ht="38.25">
      <c r="B12" s="68">
        <v>18</v>
      </c>
      <c r="C12" s="69" t="s">
        <v>64</v>
      </c>
      <c r="D12" s="19">
        <v>3</v>
      </c>
      <c r="E12" s="25">
        <v>41893</v>
      </c>
      <c r="F12" s="25">
        <v>41897</v>
      </c>
      <c r="G12" s="25">
        <v>41897</v>
      </c>
      <c r="H12" s="25">
        <v>41897</v>
      </c>
      <c r="I12" s="96" t="s">
        <v>84</v>
      </c>
      <c r="J12" s="25">
        <v>41905</v>
      </c>
      <c r="K12" s="25">
        <v>41904</v>
      </c>
      <c r="L12" s="25">
        <v>41964</v>
      </c>
      <c r="M12" s="25">
        <v>42144</v>
      </c>
      <c r="N12" s="25">
        <v>42013</v>
      </c>
      <c r="O12" s="25">
        <v>41957</v>
      </c>
      <c r="P12" s="25">
        <v>41983</v>
      </c>
      <c r="Q12" s="25">
        <v>42258</v>
      </c>
      <c r="T12" s="69" t="s">
        <v>63</v>
      </c>
      <c r="U12" s="12">
        <v>42306</v>
      </c>
    </row>
    <row r="13" spans="2:48" ht="38.25">
      <c r="B13" s="43">
        <v>18</v>
      </c>
      <c r="C13" s="75" t="s">
        <v>64</v>
      </c>
      <c r="D13" s="19">
        <v>4</v>
      </c>
      <c r="E13" s="25">
        <v>41904</v>
      </c>
      <c r="F13" s="25">
        <v>41920</v>
      </c>
      <c r="G13" s="25">
        <v>41919</v>
      </c>
      <c r="H13" s="25">
        <v>41919</v>
      </c>
      <c r="I13" s="96" t="s">
        <v>84</v>
      </c>
      <c r="J13" s="25">
        <v>41916</v>
      </c>
      <c r="K13" s="25">
        <v>41918</v>
      </c>
      <c r="L13" s="25">
        <v>41975</v>
      </c>
      <c r="M13" s="25">
        <v>41985</v>
      </c>
      <c r="N13" s="25">
        <v>42024</v>
      </c>
      <c r="O13" s="25">
        <v>41978</v>
      </c>
      <c r="P13" s="25">
        <v>41985</v>
      </c>
      <c r="Q13" s="25">
        <v>42269</v>
      </c>
      <c r="T13" s="75" t="s">
        <v>63</v>
      </c>
      <c r="U13" s="12">
        <v>42306</v>
      </c>
    </row>
    <row r="14" spans="2:48" ht="38.25">
      <c r="B14" s="43">
        <v>18</v>
      </c>
      <c r="C14" s="75" t="s">
        <v>64</v>
      </c>
      <c r="D14" s="19">
        <v>5</v>
      </c>
      <c r="E14" s="25">
        <v>41898</v>
      </c>
      <c r="F14" s="25">
        <v>41920</v>
      </c>
      <c r="G14" s="25">
        <v>41956</v>
      </c>
      <c r="H14" s="25">
        <v>41901</v>
      </c>
      <c r="I14" s="96" t="s">
        <v>84</v>
      </c>
      <c r="J14" s="25">
        <v>41910</v>
      </c>
      <c r="L14" s="25">
        <v>41969</v>
      </c>
      <c r="N14" s="25">
        <v>42018</v>
      </c>
      <c r="O14" s="25">
        <v>41961</v>
      </c>
      <c r="P14" s="25">
        <v>41984</v>
      </c>
      <c r="Q14" s="25">
        <v>42263</v>
      </c>
      <c r="T14" s="75" t="s">
        <v>63</v>
      </c>
      <c r="U14" s="12">
        <v>42306</v>
      </c>
    </row>
    <row r="15" spans="2:48" ht="38.25">
      <c r="B15" s="97">
        <v>18</v>
      </c>
      <c r="C15" s="98" t="s">
        <v>64</v>
      </c>
      <c r="D15" s="19">
        <v>6</v>
      </c>
      <c r="E15" s="25">
        <v>42009</v>
      </c>
      <c r="F15" s="25">
        <v>42019</v>
      </c>
      <c r="G15" s="25">
        <v>42017</v>
      </c>
      <c r="H15" s="25">
        <v>42017</v>
      </c>
      <c r="I15" s="96" t="s">
        <v>84</v>
      </c>
      <c r="J15" s="25">
        <v>42021</v>
      </c>
      <c r="K15" s="25">
        <v>42025</v>
      </c>
      <c r="L15" s="25">
        <v>42080</v>
      </c>
      <c r="M15" s="25">
        <v>42072</v>
      </c>
      <c r="N15" s="25">
        <v>42129</v>
      </c>
      <c r="Q15" s="25">
        <v>42374</v>
      </c>
      <c r="T15" s="98" t="s">
        <v>63</v>
      </c>
      <c r="U15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6"/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8" t="s">
        <v>16</v>
      </c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0"/>
      <c r="M3" s="120"/>
      <c r="N3" s="120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1" t="s">
        <v>58</v>
      </c>
      <c r="E4" s="121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187</v>
      </c>
      <c r="N4" s="122" t="str">
        <f>$C$12</f>
        <v>HENRY Michèle</v>
      </c>
      <c r="O4" s="122"/>
      <c r="P4" s="122"/>
      <c r="Q4" s="122"/>
      <c r="R4" s="12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3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5" t="s">
        <v>19</v>
      </c>
      <c r="F7" s="126"/>
      <c r="G7" s="126"/>
      <c r="H7" s="126"/>
      <c r="I7" s="126"/>
      <c r="J7" s="127" t="s">
        <v>20</v>
      </c>
      <c r="K7" s="128"/>
      <c r="L7" s="129" t="s">
        <v>21</v>
      </c>
      <c r="M7" s="129"/>
      <c r="N7" s="130" t="s">
        <v>22</v>
      </c>
      <c r="O7" s="131"/>
      <c r="P7" s="132"/>
      <c r="Q7" s="133" t="s">
        <v>23</v>
      </c>
      <c r="R7" s="131"/>
      <c r="S7" s="132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187</v>
      </c>
      <c r="C10" s="42" t="s">
        <v>66</v>
      </c>
      <c r="D10" s="19">
        <v>1</v>
      </c>
      <c r="E10" s="25">
        <v>41773</v>
      </c>
      <c r="F10" s="25">
        <v>41778</v>
      </c>
      <c r="G10" s="25"/>
      <c r="H10" s="25">
        <v>41778</v>
      </c>
      <c r="I10" s="44" t="s">
        <v>85</v>
      </c>
      <c r="J10" s="25">
        <v>41785</v>
      </c>
      <c r="K10" s="25">
        <v>41781</v>
      </c>
      <c r="L10" s="25">
        <v>41844</v>
      </c>
      <c r="M10" s="25">
        <v>41855</v>
      </c>
      <c r="N10" s="25">
        <v>41893</v>
      </c>
      <c r="O10" s="25"/>
      <c r="P10" s="25"/>
      <c r="Q10" s="25">
        <v>42138</v>
      </c>
      <c r="R10" s="25"/>
      <c r="S10" s="25"/>
      <c r="T10" s="42" t="s">
        <v>65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187</v>
      </c>
      <c r="C11" s="69" t="s">
        <v>66</v>
      </c>
      <c r="D11" s="19">
        <v>2</v>
      </c>
      <c r="I11" s="70" t="s">
        <v>57</v>
      </c>
      <c r="T11" s="69" t="s">
        <v>65</v>
      </c>
      <c r="U11" s="12">
        <v>42306</v>
      </c>
    </row>
    <row r="12" spans="2:48" ht="25.5">
      <c r="B12" s="68">
        <v>187</v>
      </c>
      <c r="C12" s="69" t="s">
        <v>66</v>
      </c>
      <c r="D12" s="19">
        <v>3</v>
      </c>
      <c r="I12" s="70" t="s">
        <v>57</v>
      </c>
      <c r="T12" s="69" t="s">
        <v>65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7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8" t="s">
        <v>16</v>
      </c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0"/>
      <c r="M3" s="120"/>
      <c r="N3" s="120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1" t="s">
        <v>58</v>
      </c>
      <c r="E4" s="121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190</v>
      </c>
      <c r="N4" s="122" t="str">
        <f>$C$12</f>
        <v>JOUBERT Bruno</v>
      </c>
      <c r="O4" s="122"/>
      <c r="P4" s="122"/>
      <c r="Q4" s="122"/>
      <c r="R4" s="12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3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5" t="s">
        <v>19</v>
      </c>
      <c r="F7" s="126"/>
      <c r="G7" s="126"/>
      <c r="H7" s="126"/>
      <c r="I7" s="126"/>
      <c r="J7" s="127" t="s">
        <v>20</v>
      </c>
      <c r="K7" s="128"/>
      <c r="L7" s="129" t="s">
        <v>21</v>
      </c>
      <c r="M7" s="129"/>
      <c r="N7" s="130" t="s">
        <v>22</v>
      </c>
      <c r="O7" s="131"/>
      <c r="P7" s="132"/>
      <c r="Q7" s="133" t="s">
        <v>23</v>
      </c>
      <c r="R7" s="131"/>
      <c r="S7" s="132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190</v>
      </c>
      <c r="C10" s="42" t="s">
        <v>68</v>
      </c>
      <c r="D10" s="19">
        <v>1</v>
      </c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67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68">
        <v>190</v>
      </c>
      <c r="C11" s="69" t="s">
        <v>68</v>
      </c>
      <c r="D11" s="19">
        <v>2</v>
      </c>
      <c r="I11" s="44" t="s">
        <v>57</v>
      </c>
      <c r="T11" s="69" t="s">
        <v>67</v>
      </c>
      <c r="U11" s="12">
        <v>42306</v>
      </c>
    </row>
    <row r="12" spans="2:48" ht="17.25" customHeight="1">
      <c r="B12" s="68">
        <v>190</v>
      </c>
      <c r="C12" s="69" t="s">
        <v>68</v>
      </c>
      <c r="D12" s="19">
        <v>3</v>
      </c>
      <c r="I12" s="44" t="s">
        <v>57</v>
      </c>
      <c r="T12" s="69" t="s">
        <v>67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8"/>
  <dimension ref="B1:AV17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8" t="s">
        <v>16</v>
      </c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0"/>
      <c r="M3" s="120"/>
      <c r="N3" s="120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1" t="s">
        <v>58</v>
      </c>
      <c r="E4" s="121"/>
      <c r="F4" s="53">
        <f>$U$17</f>
        <v>42306</v>
      </c>
      <c r="G4" s="50"/>
      <c r="H4" s="50"/>
      <c r="I4" s="34"/>
      <c r="J4" s="50"/>
      <c r="K4" s="50"/>
      <c r="L4" s="65" t="s">
        <v>17</v>
      </c>
      <c r="M4" s="63">
        <f>$B$17</f>
        <v>184</v>
      </c>
      <c r="N4" s="122" t="str">
        <f>$C$17</f>
        <v>MOURTADA Iman</v>
      </c>
      <c r="O4" s="122"/>
      <c r="P4" s="122"/>
      <c r="Q4" s="122"/>
      <c r="R4" s="12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3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5" t="s">
        <v>19</v>
      </c>
      <c r="F7" s="126"/>
      <c r="G7" s="126"/>
      <c r="H7" s="126"/>
      <c r="I7" s="126"/>
      <c r="J7" s="127" t="s">
        <v>20</v>
      </c>
      <c r="K7" s="128"/>
      <c r="L7" s="129" t="s">
        <v>21</v>
      </c>
      <c r="M7" s="129"/>
      <c r="N7" s="130" t="s">
        <v>22</v>
      </c>
      <c r="O7" s="131"/>
      <c r="P7" s="132"/>
      <c r="Q7" s="133" t="s">
        <v>23</v>
      </c>
      <c r="R7" s="131"/>
      <c r="S7" s="132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184</v>
      </c>
      <c r="C10" s="42" t="s">
        <v>108</v>
      </c>
      <c r="D10" s="19">
        <v>1</v>
      </c>
      <c r="E10" s="25">
        <v>41739</v>
      </c>
      <c r="F10" s="25">
        <v>41743</v>
      </c>
      <c r="G10" s="25"/>
      <c r="H10" s="25">
        <v>41752</v>
      </c>
      <c r="I10" s="44" t="s">
        <v>86</v>
      </c>
      <c r="J10" s="25">
        <v>41751</v>
      </c>
      <c r="K10" s="25">
        <v>41752</v>
      </c>
      <c r="L10" s="25">
        <v>41810</v>
      </c>
      <c r="M10" s="25">
        <v>41820</v>
      </c>
      <c r="N10" s="25">
        <v>41859</v>
      </c>
      <c r="O10" s="25"/>
      <c r="P10" s="25"/>
      <c r="Q10" s="25">
        <v>42104</v>
      </c>
      <c r="R10" s="25"/>
      <c r="S10" s="25"/>
      <c r="T10" s="42" t="s">
        <v>69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68">
        <v>184</v>
      </c>
      <c r="C11" s="69" t="s">
        <v>108</v>
      </c>
      <c r="D11" s="19">
        <v>2</v>
      </c>
      <c r="E11" s="25">
        <v>41739</v>
      </c>
      <c r="F11" s="25">
        <v>41743</v>
      </c>
      <c r="H11" s="25">
        <v>41743</v>
      </c>
      <c r="I11" s="44" t="s">
        <v>84</v>
      </c>
      <c r="J11" s="25">
        <v>41751</v>
      </c>
      <c r="K11" s="25">
        <v>41751</v>
      </c>
      <c r="L11" s="25">
        <v>41810</v>
      </c>
      <c r="N11" s="25">
        <v>41859</v>
      </c>
      <c r="O11" s="25">
        <v>41802</v>
      </c>
      <c r="P11" s="25">
        <v>41806</v>
      </c>
      <c r="Q11" s="25">
        <v>42104</v>
      </c>
      <c r="T11" s="69" t="s">
        <v>69</v>
      </c>
      <c r="U11" s="12">
        <v>42306</v>
      </c>
    </row>
    <row r="12" spans="2:48" ht="17.25" customHeight="1">
      <c r="B12" s="68">
        <v>184</v>
      </c>
      <c r="C12" s="69" t="s">
        <v>108</v>
      </c>
      <c r="D12" s="19">
        <v>3</v>
      </c>
      <c r="E12" s="25">
        <v>41743</v>
      </c>
      <c r="F12" s="25">
        <v>41745</v>
      </c>
      <c r="H12" s="25">
        <v>41745</v>
      </c>
      <c r="I12" s="44" t="s">
        <v>87</v>
      </c>
      <c r="J12" s="25">
        <v>41755</v>
      </c>
      <c r="L12" s="25">
        <v>41814</v>
      </c>
      <c r="N12" s="25">
        <v>41863</v>
      </c>
      <c r="Q12" s="25">
        <v>42108</v>
      </c>
      <c r="T12" s="69" t="s">
        <v>69</v>
      </c>
      <c r="U12" s="12">
        <v>42306</v>
      </c>
    </row>
    <row r="13" spans="2:48" ht="25.5">
      <c r="B13" s="68">
        <v>184</v>
      </c>
      <c r="C13" s="69" t="s">
        <v>108</v>
      </c>
      <c r="D13" s="19">
        <v>4</v>
      </c>
      <c r="E13" s="25">
        <v>41781</v>
      </c>
      <c r="F13" s="25">
        <v>41786</v>
      </c>
      <c r="G13" s="25">
        <v>41786</v>
      </c>
      <c r="H13" s="25">
        <v>41785</v>
      </c>
      <c r="I13" s="70" t="s">
        <v>88</v>
      </c>
      <c r="J13" s="25">
        <v>41793</v>
      </c>
      <c r="K13" s="25">
        <v>41808</v>
      </c>
      <c r="L13" s="25">
        <v>41852</v>
      </c>
      <c r="M13" s="25">
        <v>41863</v>
      </c>
      <c r="N13" s="25">
        <v>41901</v>
      </c>
      <c r="O13" s="25">
        <v>41842</v>
      </c>
      <c r="P13" s="25">
        <v>41844</v>
      </c>
      <c r="Q13" s="25">
        <v>42146</v>
      </c>
      <c r="T13" s="69" t="s">
        <v>69</v>
      </c>
      <c r="U13" s="12">
        <v>42306</v>
      </c>
    </row>
    <row r="14" spans="2:48" ht="25.5">
      <c r="B14" s="68">
        <v>184</v>
      </c>
      <c r="C14" s="69" t="s">
        <v>108</v>
      </c>
      <c r="D14" s="19">
        <v>5</v>
      </c>
      <c r="E14" s="25">
        <v>41785</v>
      </c>
      <c r="F14" s="25">
        <v>41786</v>
      </c>
      <c r="G14" s="25">
        <v>41816</v>
      </c>
      <c r="I14" s="96" t="s">
        <v>57</v>
      </c>
      <c r="J14" s="25">
        <v>41797</v>
      </c>
      <c r="K14" s="25">
        <v>41814</v>
      </c>
      <c r="L14" s="25">
        <v>41856</v>
      </c>
      <c r="M14" s="25">
        <v>41814</v>
      </c>
      <c r="N14" s="25">
        <v>41905</v>
      </c>
      <c r="O14" s="25">
        <v>41814</v>
      </c>
      <c r="P14" s="25">
        <v>41816</v>
      </c>
      <c r="Q14" s="25">
        <v>42150</v>
      </c>
      <c r="T14" s="69" t="s">
        <v>69</v>
      </c>
      <c r="U14" s="12">
        <v>42306</v>
      </c>
    </row>
    <row r="15" spans="2:48" ht="25.5">
      <c r="B15" s="97">
        <v>184</v>
      </c>
      <c r="C15" s="98" t="s">
        <v>108</v>
      </c>
      <c r="D15" s="19">
        <v>6</v>
      </c>
      <c r="E15" s="25">
        <v>42009</v>
      </c>
      <c r="F15" s="25">
        <v>42010</v>
      </c>
      <c r="G15" s="25">
        <v>42010</v>
      </c>
      <c r="H15" s="25">
        <v>42010</v>
      </c>
      <c r="I15" s="96" t="s">
        <v>103</v>
      </c>
      <c r="J15" s="25">
        <v>42021</v>
      </c>
      <c r="K15" s="25">
        <v>42032</v>
      </c>
      <c r="L15" s="25">
        <v>42080</v>
      </c>
      <c r="M15" s="25">
        <v>42076</v>
      </c>
      <c r="N15" s="25">
        <v>42129</v>
      </c>
      <c r="O15" s="25">
        <v>42067</v>
      </c>
      <c r="P15" s="25">
        <v>42069</v>
      </c>
      <c r="Q15" s="25">
        <v>42374</v>
      </c>
      <c r="T15" s="98" t="s">
        <v>69</v>
      </c>
      <c r="U15" s="12">
        <v>42306</v>
      </c>
    </row>
    <row r="16" spans="2:48" ht="25.5">
      <c r="B16" s="97">
        <v>184</v>
      </c>
      <c r="C16" s="98" t="s">
        <v>108</v>
      </c>
      <c r="D16" s="19">
        <v>7</v>
      </c>
      <c r="E16" s="25">
        <v>42016</v>
      </c>
      <c r="F16" s="25">
        <v>42017</v>
      </c>
      <c r="G16" s="25">
        <v>42017</v>
      </c>
      <c r="H16" s="25">
        <v>42017</v>
      </c>
      <c r="I16" s="96" t="s">
        <v>83</v>
      </c>
      <c r="J16" s="25">
        <v>42028</v>
      </c>
      <c r="K16" s="25">
        <v>42030</v>
      </c>
      <c r="L16" s="25">
        <v>42087</v>
      </c>
      <c r="M16" s="25">
        <v>42081</v>
      </c>
      <c r="N16" s="25">
        <v>42136</v>
      </c>
      <c r="O16" s="25">
        <v>42079</v>
      </c>
      <c r="P16" s="25">
        <v>42081</v>
      </c>
      <c r="Q16" s="25">
        <v>42381</v>
      </c>
      <c r="T16" s="98" t="s">
        <v>69</v>
      </c>
      <c r="U16" s="12">
        <v>42306</v>
      </c>
    </row>
    <row r="17" spans="2:21" ht="25.5">
      <c r="B17" s="97">
        <v>184</v>
      </c>
      <c r="C17" s="98" t="s">
        <v>108</v>
      </c>
      <c r="D17" s="19">
        <v>8</v>
      </c>
      <c r="E17" s="25">
        <v>42019</v>
      </c>
      <c r="F17" s="25">
        <v>42023</v>
      </c>
      <c r="G17" s="25">
        <v>42023</v>
      </c>
      <c r="H17" s="25">
        <v>42023</v>
      </c>
      <c r="I17" s="96" t="s">
        <v>104</v>
      </c>
      <c r="J17" s="25">
        <v>42031</v>
      </c>
      <c r="L17" s="25">
        <v>42090</v>
      </c>
      <c r="N17" s="25">
        <v>42139</v>
      </c>
      <c r="Q17" s="25">
        <v>42384</v>
      </c>
      <c r="T17" s="98" t="s">
        <v>69</v>
      </c>
      <c r="U17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Feuil9"/>
  <dimension ref="B1:AV12"/>
  <sheetViews>
    <sheetView workbookViewId="0">
      <selection activeCell="K19" sqref="K19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8" t="s">
        <v>16</v>
      </c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0"/>
      <c r="M3" s="120"/>
      <c r="N3" s="120"/>
      <c r="O3" s="87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1" t="s">
        <v>58</v>
      </c>
      <c r="E4" s="121"/>
      <c r="F4" s="53">
        <f>$U$12</f>
        <v>42306</v>
      </c>
      <c r="G4" s="50"/>
      <c r="H4" s="50"/>
      <c r="I4" s="34"/>
      <c r="J4" s="50"/>
      <c r="K4" s="50"/>
      <c r="L4" s="88" t="s">
        <v>17</v>
      </c>
      <c r="M4" s="63">
        <f>$B$12</f>
        <v>372</v>
      </c>
      <c r="N4" s="122" t="str">
        <f>$C$12</f>
        <v>PATY Jean-Luc</v>
      </c>
      <c r="O4" s="122"/>
      <c r="P4" s="122"/>
      <c r="Q4" s="122"/>
      <c r="R4" s="12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3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5" t="s">
        <v>19</v>
      </c>
      <c r="F7" s="126"/>
      <c r="G7" s="126"/>
      <c r="H7" s="126"/>
      <c r="I7" s="126"/>
      <c r="J7" s="127" t="s">
        <v>20</v>
      </c>
      <c r="K7" s="128"/>
      <c r="L7" s="129" t="s">
        <v>21</v>
      </c>
      <c r="M7" s="129"/>
      <c r="N7" s="130" t="s">
        <v>22</v>
      </c>
      <c r="O7" s="131"/>
      <c r="P7" s="132"/>
      <c r="Q7" s="133" t="s">
        <v>23</v>
      </c>
      <c r="R7" s="131"/>
      <c r="S7" s="132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6" t="s">
        <v>32</v>
      </c>
      <c r="M8" s="86" t="s">
        <v>31</v>
      </c>
      <c r="N8" s="85" t="s">
        <v>33</v>
      </c>
      <c r="O8" s="85" t="s">
        <v>34</v>
      </c>
      <c r="P8" s="85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372</v>
      </c>
      <c r="C10" s="42" t="s">
        <v>81</v>
      </c>
      <c r="D10" s="19">
        <v>1</v>
      </c>
      <c r="E10" s="25"/>
      <c r="F10" s="25"/>
      <c r="G10" s="25"/>
      <c r="H10" s="25"/>
      <c r="I10" s="70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80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94">
        <v>372</v>
      </c>
      <c r="C11" s="95" t="s">
        <v>81</v>
      </c>
      <c r="D11" s="19">
        <v>2</v>
      </c>
      <c r="I11" s="96" t="s">
        <v>57</v>
      </c>
      <c r="T11" s="95" t="s">
        <v>80</v>
      </c>
      <c r="U11" s="12">
        <v>42306</v>
      </c>
    </row>
    <row r="12" spans="2:48" ht="17.25" customHeight="1">
      <c r="B12" s="94">
        <v>372</v>
      </c>
      <c r="C12" s="95" t="s">
        <v>81</v>
      </c>
      <c r="D12" s="19">
        <v>3</v>
      </c>
      <c r="I12" s="96" t="s">
        <v>57</v>
      </c>
      <c r="T12" s="95" t="s">
        <v>80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Feuil10"/>
  <dimension ref="B1:AV12"/>
  <sheetViews>
    <sheetView workbookViewId="0">
      <selection activeCell="F10" sqref="F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8" t="s">
        <v>16</v>
      </c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0"/>
      <c r="M3" s="120"/>
      <c r="N3" s="120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1" t="s">
        <v>58</v>
      </c>
      <c r="E4" s="121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188</v>
      </c>
      <c r="N4" s="122" t="str">
        <f>$C$12</f>
        <v>PIETO LE CORVAISIER Christine</v>
      </c>
      <c r="O4" s="122"/>
      <c r="P4" s="122"/>
      <c r="Q4" s="122"/>
      <c r="R4" s="12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3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5" t="s">
        <v>19</v>
      </c>
      <c r="F7" s="126"/>
      <c r="G7" s="126"/>
      <c r="H7" s="126"/>
      <c r="I7" s="126"/>
      <c r="J7" s="127" t="s">
        <v>20</v>
      </c>
      <c r="K7" s="128"/>
      <c r="L7" s="129" t="s">
        <v>21</v>
      </c>
      <c r="M7" s="129"/>
      <c r="N7" s="130" t="s">
        <v>22</v>
      </c>
      <c r="O7" s="131"/>
      <c r="P7" s="132"/>
      <c r="Q7" s="133" t="s">
        <v>23</v>
      </c>
      <c r="R7" s="131"/>
      <c r="S7" s="132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188</v>
      </c>
      <c r="C10" s="42" t="s">
        <v>71</v>
      </c>
      <c r="D10" s="19">
        <v>1</v>
      </c>
      <c r="E10" s="25">
        <v>41771</v>
      </c>
      <c r="F10" s="25">
        <v>41778</v>
      </c>
      <c r="G10" s="25">
        <v>41778</v>
      </c>
      <c r="H10" s="25">
        <v>41778</v>
      </c>
      <c r="I10" s="44" t="s">
        <v>84</v>
      </c>
      <c r="J10" s="25">
        <v>41783</v>
      </c>
      <c r="K10" s="25">
        <v>41794</v>
      </c>
      <c r="L10" s="25">
        <v>41842</v>
      </c>
      <c r="M10" s="25">
        <v>41827</v>
      </c>
      <c r="N10" s="25">
        <v>41891</v>
      </c>
      <c r="O10" s="25"/>
      <c r="P10" s="25"/>
      <c r="Q10" s="25">
        <v>42136</v>
      </c>
      <c r="R10" s="25"/>
      <c r="S10" s="25"/>
      <c r="T10" s="42" t="s">
        <v>70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68">
        <v>188</v>
      </c>
      <c r="C11" s="69" t="s">
        <v>71</v>
      </c>
      <c r="D11" s="19">
        <v>2</v>
      </c>
      <c r="E11" s="25">
        <v>41792</v>
      </c>
      <c r="F11" s="25">
        <v>41935</v>
      </c>
      <c r="G11" s="25">
        <v>41803</v>
      </c>
      <c r="H11" s="25">
        <v>41803</v>
      </c>
      <c r="I11" s="44" t="s">
        <v>84</v>
      </c>
      <c r="J11" s="25">
        <v>41804</v>
      </c>
      <c r="K11" s="25">
        <v>41827</v>
      </c>
      <c r="L11" s="25">
        <v>41863</v>
      </c>
      <c r="M11" s="25">
        <v>41935</v>
      </c>
      <c r="N11" s="25">
        <v>41912</v>
      </c>
      <c r="Q11" s="25">
        <v>42157</v>
      </c>
      <c r="T11" s="69" t="s">
        <v>70</v>
      </c>
      <c r="U11" s="12">
        <v>42306</v>
      </c>
    </row>
    <row r="12" spans="2:48" ht="17.25" customHeight="1">
      <c r="B12" s="68">
        <v>188</v>
      </c>
      <c r="C12" s="69" t="s">
        <v>71</v>
      </c>
      <c r="D12" s="19">
        <v>3</v>
      </c>
      <c r="E12" s="25">
        <v>41802</v>
      </c>
      <c r="F12" s="25">
        <v>41835</v>
      </c>
      <c r="G12" s="25">
        <v>41806</v>
      </c>
      <c r="H12" s="25">
        <v>41806</v>
      </c>
      <c r="I12" s="44" t="s">
        <v>84</v>
      </c>
      <c r="J12" s="25">
        <v>41814</v>
      </c>
      <c r="K12" s="25">
        <v>41810</v>
      </c>
      <c r="L12" s="25">
        <v>41873</v>
      </c>
      <c r="M12" s="25">
        <v>41837</v>
      </c>
      <c r="N12" s="25">
        <v>41922</v>
      </c>
      <c r="Q12" s="25">
        <v>42167</v>
      </c>
      <c r="T12" s="69" t="s">
        <v>70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Feuil11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8" t="s">
        <v>16</v>
      </c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0"/>
      <c r="M3" s="120"/>
      <c r="N3" s="120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1" t="s">
        <v>58</v>
      </c>
      <c r="E4" s="121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186</v>
      </c>
      <c r="N4" s="122" t="str">
        <f>$C$14</f>
        <v>PONTOIZEAU Pierre</v>
      </c>
      <c r="O4" s="122"/>
      <c r="P4" s="122"/>
      <c r="Q4" s="122"/>
      <c r="R4" s="12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3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5" t="s">
        <v>19</v>
      </c>
      <c r="F7" s="126"/>
      <c r="G7" s="126"/>
      <c r="H7" s="126"/>
      <c r="I7" s="126"/>
      <c r="J7" s="127" t="s">
        <v>20</v>
      </c>
      <c r="K7" s="128"/>
      <c r="L7" s="129" t="s">
        <v>21</v>
      </c>
      <c r="M7" s="129"/>
      <c r="N7" s="130" t="s">
        <v>22</v>
      </c>
      <c r="O7" s="131"/>
      <c r="P7" s="132"/>
      <c r="Q7" s="133" t="s">
        <v>23</v>
      </c>
      <c r="R7" s="131"/>
      <c r="S7" s="132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186</v>
      </c>
      <c r="C10" s="42" t="s">
        <v>73</v>
      </c>
      <c r="D10" s="19">
        <v>1</v>
      </c>
      <c r="E10" s="25">
        <v>41798</v>
      </c>
      <c r="F10" s="25">
        <v>41898</v>
      </c>
      <c r="G10" s="25"/>
      <c r="H10" s="25"/>
      <c r="I10" s="44" t="s">
        <v>57</v>
      </c>
      <c r="J10" s="25">
        <v>41810</v>
      </c>
      <c r="K10" s="25"/>
      <c r="L10" s="25">
        <v>41869</v>
      </c>
      <c r="M10" s="25"/>
      <c r="N10" s="25">
        <v>41918</v>
      </c>
      <c r="O10" s="25"/>
      <c r="P10" s="25"/>
      <c r="Q10" s="25">
        <v>42163</v>
      </c>
      <c r="R10" s="25"/>
      <c r="S10" s="25"/>
      <c r="T10" s="42" t="s">
        <v>72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68">
        <v>186</v>
      </c>
      <c r="C11" s="69" t="s">
        <v>73</v>
      </c>
      <c r="D11" s="19">
        <v>2</v>
      </c>
      <c r="E11" s="25">
        <v>41830</v>
      </c>
      <c r="F11" s="25">
        <v>41898</v>
      </c>
      <c r="I11" s="70" t="s">
        <v>57</v>
      </c>
      <c r="J11" s="25">
        <v>41842</v>
      </c>
      <c r="K11" s="25">
        <v>41934</v>
      </c>
      <c r="L11" s="25">
        <v>41901</v>
      </c>
      <c r="M11" s="25">
        <v>41934</v>
      </c>
      <c r="N11" s="25">
        <v>41950</v>
      </c>
      <c r="O11" s="25">
        <v>41932</v>
      </c>
      <c r="P11" s="25">
        <v>41934</v>
      </c>
      <c r="Q11" s="25">
        <v>42195</v>
      </c>
      <c r="T11" s="69" t="s">
        <v>72</v>
      </c>
      <c r="U11" s="12">
        <v>42306</v>
      </c>
    </row>
    <row r="12" spans="2:48" ht="17.25" customHeight="1">
      <c r="B12" s="68">
        <v>186</v>
      </c>
      <c r="C12" s="69" t="s">
        <v>73</v>
      </c>
      <c r="D12" s="19">
        <v>3</v>
      </c>
      <c r="E12" s="25">
        <v>41807</v>
      </c>
      <c r="F12" s="25">
        <v>41824</v>
      </c>
      <c r="G12" s="25">
        <v>41824</v>
      </c>
      <c r="H12" s="25">
        <v>41809</v>
      </c>
      <c r="I12" s="96" t="s">
        <v>84</v>
      </c>
      <c r="J12" s="25">
        <v>41819</v>
      </c>
      <c r="K12" s="25">
        <v>41824</v>
      </c>
      <c r="L12" s="25">
        <v>41878</v>
      </c>
      <c r="M12" s="25">
        <v>41824</v>
      </c>
      <c r="N12" s="25">
        <v>41927</v>
      </c>
      <c r="Q12" s="25">
        <v>42172</v>
      </c>
      <c r="R12" s="25">
        <v>41823</v>
      </c>
      <c r="S12" s="25">
        <v>41824</v>
      </c>
      <c r="T12" s="69" t="s">
        <v>72</v>
      </c>
      <c r="U12" s="12">
        <v>42306</v>
      </c>
    </row>
    <row r="13" spans="2:48" ht="25.5">
      <c r="B13" s="43">
        <v>186</v>
      </c>
      <c r="C13" s="75" t="s">
        <v>73</v>
      </c>
      <c r="D13" s="19">
        <v>4</v>
      </c>
      <c r="G13" s="25">
        <v>41905</v>
      </c>
      <c r="I13" s="96" t="s">
        <v>57</v>
      </c>
      <c r="K13" s="25">
        <v>41899</v>
      </c>
      <c r="M13" s="25">
        <v>41899</v>
      </c>
      <c r="O13" s="25">
        <v>41898</v>
      </c>
      <c r="P13" s="25">
        <v>41900</v>
      </c>
      <c r="T13" s="75" t="s">
        <v>72</v>
      </c>
      <c r="U13" s="12">
        <v>42306</v>
      </c>
    </row>
    <row r="14" spans="2:48" ht="25.5">
      <c r="B14" s="43">
        <v>186</v>
      </c>
      <c r="C14" s="75" t="s">
        <v>73</v>
      </c>
      <c r="D14" s="19">
        <v>5</v>
      </c>
      <c r="I14" s="96" t="s">
        <v>57</v>
      </c>
      <c r="T14" s="75" t="s">
        <v>72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Feuil14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8" t="s">
        <v>16</v>
      </c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0"/>
      <c r="M3" s="120"/>
      <c r="N3" s="120"/>
      <c r="O3" s="101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1" t="s">
        <v>58</v>
      </c>
      <c r="E4" s="121"/>
      <c r="F4" s="53">
        <f>$U$14</f>
        <v>42306</v>
      </c>
      <c r="G4" s="50"/>
      <c r="H4" s="50"/>
      <c r="I4" s="34"/>
      <c r="J4" s="50"/>
      <c r="K4" s="50"/>
      <c r="L4" s="102" t="s">
        <v>17</v>
      </c>
      <c r="M4" s="63">
        <f>$B$14</f>
        <v>402</v>
      </c>
      <c r="N4" s="122" t="str">
        <f>$C$14</f>
        <v>RIBEAUDEAU Fabrice</v>
      </c>
      <c r="O4" s="122"/>
      <c r="P4" s="122"/>
      <c r="Q4" s="122"/>
      <c r="R4" s="12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3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5" t="s">
        <v>19</v>
      </c>
      <c r="F7" s="126"/>
      <c r="G7" s="126"/>
      <c r="H7" s="126"/>
      <c r="I7" s="126"/>
      <c r="J7" s="127" t="s">
        <v>20</v>
      </c>
      <c r="K7" s="128"/>
      <c r="L7" s="129" t="s">
        <v>21</v>
      </c>
      <c r="M7" s="129"/>
      <c r="N7" s="130" t="s">
        <v>22</v>
      </c>
      <c r="O7" s="131"/>
      <c r="P7" s="132"/>
      <c r="Q7" s="133" t="s">
        <v>23</v>
      </c>
      <c r="R7" s="131"/>
      <c r="S7" s="132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100" t="s">
        <v>32</v>
      </c>
      <c r="M8" s="100" t="s">
        <v>31</v>
      </c>
      <c r="N8" s="99" t="s">
        <v>33</v>
      </c>
      <c r="O8" s="99" t="s">
        <v>34</v>
      </c>
      <c r="P8" s="99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402</v>
      </c>
      <c r="C10" s="42" t="s">
        <v>98</v>
      </c>
      <c r="D10" s="19">
        <v>1</v>
      </c>
      <c r="E10" s="25">
        <v>41956</v>
      </c>
      <c r="F10" s="25">
        <v>41962</v>
      </c>
      <c r="G10" s="25">
        <v>41962</v>
      </c>
      <c r="H10" s="25">
        <v>41962</v>
      </c>
      <c r="I10" s="96" t="s">
        <v>100</v>
      </c>
      <c r="J10" s="25">
        <v>41968</v>
      </c>
      <c r="K10" s="25">
        <v>41967</v>
      </c>
      <c r="L10" s="25">
        <v>42027</v>
      </c>
      <c r="M10" s="25">
        <v>42017</v>
      </c>
      <c r="N10" s="25">
        <v>42076</v>
      </c>
      <c r="O10" s="25">
        <v>42016</v>
      </c>
      <c r="P10" s="25">
        <v>42017</v>
      </c>
      <c r="Q10" s="25">
        <v>42321</v>
      </c>
      <c r="R10" s="25">
        <v>42255</v>
      </c>
      <c r="S10" s="25">
        <v>42257</v>
      </c>
      <c r="T10" s="42" t="s">
        <v>97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97">
        <v>402</v>
      </c>
      <c r="C11" s="98" t="s">
        <v>98</v>
      </c>
      <c r="D11" s="19">
        <v>2</v>
      </c>
      <c r="E11" s="25">
        <v>41956</v>
      </c>
      <c r="F11" s="25">
        <v>41962</v>
      </c>
      <c r="G11" s="25">
        <v>41962</v>
      </c>
      <c r="H11" s="25">
        <v>41962</v>
      </c>
      <c r="I11" s="96" t="s">
        <v>101</v>
      </c>
      <c r="J11" s="25">
        <v>41968</v>
      </c>
      <c r="K11" s="25">
        <v>41968</v>
      </c>
      <c r="L11" s="25">
        <v>42027</v>
      </c>
      <c r="M11" s="25">
        <v>42019</v>
      </c>
      <c r="N11" s="25">
        <v>42076</v>
      </c>
      <c r="O11" s="25">
        <v>42016</v>
      </c>
      <c r="P11" s="25">
        <v>42019</v>
      </c>
      <c r="Q11" s="25">
        <v>42321</v>
      </c>
      <c r="R11" s="25">
        <v>42262</v>
      </c>
      <c r="S11" s="25">
        <v>42264</v>
      </c>
      <c r="T11" s="98" t="s">
        <v>97</v>
      </c>
      <c r="U11" s="12">
        <v>42306</v>
      </c>
    </row>
    <row r="12" spans="2:48" ht="17.25" customHeight="1">
      <c r="B12" s="97">
        <v>402</v>
      </c>
      <c r="C12" s="98" t="s">
        <v>98</v>
      </c>
      <c r="D12" s="19">
        <v>3</v>
      </c>
      <c r="E12" s="25">
        <v>41956</v>
      </c>
      <c r="F12" s="25">
        <v>41962</v>
      </c>
      <c r="G12" s="25">
        <v>41962</v>
      </c>
      <c r="H12" s="25">
        <v>41962</v>
      </c>
      <c r="I12" s="96" t="s">
        <v>84</v>
      </c>
      <c r="J12" s="25">
        <v>41968</v>
      </c>
      <c r="K12" s="25">
        <v>41989</v>
      </c>
      <c r="L12" s="25">
        <v>42027</v>
      </c>
      <c r="M12" s="25">
        <v>42039</v>
      </c>
      <c r="N12" s="25">
        <v>42076</v>
      </c>
      <c r="O12" s="25">
        <v>42016</v>
      </c>
      <c r="P12" s="25">
        <v>42017</v>
      </c>
      <c r="Q12" s="25">
        <v>42321</v>
      </c>
      <c r="R12" s="25">
        <v>42262</v>
      </c>
      <c r="S12" s="25">
        <v>42264</v>
      </c>
      <c r="T12" s="98" t="s">
        <v>97</v>
      </c>
      <c r="U12" s="12">
        <v>42306</v>
      </c>
    </row>
    <row r="13" spans="2:48" ht="25.5">
      <c r="B13" s="97">
        <v>402</v>
      </c>
      <c r="C13" s="98" t="s">
        <v>98</v>
      </c>
      <c r="D13" s="19">
        <v>4</v>
      </c>
      <c r="E13" s="25">
        <v>41974</v>
      </c>
      <c r="F13" s="25">
        <v>41977</v>
      </c>
      <c r="G13" s="25">
        <v>41977</v>
      </c>
      <c r="H13" s="25">
        <v>41977</v>
      </c>
      <c r="I13" s="96" t="s">
        <v>84</v>
      </c>
      <c r="J13" s="25">
        <v>41986</v>
      </c>
      <c r="K13" s="25">
        <v>42038</v>
      </c>
      <c r="L13" s="25">
        <v>42045</v>
      </c>
      <c r="M13" s="25">
        <v>42039</v>
      </c>
      <c r="N13" s="25">
        <v>42094</v>
      </c>
      <c r="P13" s="25">
        <v>42040</v>
      </c>
      <c r="Q13" s="25">
        <v>42339</v>
      </c>
      <c r="R13" s="25">
        <v>42255</v>
      </c>
      <c r="S13" s="25">
        <v>42257</v>
      </c>
      <c r="T13" s="98" t="s">
        <v>97</v>
      </c>
      <c r="U13" s="12">
        <v>42306</v>
      </c>
    </row>
    <row r="14" spans="2:48" ht="25.5">
      <c r="B14" s="97">
        <v>402</v>
      </c>
      <c r="C14" s="98" t="s">
        <v>98</v>
      </c>
      <c r="D14" s="19">
        <v>5</v>
      </c>
      <c r="E14" s="25">
        <v>41974</v>
      </c>
      <c r="F14" s="25">
        <v>41977</v>
      </c>
      <c r="G14" s="25">
        <v>41977</v>
      </c>
      <c r="H14" s="25">
        <v>41977</v>
      </c>
      <c r="I14" s="96" t="s">
        <v>84</v>
      </c>
      <c r="J14" s="25">
        <v>41986</v>
      </c>
      <c r="K14" s="25">
        <v>42082</v>
      </c>
      <c r="L14" s="25">
        <v>42045</v>
      </c>
      <c r="M14" s="25">
        <v>42082</v>
      </c>
      <c r="N14" s="25">
        <v>42094</v>
      </c>
      <c r="O14" s="25">
        <v>42081</v>
      </c>
      <c r="P14" s="25">
        <v>42082</v>
      </c>
      <c r="Q14" s="25">
        <v>42339</v>
      </c>
      <c r="T14" s="98" t="s">
        <v>97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Feuil12"/>
  <dimension ref="B1:AV19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8" t="s">
        <v>16</v>
      </c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20"/>
      <c r="M3" s="120"/>
      <c r="N3" s="120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1" t="s">
        <v>58</v>
      </c>
      <c r="E4" s="121"/>
      <c r="F4" s="53">
        <f>$U$19</f>
        <v>42306</v>
      </c>
      <c r="G4" s="50"/>
      <c r="H4" s="50"/>
      <c r="I4" s="34"/>
      <c r="J4" s="50"/>
      <c r="K4" s="50"/>
      <c r="L4" s="65" t="s">
        <v>17</v>
      </c>
      <c r="M4" s="63">
        <f>$B$19</f>
        <v>189</v>
      </c>
      <c r="N4" s="122" t="str">
        <f>$C$19</f>
        <v>SIERRA FORTUNY Sandrine</v>
      </c>
      <c r="O4" s="122"/>
      <c r="P4" s="122"/>
      <c r="Q4" s="122"/>
      <c r="R4" s="12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3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5" t="s">
        <v>19</v>
      </c>
      <c r="F7" s="126"/>
      <c r="G7" s="126"/>
      <c r="H7" s="126"/>
      <c r="I7" s="126"/>
      <c r="J7" s="127" t="s">
        <v>20</v>
      </c>
      <c r="K7" s="128"/>
      <c r="L7" s="129" t="s">
        <v>21</v>
      </c>
      <c r="M7" s="129"/>
      <c r="N7" s="130" t="s">
        <v>22</v>
      </c>
      <c r="O7" s="131"/>
      <c r="P7" s="132"/>
      <c r="Q7" s="133" t="s">
        <v>23</v>
      </c>
      <c r="R7" s="131"/>
      <c r="S7" s="132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189</v>
      </c>
      <c r="C10" s="42" t="s">
        <v>75</v>
      </c>
      <c r="D10" s="19">
        <v>1</v>
      </c>
      <c r="E10" s="25">
        <v>41752</v>
      </c>
      <c r="F10" s="25">
        <v>41800</v>
      </c>
      <c r="G10" s="25"/>
      <c r="H10" s="25">
        <v>41753</v>
      </c>
      <c r="I10" s="44" t="s">
        <v>84</v>
      </c>
      <c r="J10" s="25">
        <v>41764</v>
      </c>
      <c r="K10" s="25">
        <v>41766</v>
      </c>
      <c r="L10" s="25">
        <v>41823</v>
      </c>
      <c r="M10" s="25">
        <v>41873</v>
      </c>
      <c r="N10" s="25">
        <v>41872</v>
      </c>
      <c r="O10" s="25">
        <v>41764</v>
      </c>
      <c r="P10" s="25">
        <v>41766</v>
      </c>
      <c r="Q10" s="25">
        <v>42117</v>
      </c>
      <c r="R10" s="25"/>
      <c r="S10" s="25"/>
      <c r="T10" s="42" t="s">
        <v>74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68">
        <v>189</v>
      </c>
      <c r="C11" s="69" t="s">
        <v>75</v>
      </c>
      <c r="D11" s="19">
        <v>2</v>
      </c>
      <c r="E11" s="25">
        <v>41795</v>
      </c>
      <c r="F11" s="25">
        <v>41800</v>
      </c>
      <c r="G11" s="25">
        <v>41800</v>
      </c>
      <c r="H11" s="25">
        <v>41800</v>
      </c>
      <c r="I11" s="70" t="s">
        <v>86</v>
      </c>
      <c r="J11" s="25">
        <v>41807</v>
      </c>
      <c r="K11" s="25">
        <v>41813</v>
      </c>
      <c r="L11" s="25">
        <v>41866</v>
      </c>
      <c r="N11" s="25">
        <v>41915</v>
      </c>
      <c r="O11" s="25">
        <v>41872</v>
      </c>
      <c r="P11" s="25">
        <v>41873</v>
      </c>
      <c r="Q11" s="25">
        <v>42160</v>
      </c>
      <c r="T11" s="69" t="s">
        <v>74</v>
      </c>
      <c r="U11" s="12">
        <v>42306</v>
      </c>
    </row>
    <row r="12" spans="2:48" ht="17.25" customHeight="1">
      <c r="B12" s="68">
        <v>189</v>
      </c>
      <c r="C12" s="69" t="s">
        <v>75</v>
      </c>
      <c r="D12" s="19">
        <v>3</v>
      </c>
      <c r="E12" s="25">
        <v>41726</v>
      </c>
      <c r="F12" s="25">
        <v>41800</v>
      </c>
      <c r="G12" s="25">
        <v>41800</v>
      </c>
      <c r="H12" s="25">
        <v>41786</v>
      </c>
      <c r="I12" s="70" t="s">
        <v>89</v>
      </c>
      <c r="J12" s="25">
        <v>41738</v>
      </c>
      <c r="K12" s="25">
        <v>41761</v>
      </c>
      <c r="L12" s="25">
        <v>41797</v>
      </c>
      <c r="M12" s="25">
        <v>41786</v>
      </c>
      <c r="N12" s="25">
        <v>41846</v>
      </c>
      <c r="O12" s="25">
        <v>41759</v>
      </c>
      <c r="P12" s="25">
        <v>41761</v>
      </c>
      <c r="Q12" s="25">
        <v>42091</v>
      </c>
      <c r="R12" s="25">
        <v>41929</v>
      </c>
      <c r="S12" s="25">
        <v>42088</v>
      </c>
      <c r="T12" s="69" t="s">
        <v>74</v>
      </c>
      <c r="U12" s="12">
        <v>42306</v>
      </c>
    </row>
    <row r="13" spans="2:48" ht="25.5">
      <c r="B13" s="68">
        <v>189</v>
      </c>
      <c r="C13" s="69" t="s">
        <v>75</v>
      </c>
      <c r="D13" s="19">
        <v>4</v>
      </c>
      <c r="E13" s="25">
        <v>41782</v>
      </c>
      <c r="F13" s="25">
        <v>41849</v>
      </c>
      <c r="G13" s="25">
        <v>41785</v>
      </c>
      <c r="H13" s="25">
        <v>41796</v>
      </c>
      <c r="I13" s="70" t="s">
        <v>90</v>
      </c>
      <c r="J13" s="25">
        <v>41794</v>
      </c>
      <c r="K13" s="25">
        <v>41796</v>
      </c>
      <c r="L13" s="25">
        <v>41853</v>
      </c>
      <c r="M13" s="25">
        <v>41865</v>
      </c>
      <c r="N13" s="25">
        <v>41902</v>
      </c>
      <c r="O13" s="25">
        <v>41848</v>
      </c>
      <c r="P13" s="25">
        <v>41849</v>
      </c>
      <c r="Q13" s="25">
        <v>42147</v>
      </c>
      <c r="T13" s="69" t="s">
        <v>74</v>
      </c>
      <c r="U13" s="12">
        <v>42306</v>
      </c>
    </row>
    <row r="14" spans="2:48" ht="25.5">
      <c r="B14" s="68">
        <v>189</v>
      </c>
      <c r="C14" s="69" t="s">
        <v>75</v>
      </c>
      <c r="D14" s="19">
        <v>5</v>
      </c>
      <c r="E14" s="25">
        <v>41754</v>
      </c>
      <c r="F14" s="25">
        <v>41806</v>
      </c>
      <c r="G14" s="25">
        <v>41806</v>
      </c>
      <c r="H14" s="25">
        <v>41806</v>
      </c>
      <c r="I14" s="96" t="s">
        <v>91</v>
      </c>
      <c r="J14" s="25">
        <v>41766</v>
      </c>
      <c r="L14" s="25">
        <v>41825</v>
      </c>
      <c r="M14" s="25">
        <v>41859</v>
      </c>
      <c r="N14" s="25">
        <v>41874</v>
      </c>
      <c r="O14" s="25">
        <v>41800</v>
      </c>
      <c r="P14" s="25">
        <v>41806</v>
      </c>
      <c r="Q14" s="25">
        <v>42119</v>
      </c>
      <c r="R14" s="25">
        <v>41992</v>
      </c>
      <c r="S14" s="25">
        <v>41995</v>
      </c>
      <c r="T14" s="69" t="s">
        <v>74</v>
      </c>
      <c r="U14" s="12">
        <v>42306</v>
      </c>
    </row>
    <row r="15" spans="2:48" ht="25.5">
      <c r="B15" s="97">
        <v>189</v>
      </c>
      <c r="C15" s="98" t="s">
        <v>75</v>
      </c>
      <c r="D15" s="19">
        <v>6</v>
      </c>
      <c r="E15" s="25">
        <v>41968</v>
      </c>
      <c r="F15" s="25">
        <v>41970</v>
      </c>
      <c r="G15" s="25">
        <v>41970</v>
      </c>
      <c r="H15" s="25">
        <v>41970</v>
      </c>
      <c r="I15" s="96" t="s">
        <v>84</v>
      </c>
      <c r="J15" s="25">
        <v>41980</v>
      </c>
      <c r="K15" s="25">
        <v>41981</v>
      </c>
      <c r="L15" s="25">
        <v>42039</v>
      </c>
      <c r="M15" s="25">
        <v>42060</v>
      </c>
      <c r="N15" s="25">
        <v>42088</v>
      </c>
      <c r="O15" s="25">
        <v>42045</v>
      </c>
      <c r="P15" s="25">
        <v>42060</v>
      </c>
      <c r="Q15" s="25">
        <v>42333</v>
      </c>
      <c r="T15" s="98" t="s">
        <v>74</v>
      </c>
      <c r="U15" s="12">
        <v>42306</v>
      </c>
    </row>
    <row r="16" spans="2:48" ht="25.5">
      <c r="B16" s="97">
        <v>189</v>
      </c>
      <c r="C16" s="98" t="s">
        <v>75</v>
      </c>
      <c r="D16" s="19">
        <v>7</v>
      </c>
      <c r="E16" s="25">
        <v>41974</v>
      </c>
      <c r="F16" s="25">
        <v>41982</v>
      </c>
      <c r="G16" s="25">
        <v>41982</v>
      </c>
      <c r="I16" s="96" t="s">
        <v>57</v>
      </c>
      <c r="J16" s="25">
        <v>41986</v>
      </c>
      <c r="K16" s="25">
        <v>42017</v>
      </c>
      <c r="L16" s="25">
        <v>42045</v>
      </c>
      <c r="M16" s="25">
        <v>42061</v>
      </c>
      <c r="N16" s="25">
        <v>42094</v>
      </c>
      <c r="O16" s="25">
        <v>42061</v>
      </c>
      <c r="P16" s="25">
        <v>42062</v>
      </c>
      <c r="Q16" s="25">
        <v>42339</v>
      </c>
      <c r="T16" s="98" t="s">
        <v>74</v>
      </c>
      <c r="U16" s="12">
        <v>42306</v>
      </c>
    </row>
    <row r="17" spans="2:21" ht="25.5">
      <c r="B17" s="97">
        <v>189</v>
      </c>
      <c r="C17" s="98" t="s">
        <v>75</v>
      </c>
      <c r="D17" s="19">
        <v>8</v>
      </c>
      <c r="E17" s="25">
        <v>41985</v>
      </c>
      <c r="F17" s="25">
        <v>41989</v>
      </c>
      <c r="G17" s="25">
        <v>41989</v>
      </c>
      <c r="H17" s="25">
        <v>42009</v>
      </c>
      <c r="I17" s="96" t="s">
        <v>104</v>
      </c>
      <c r="J17" s="25">
        <v>41997</v>
      </c>
      <c r="K17" s="25">
        <v>42016</v>
      </c>
      <c r="L17" s="25">
        <v>42056</v>
      </c>
      <c r="M17" s="25">
        <v>42094</v>
      </c>
      <c r="N17" s="25">
        <v>42105</v>
      </c>
      <c r="O17" s="25">
        <v>42038</v>
      </c>
      <c r="P17" s="25">
        <v>42040</v>
      </c>
      <c r="Q17" s="25">
        <v>42350</v>
      </c>
      <c r="T17" s="98" t="s">
        <v>74</v>
      </c>
      <c r="U17" s="12">
        <v>42306</v>
      </c>
    </row>
    <row r="18" spans="2:21" ht="25.5">
      <c r="B18" s="97">
        <v>189</v>
      </c>
      <c r="C18" s="98" t="s">
        <v>75</v>
      </c>
      <c r="D18" s="19">
        <v>9</v>
      </c>
      <c r="E18" s="25">
        <v>41989</v>
      </c>
      <c r="F18" s="25">
        <v>41995</v>
      </c>
      <c r="G18" s="25">
        <v>41995</v>
      </c>
      <c r="H18" s="25">
        <v>41991</v>
      </c>
      <c r="I18" s="96" t="s">
        <v>84</v>
      </c>
      <c r="J18" s="25">
        <v>42001</v>
      </c>
      <c r="K18" s="25">
        <v>42068</v>
      </c>
      <c r="L18" s="25">
        <v>42060</v>
      </c>
      <c r="M18" s="25">
        <v>42068</v>
      </c>
      <c r="N18" s="25">
        <v>42109</v>
      </c>
      <c r="O18" s="25">
        <v>42074</v>
      </c>
      <c r="P18" s="25">
        <v>42075</v>
      </c>
      <c r="Q18" s="25">
        <v>42354</v>
      </c>
      <c r="T18" s="98" t="s">
        <v>74</v>
      </c>
      <c r="U18" s="12">
        <v>42306</v>
      </c>
    </row>
    <row r="19" spans="2:21" ht="25.5">
      <c r="B19" s="97">
        <v>189</v>
      </c>
      <c r="C19" s="98" t="s">
        <v>75</v>
      </c>
      <c r="D19" s="19">
        <v>10</v>
      </c>
      <c r="E19" s="25">
        <v>41992</v>
      </c>
      <c r="F19" s="25">
        <v>41995</v>
      </c>
      <c r="G19" s="25">
        <v>41995</v>
      </c>
      <c r="H19" s="25">
        <v>42010</v>
      </c>
      <c r="I19" s="96" t="s">
        <v>105</v>
      </c>
      <c r="J19" s="25">
        <v>42004</v>
      </c>
      <c r="K19" s="25">
        <v>42010</v>
      </c>
      <c r="L19" s="25">
        <v>42063</v>
      </c>
      <c r="M19" s="25">
        <v>42044</v>
      </c>
      <c r="N19" s="25">
        <v>42112</v>
      </c>
      <c r="Q19" s="25">
        <v>42357</v>
      </c>
      <c r="T19" s="98" t="s">
        <v>74</v>
      </c>
      <c r="U19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Secteur DE0306</vt:lpstr>
      <vt:lpstr>01052498</vt:lpstr>
      <vt:lpstr>00915540</vt:lpstr>
      <vt:lpstr>02724544</vt:lpstr>
      <vt:lpstr>01688890</vt:lpstr>
      <vt:lpstr>03275701</vt:lpstr>
      <vt:lpstr>04547830</vt:lpstr>
      <vt:lpstr>04884054</vt:lpstr>
      <vt:lpstr>06857915</vt:lpstr>
      <vt:lpstr>07088866</vt:lpstr>
      <vt:lpstr>05424108</vt:lpstr>
      <vt:lpstr>07463108</vt:lpstr>
      <vt:lpstr>07993743</vt:lpstr>
      <vt:lpstr>01714884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2014-04-15T15:23:56Z</cp:lastPrinted>
  <dcterms:created xsi:type="dcterms:W3CDTF">2014-04-10T15:52:05Z</dcterms:created>
  <dcterms:modified xsi:type="dcterms:W3CDTF">2015-10-29T22:02:39Z</dcterms:modified>
</cp:coreProperties>
</file>