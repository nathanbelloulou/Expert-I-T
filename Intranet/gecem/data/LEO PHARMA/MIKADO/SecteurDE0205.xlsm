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205" sheetId="1" r:id="rId1"/>
    <sheet name="00437185" sheetId="2" r:id="rId2"/>
    <sheet name="00520345" sheetId="8" r:id="rId3"/>
    <sheet name="05512773" sheetId="3" r:id="rId4"/>
    <sheet name="06206028" sheetId="6" r:id="rId5"/>
    <sheet name="06980506" sheetId="7" r:id="rId6"/>
    <sheet name="07902441" sheetId="4" r:id="rId7"/>
    <sheet name="08856575" sheetId="5" r:id="rId8"/>
  </sheets>
  <definedNames>
    <definedName name="Lancer_la_requête_à_partir_de_MS_Access_Database" localSheetId="1" hidden="1">'00437185'!$B$9:$U$17</definedName>
    <definedName name="Lancer_la_requête_à_partir_de_MS_Access_Database" localSheetId="2" hidden="1">'00520345'!$B$9:$U$12</definedName>
    <definedName name="Lancer_la_requête_à_partir_de_MS_Access_Database" localSheetId="3" hidden="1">'05512773'!$B$9:$U$14</definedName>
    <definedName name="Lancer_la_requête_à_partir_de_MS_Access_Database" localSheetId="4" hidden="1">'06206028'!$B$9:$U$17</definedName>
    <definedName name="Lancer_la_requête_à_partir_de_MS_Access_Database" localSheetId="5" hidden="1">'06980506'!$B$9:$U$12</definedName>
    <definedName name="Lancer_la_requête_à_partir_de_MS_Access_Database" localSheetId="6" hidden="1">'07902441'!$B$9:$U$12</definedName>
    <definedName name="Lancer_la_requête_à_partir_de_MS_Access_Database" localSheetId="7" hidden="1">'08856575'!$B$9:$U$14</definedName>
    <definedName name="Lancer_la_requête_à_partir_de_MS_Access_Database_1" localSheetId="0" hidden="1">'Secteur DE0205'!$A$7:$K$14</definedName>
  </definedNames>
  <calcPr calcId="125725"/>
</workbook>
</file>

<file path=xl/calcChain.xml><?xml version="1.0" encoding="utf-8"?>
<calcChain xmlns="http://schemas.openxmlformats.org/spreadsheetml/2006/main">
  <c r="D15" i="1"/>
  <c r="E15"/>
  <c r="F15"/>
  <c r="G15"/>
  <c r="H15"/>
  <c r="I15"/>
  <c r="N4" i="8"/>
  <c r="M4"/>
  <c r="F4"/>
  <c r="N4" i="7"/>
  <c r="M4"/>
  <c r="F4"/>
  <c r="N4" i="6"/>
  <c r="M4"/>
  <c r="F4"/>
  <c r="N4" i="5"/>
  <c r="M4"/>
  <c r="F4"/>
  <c r="N4" i="4" l="1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205')_x000d__x000a_ORDER BY Req_REPORT_SECTEURS_GLOBAL.Medecin"/>
  </connection>
  <connection id="2" name="Lancer la requête à partir de MS Access Database0043718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437185')"/>
  </connection>
  <connection id="3" name="Lancer la requête à partir de MS Access Database005203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520345')"/>
  </connection>
  <connection id="4" name="Lancer la requête à partir de MS Access Database0551277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512773')"/>
  </connection>
  <connection id="5" name="Lancer la requête à partir de MS Access Database0620602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206028')"/>
  </connection>
  <connection id="6" name="Lancer la requête à partir de MS Access Database06980506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980506')"/>
  </connection>
  <connection id="7" name="Lancer la requête à partir de MS Access Database0790244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02441')"/>
  </connection>
  <connection id="8" name="Lancer la requête à partir de MS Access Database088565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856575')"/>
  </connection>
</connections>
</file>

<file path=xl/sharedStrings.xml><?xml version="1.0" encoding="utf-8"?>
<sst xmlns="http://schemas.openxmlformats.org/spreadsheetml/2006/main" count="478" uniqueCount="87">
  <si>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</si>
  <si>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</si>
  <si>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</si>
  <si>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</si>
  <si>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</si>
  <si>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</si>
  <si>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</si>
  <si>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</si>
  <si>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</si>
  <si>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</si>
  <si>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</si>
  <si>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</si>
  <si>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</si>
  <si>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</si>
  <si>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</si>
  <si>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</si>
  <si>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</si>
  <si>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</si>
  <si>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</si>
  <si>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</si>
  <si>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</si>
  <si>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</si>
  <si>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</si>
  <si>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</si>
  <si>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</si>
  <si>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</si>
  <si>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</si>
  <si>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</si>
  <si>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</si>
  <si>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</si>
  <si>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</si>
  <si>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</si>
  <si>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</si>
  <si>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</si>
  <si>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</si>
  <si>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</si>
  <si>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</si>
  <si>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</si>
  <si>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</si>
  <si>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</si>
  <si>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</si>
  <si>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</si>
  <si>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</si>
  <si>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</si>
  <si>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</si>
  <si>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</si>
  <si>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</si>
  <si>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</si>
  <si>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</si>
  <si>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</si>
  <si>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</si>
  <si>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</si>
  <si>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</si>
  <si>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</si>
  <si>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</si>
  <si>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</si>
  <si>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</si>
  <si>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</si>
  <si>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</si>
  <si>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DE0205</t>
  </si>
  <si>
    <t>HALOUA Aurélie</t>
  </si>
  <si>
    <t>WFRM00437185</t>
  </si>
  <si>
    <t>BARANGER Jean-Michel</t>
  </si>
  <si>
    <t>WFRM05512773</t>
  </si>
  <si>
    <t>LEBLANC-MOSNIER Claire</t>
  </si>
  <si>
    <t>WFRM07902441</t>
  </si>
  <si>
    <t>RIVIERE Claude</t>
  </si>
  <si>
    <t>WFRM08856575</t>
  </si>
  <si>
    <t>TISSERAND Eric</t>
  </si>
  <si>
    <t>WFRM06206028</t>
  </si>
  <si>
    <t>MARX Claude</t>
  </si>
  <si>
    <t>WFRM06980506</t>
  </si>
  <si>
    <t>OUTTAS Omar</t>
  </si>
  <si>
    <t>Via médecin</t>
  </si>
  <si>
    <t>Courrier</t>
  </si>
  <si>
    <t>Courrier 07/08: relance patient 3 à faire car n'a pas renvoyé son autoQ à 2 mois</t>
  </si>
  <si>
    <t>Mail</t>
  </si>
  <si>
    <t>Courrier - Téléphone</t>
  </si>
  <si>
    <t>19sept: Dr souhaite etre reappro. 2 cahiers envoyés</t>
  </si>
  <si>
    <t>17 sept : le Dr TISSERAND a inclus ses 3 patients et souhaite recevoir 2 CRF supplémentaires =&gt; ok, envoi le 17/09/14</t>
  </si>
  <si>
    <t>26sept: va nous renvoyer les questionnaires souhaite 2 patients supplémentaires</t>
  </si>
  <si>
    <t>WFRM00520345</t>
  </si>
  <si>
    <t>BARTHELEMY Hugues</t>
  </si>
  <si>
    <t>SMS</t>
  </si>
  <si>
    <t>17oct14: n'a pas inclus, n'a pas pris le temps. Va le faire</t>
  </si>
  <si>
    <t>Reste 2 patients à inclure</t>
  </si>
  <si>
    <t>Colonne1</t>
  </si>
</sst>
</file>

<file path=xl/styles.xml><?xml version="1.0" encoding="utf-8"?>
<styleSheet xmlns="http://schemas.openxmlformats.org/spreadsheetml/2006/main">
  <numFmts count="1">
    <numFmt numFmtId="164" formatCode="dd/mm/yy;@"/>
  </numFmts>
  <fonts count="28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8080"/>
      </left>
      <right style="thin">
        <color rgb="FF000000"/>
      </right>
      <top style="thin">
        <color rgb="FF000000"/>
      </top>
      <bottom style="thin">
        <color rgb="FF008080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23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4" fontId="0" fillId="0" borderId="0" xfId="0" applyNumberFormat="1"/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 wrapText="1"/>
    </xf>
    <xf numFmtId="0" fontId="11" fillId="11" borderId="0" xfId="2" applyFill="1" applyAlignment="1" applyProtection="1">
      <alignment horizontal="center" vertical="center" wrapText="1"/>
    </xf>
    <xf numFmtId="22" fontId="0" fillId="11" borderId="0" xfId="0" applyNumberFormat="1" applyFill="1" applyAlignment="1">
      <alignment vertical="center" wrapText="1"/>
    </xf>
    <xf numFmtId="164" fontId="0" fillId="11" borderId="0" xfId="0" applyNumberForma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164" fontId="0" fillId="11" borderId="0" xfId="0" applyNumberFormat="1" applyFill="1" applyAlignment="1">
      <alignment vertical="center" wrapText="1"/>
    </xf>
    <xf numFmtId="0" fontId="27" fillId="12" borderId="5" xfId="0" applyFont="1" applyFill="1" applyBorder="1" applyAlignment="1">
      <alignment vertical="center" wrapText="1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83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secondRowStripe" dxfId="176"/>
      <tableStyleElement type="firstColumnStripe" dxfId="175"/>
      <tableStyleElement type="secondColumnStripe" dxfId="174"/>
    </tableStyle>
    <tableStyle name="TableStyleLight8 2" pivot="0" count="9">
      <tableStyleElement type="wholeTable" dxfId="173"/>
      <tableStyleElement type="headerRow" dxfId="172"/>
      <tableStyleElement type="totalRow" dxfId="171"/>
      <tableStyleElement type="firstColumn" dxfId="170"/>
      <tableStyleElement type="lastColumn" dxfId="169"/>
      <tableStyleElement type="firstRowStripe" dxfId="168"/>
      <tableStyleElement type="secondRowStripe" dxfId="167"/>
      <tableStyleElement type="firstColumnStripe" dxfId="166"/>
      <tableStyleElement type="secondColumnStripe" dxfId="165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L15" tableType="queryTable" totalsRowCount="1" headerRowDxfId="164" dataDxfId="163">
  <tableColumns count="12">
    <tableColumn id="1" uniqueName="1" name="Code Secteur" queryTableFieldId="1" dataDxfId="151" totalsRowDxfId="152"/>
    <tableColumn id="2" uniqueName="2" name="VM" queryTableFieldId="2" dataDxfId="150" totalsRowDxfId="153"/>
    <tableColumn id="3" uniqueName="3" name="Code médecin" totalsRowLabel="TOTAL" queryTableFieldId="3" dataDxfId="149" totalsRowDxfId="154" dataCellStyle="Lien hypertexte"/>
    <tableColumn id="4" uniqueName="4" name="Medecin" totalsRowFunction="custom" queryTableFieldId="4" dataDxfId="148" totalsRowDxfId="155">
      <totalsRowFormula>SUBTOTAL(3,D8:D14)</totalsRowFormula>
    </tableColumn>
    <tableColumn id="5" uniqueName="5" name="Date de réception convention financière" totalsRowFunction="custom" queryTableFieldId="5" dataDxfId="147" totalsRowDxfId="156">
      <totalsRowFormula>SUBTOTAL(3,[Date de réception convention financière])</totalsRowFormula>
    </tableColumn>
    <tableColumn id="6" uniqueName="6" name="Date de réception AR kit" totalsRowFunction="custom" queryTableFieldId="6" dataDxfId="146" totalsRowDxfId="157">
      <totalsRowFormula>SUBTOTAL(3,[Date de réception AR kit])</totalsRowFormula>
    </tableColumn>
    <tableColumn id="7" uniqueName="7" name="Date de MEP" totalsRowFunction="custom" queryTableFieldId="7" dataDxfId="145" totalsRowDxfId="158">
      <totalsRowFormula>SUBTOTAL(3,[Date de MEP])</totalsRowFormula>
    </tableColumn>
    <tableColumn id="8" uniqueName="8" name="Desistement" totalsRowFunction="custom" queryTableFieldId="8" dataDxfId="144" totalsRowDxfId="159">
      <totalsRowFormula>SUBTOTAL(3,[Desistement])</totalsRowFormula>
    </tableColumn>
    <tableColumn id="9" uniqueName="9" name="Nb Total Patients inclus" totalsRowFunction="custom" queryTableFieldId="9" dataDxfId="143" totalsRowDxfId="160">
      <totalsRowFormula>SUBTOTAL(109,I8:I14)</totalsRowFormula>
    </tableColumn>
    <tableColumn id="10" uniqueName="10" name="Comptes-rendus contact médecin-GECEM" queryTableFieldId="10" dataDxfId="142" totalsRowDxfId="161"/>
    <tableColumn id="11" uniqueName="11" name="Date" queryTableFieldId="11" dataDxfId="141" totalsRowDxfId="162"/>
    <tableColumn id="12" uniqueName="12" name="Colonne1" queryTableFieldId="12" dataDxfId="140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7" tableType="queryTable" totalsRowShown="0">
  <autoFilter ref="B9:U17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8" name="Tableau_Lancer_la_requête_à_partir_de_MS_Access_Database9" displayName="Tableau_Lancer_la_requête_à_partir_de_MS_Access_Database9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4" tableType="queryTable" totalsRowShown="0">
  <autoFilter ref="B9:U14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6" name="Tableau_Lancer_la_requête_à_partir_de_MS_Access_Database47" displayName="Tableau_Lancer_la_requête_à_partir_de_MS_Access_Database47" ref="B9:U17" tableType="queryTable" totalsRowShown="0">
  <autoFilter ref="B9:U17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7" name="Tableau_Lancer_la_requête_à_partir_de_MS_Access_Database48" displayName="Tableau_Lancer_la_requête_à_partir_de_MS_Access_Database48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5" name="Tableau_Lancer_la_requête_à_partir_de_MS_Access_Database456" displayName="Tableau_Lancer_la_requête_à_partir_de_MS_Access_Database456" ref="B9:U14" tableType="queryTable" totalsRowShown="0">
  <autoFilter ref="B9:U14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17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$A$14</f>
        <v>DE0205</v>
      </c>
      <c r="G2" s="106" t="str">
        <f>$B$14</f>
        <v>HALOUA Aurélie</v>
      </c>
      <c r="H2" s="106"/>
      <c r="I2" s="106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$K$14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  <c r="L7" s="15" t="s">
        <v>86</v>
      </c>
    </row>
    <row r="8" spans="1:17" s="99" customFormat="1" ht="45">
      <c r="A8" s="99" t="s">
        <v>59</v>
      </c>
      <c r="B8" s="99" t="s">
        <v>60</v>
      </c>
      <c r="C8" s="100" t="s">
        <v>61</v>
      </c>
      <c r="D8" s="101" t="s">
        <v>62</v>
      </c>
      <c r="E8" s="102">
        <v>41711</v>
      </c>
      <c r="F8" s="102">
        <v>41764</v>
      </c>
      <c r="G8" s="102">
        <v>41759</v>
      </c>
      <c r="H8" s="102"/>
      <c r="I8" s="103">
        <v>7</v>
      </c>
      <c r="J8" s="101" t="s">
        <v>78</v>
      </c>
      <c r="K8" s="104">
        <v>42306</v>
      </c>
      <c r="L8" s="105" t="s">
        <v>85</v>
      </c>
    </row>
    <row r="9" spans="1:17" s="72" customFormat="1">
      <c r="A9" s="72" t="s">
        <v>59</v>
      </c>
      <c r="B9" s="72" t="s">
        <v>60</v>
      </c>
      <c r="C9" s="73" t="s">
        <v>81</v>
      </c>
      <c r="D9" s="71" t="s">
        <v>82</v>
      </c>
      <c r="E9" s="16">
        <v>41919</v>
      </c>
      <c r="F9" s="16">
        <v>41936</v>
      </c>
      <c r="G9" s="16">
        <v>41935</v>
      </c>
      <c r="H9" s="16"/>
      <c r="I9" s="15">
        <v>2</v>
      </c>
      <c r="J9" s="71"/>
      <c r="K9" s="74">
        <v>42306</v>
      </c>
    </row>
    <row r="10" spans="1:17" s="72" customFormat="1" ht="30">
      <c r="A10" s="72" t="s">
        <v>59</v>
      </c>
      <c r="B10" s="72" t="s">
        <v>60</v>
      </c>
      <c r="C10" s="73" t="s">
        <v>63</v>
      </c>
      <c r="D10" s="71" t="s">
        <v>64</v>
      </c>
      <c r="E10" s="16">
        <v>41704</v>
      </c>
      <c r="F10" s="16">
        <v>41745</v>
      </c>
      <c r="G10" s="16">
        <v>41739</v>
      </c>
      <c r="H10" s="16"/>
      <c r="I10" s="15">
        <v>4</v>
      </c>
      <c r="J10" s="71" t="s">
        <v>75</v>
      </c>
      <c r="K10" s="74">
        <v>42306</v>
      </c>
    </row>
    <row r="11" spans="1:17" ht="30">
      <c r="A11" s="72" t="s">
        <v>59</v>
      </c>
      <c r="B11" s="72" t="s">
        <v>60</v>
      </c>
      <c r="C11" s="73" t="s">
        <v>69</v>
      </c>
      <c r="D11" s="71" t="s">
        <v>70</v>
      </c>
      <c r="E11" s="16">
        <v>41815</v>
      </c>
      <c r="F11" s="16">
        <v>41831</v>
      </c>
      <c r="G11" s="16">
        <v>41830</v>
      </c>
      <c r="H11" s="16"/>
      <c r="I11" s="15">
        <v>8</v>
      </c>
      <c r="J11" s="71" t="s">
        <v>80</v>
      </c>
      <c r="K11" s="74">
        <v>42306</v>
      </c>
      <c r="L11" s="72"/>
    </row>
    <row r="12" spans="1:17">
      <c r="A12" s="72" t="s">
        <v>59</v>
      </c>
      <c r="B12" s="72" t="s">
        <v>60</v>
      </c>
      <c r="C12" s="73" t="s">
        <v>71</v>
      </c>
      <c r="D12" s="71" t="s">
        <v>72</v>
      </c>
      <c r="E12" s="16">
        <v>41821</v>
      </c>
      <c r="F12" s="16">
        <v>41830</v>
      </c>
      <c r="G12" s="16">
        <v>41828</v>
      </c>
      <c r="H12" s="16"/>
      <c r="I12" s="15">
        <v>3</v>
      </c>
      <c r="J12" s="71"/>
      <c r="K12" s="74">
        <v>42306</v>
      </c>
      <c r="L12" s="72"/>
    </row>
    <row r="13" spans="1:17">
      <c r="A13" s="72" t="s">
        <v>59</v>
      </c>
      <c r="B13" s="72" t="s">
        <v>60</v>
      </c>
      <c r="C13" s="73" t="s">
        <v>65</v>
      </c>
      <c r="D13" s="71" t="s">
        <v>66</v>
      </c>
      <c r="E13" s="16">
        <v>41698</v>
      </c>
      <c r="F13" s="16">
        <v>41745</v>
      </c>
      <c r="G13" s="16">
        <v>41740</v>
      </c>
      <c r="H13" s="16"/>
      <c r="I13" s="15"/>
      <c r="J13" s="71" t="s">
        <v>84</v>
      </c>
      <c r="K13" s="74">
        <v>42306</v>
      </c>
      <c r="L13" s="72"/>
    </row>
    <row r="14" spans="1:17" ht="30">
      <c r="A14" s="72" t="s">
        <v>59</v>
      </c>
      <c r="B14" s="72" t="s">
        <v>60</v>
      </c>
      <c r="C14" s="73" t="s">
        <v>67</v>
      </c>
      <c r="D14" s="71" t="s">
        <v>68</v>
      </c>
      <c r="E14" s="16">
        <v>41803</v>
      </c>
      <c r="F14" s="16">
        <v>41817</v>
      </c>
      <c r="G14" s="16">
        <v>41816</v>
      </c>
      <c r="H14" s="16"/>
      <c r="I14" s="15">
        <v>4</v>
      </c>
      <c r="J14" s="71" t="s">
        <v>79</v>
      </c>
      <c r="K14" s="74">
        <v>42306</v>
      </c>
      <c r="L14" s="72"/>
    </row>
    <row r="15" spans="1:17">
      <c r="A15" s="28"/>
      <c r="B15" s="28"/>
      <c r="C15" s="27" t="s">
        <v>15</v>
      </c>
      <c r="D15" s="33">
        <f>SUBTOTAL(3,D8:D14)</f>
        <v>7</v>
      </c>
      <c r="E15" s="33">
        <f>SUBTOTAL(3,[Date de réception convention financière])</f>
        <v>7</v>
      </c>
      <c r="F15" s="33">
        <f>SUBTOTAL(3,[Date de réception AR kit])</f>
        <v>7</v>
      </c>
      <c r="G15" s="33">
        <f>SUBTOTAL(3,[Date de MEP])</f>
        <v>7</v>
      </c>
      <c r="H15" s="79">
        <f>SUBTOTAL(3,[Desistement])</f>
        <v>0</v>
      </c>
      <c r="I15" s="27">
        <f>SUBTOTAL(109,I8:I14)</f>
        <v>28</v>
      </c>
      <c r="J15" s="31"/>
      <c r="K15" s="32"/>
    </row>
    <row r="16" spans="1:17">
      <c r="D16" s="10"/>
      <c r="J16" s="10"/>
    </row>
    <row r="17" spans="3:3">
      <c r="C17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AV17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$U$17</f>
        <v>42306</v>
      </c>
      <c r="G4" s="50"/>
      <c r="H4" s="50"/>
      <c r="I4" s="34"/>
      <c r="J4" s="50"/>
      <c r="K4" s="50"/>
      <c r="L4" s="57" t="s">
        <v>17</v>
      </c>
      <c r="M4" s="63">
        <f>$B$17</f>
        <v>126</v>
      </c>
      <c r="N4" s="110" t="str">
        <f>$C$17</f>
        <v>BARANGER Jean-Michel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126</v>
      </c>
      <c r="C10" s="42" t="s">
        <v>62</v>
      </c>
      <c r="D10" s="19">
        <v>1</v>
      </c>
      <c r="E10" s="25">
        <v>41792</v>
      </c>
      <c r="F10" s="25">
        <v>41794</v>
      </c>
      <c r="G10" s="25">
        <v>41794</v>
      </c>
      <c r="H10" s="25">
        <v>41794</v>
      </c>
      <c r="I10" s="44" t="s">
        <v>73</v>
      </c>
      <c r="J10" s="25">
        <v>41804</v>
      </c>
      <c r="K10" s="25">
        <v>41807</v>
      </c>
      <c r="L10" s="25">
        <v>41863</v>
      </c>
      <c r="M10" s="25">
        <v>41865</v>
      </c>
      <c r="N10" s="25">
        <v>41912</v>
      </c>
      <c r="O10" s="25">
        <v>41835</v>
      </c>
      <c r="P10" s="25">
        <v>41838</v>
      </c>
      <c r="Q10" s="25">
        <v>42157</v>
      </c>
      <c r="R10" s="25">
        <v>42079</v>
      </c>
      <c r="S10" s="25">
        <v>42081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69">
        <v>126</v>
      </c>
      <c r="C11" s="70" t="s">
        <v>62</v>
      </c>
      <c r="D11" s="19">
        <v>2</v>
      </c>
      <c r="E11" s="25">
        <v>41814</v>
      </c>
      <c r="F11" s="25">
        <v>41817</v>
      </c>
      <c r="G11" s="25">
        <v>41817</v>
      </c>
      <c r="H11" s="25">
        <v>41817</v>
      </c>
      <c r="I11" s="44" t="s">
        <v>73</v>
      </c>
      <c r="J11" s="25">
        <v>41826</v>
      </c>
      <c r="K11" s="25">
        <v>41827</v>
      </c>
      <c r="L11" s="25">
        <v>41885</v>
      </c>
      <c r="M11" s="25">
        <v>41871</v>
      </c>
      <c r="N11" s="25">
        <v>41934</v>
      </c>
      <c r="O11" s="25">
        <v>41849</v>
      </c>
      <c r="P11" s="25">
        <v>41851</v>
      </c>
      <c r="Q11" s="25">
        <v>42179</v>
      </c>
      <c r="T11" s="70" t="s">
        <v>61</v>
      </c>
      <c r="U11" s="12">
        <v>42306</v>
      </c>
    </row>
    <row r="12" spans="2:48" ht="25.5">
      <c r="B12" s="69">
        <v>126</v>
      </c>
      <c r="C12" s="70" t="s">
        <v>62</v>
      </c>
      <c r="D12" s="19">
        <v>3</v>
      </c>
      <c r="E12" s="25">
        <v>41883</v>
      </c>
      <c r="F12" s="25">
        <v>41887</v>
      </c>
      <c r="H12" s="25">
        <v>41887</v>
      </c>
      <c r="I12" s="92" t="s">
        <v>73</v>
      </c>
      <c r="J12" s="25">
        <v>41895</v>
      </c>
      <c r="K12" s="25">
        <v>41898</v>
      </c>
      <c r="L12" s="25">
        <v>41954</v>
      </c>
      <c r="M12" s="25">
        <v>41957</v>
      </c>
      <c r="N12" s="25">
        <v>42003</v>
      </c>
      <c r="O12" s="25">
        <v>41946</v>
      </c>
      <c r="P12" s="25">
        <v>41948</v>
      </c>
      <c r="Q12" s="25">
        <v>42248</v>
      </c>
      <c r="R12" s="25">
        <v>42012</v>
      </c>
      <c r="S12" s="25">
        <v>42016</v>
      </c>
      <c r="T12" s="70" t="s">
        <v>61</v>
      </c>
      <c r="U12" s="12">
        <v>42306</v>
      </c>
    </row>
    <row r="13" spans="2:48" ht="25.5">
      <c r="B13" s="93">
        <v>126</v>
      </c>
      <c r="C13" s="94" t="s">
        <v>62</v>
      </c>
      <c r="D13" s="19">
        <v>4</v>
      </c>
      <c r="E13" s="25">
        <v>41932</v>
      </c>
      <c r="F13" s="25">
        <v>41936</v>
      </c>
      <c r="H13" s="25">
        <v>41934</v>
      </c>
      <c r="I13" s="92" t="s">
        <v>73</v>
      </c>
      <c r="J13" s="25">
        <v>41944</v>
      </c>
      <c r="K13" s="25">
        <v>42002</v>
      </c>
      <c r="L13" s="25">
        <v>42003</v>
      </c>
      <c r="M13" s="25">
        <v>42002</v>
      </c>
      <c r="N13" s="25">
        <v>42052</v>
      </c>
      <c r="O13" s="25">
        <v>41992</v>
      </c>
      <c r="P13" s="25">
        <v>41995</v>
      </c>
      <c r="Q13" s="25">
        <v>42297</v>
      </c>
      <c r="T13" s="94" t="s">
        <v>61</v>
      </c>
      <c r="U13" s="12">
        <v>42306</v>
      </c>
    </row>
    <row r="14" spans="2:48" ht="25.5">
      <c r="B14" s="93">
        <v>126</v>
      </c>
      <c r="C14" s="94" t="s">
        <v>62</v>
      </c>
      <c r="D14" s="19">
        <v>5</v>
      </c>
      <c r="E14" s="25">
        <v>41934</v>
      </c>
      <c r="F14" s="25">
        <v>41936</v>
      </c>
      <c r="H14" s="25">
        <v>41936</v>
      </c>
      <c r="I14" s="92" t="s">
        <v>73</v>
      </c>
      <c r="J14" s="25">
        <v>41946</v>
      </c>
      <c r="K14" s="25">
        <v>42013</v>
      </c>
      <c r="L14" s="25">
        <v>42005</v>
      </c>
      <c r="M14" s="25">
        <v>42013</v>
      </c>
      <c r="N14" s="25">
        <v>42054</v>
      </c>
      <c r="O14" s="25">
        <v>41941</v>
      </c>
      <c r="P14" s="25">
        <v>41943</v>
      </c>
      <c r="Q14" s="25">
        <v>42299</v>
      </c>
      <c r="T14" s="94" t="s">
        <v>61</v>
      </c>
      <c r="U14" s="12">
        <v>42306</v>
      </c>
    </row>
    <row r="15" spans="2:48" ht="25.5">
      <c r="B15" s="93">
        <v>126</v>
      </c>
      <c r="C15" s="94" t="s">
        <v>62</v>
      </c>
      <c r="D15" s="19">
        <v>6</v>
      </c>
      <c r="E15" s="25">
        <v>41996</v>
      </c>
      <c r="F15" s="25">
        <v>42025</v>
      </c>
      <c r="H15" s="25">
        <v>42025</v>
      </c>
      <c r="I15" s="92" t="s">
        <v>73</v>
      </c>
      <c r="J15" s="25">
        <v>42008</v>
      </c>
      <c r="K15" s="25">
        <v>42027</v>
      </c>
      <c r="L15" s="25">
        <v>42067</v>
      </c>
      <c r="M15" s="25">
        <v>42118</v>
      </c>
      <c r="N15" s="25">
        <v>42116</v>
      </c>
      <c r="O15" s="25">
        <v>42026</v>
      </c>
      <c r="P15" s="25">
        <v>42027</v>
      </c>
      <c r="Q15" s="25">
        <v>42361</v>
      </c>
      <c r="T15" s="94" t="s">
        <v>61</v>
      </c>
      <c r="U15" s="12">
        <v>42306</v>
      </c>
    </row>
    <row r="16" spans="2:48" ht="25.5">
      <c r="B16" s="93">
        <v>126</v>
      </c>
      <c r="C16" s="94" t="s">
        <v>62</v>
      </c>
      <c r="D16" s="19">
        <v>7</v>
      </c>
      <c r="E16" s="25">
        <v>42019</v>
      </c>
      <c r="F16" s="25">
        <v>42025</v>
      </c>
      <c r="H16" s="25">
        <v>42025</v>
      </c>
      <c r="I16" s="92" t="s">
        <v>73</v>
      </c>
      <c r="J16" s="25">
        <v>42031</v>
      </c>
      <c r="K16" s="25">
        <v>42046</v>
      </c>
      <c r="L16" s="25">
        <v>42090</v>
      </c>
      <c r="M16" s="25">
        <v>42090</v>
      </c>
      <c r="N16" s="25">
        <v>42139</v>
      </c>
      <c r="Q16" s="25">
        <v>42384</v>
      </c>
      <c r="T16" s="94" t="s">
        <v>61</v>
      </c>
      <c r="U16" s="12">
        <v>42306</v>
      </c>
    </row>
    <row r="17" spans="2:21" ht="25.5">
      <c r="B17" s="93">
        <v>126</v>
      </c>
      <c r="C17" s="94" t="s">
        <v>62</v>
      </c>
      <c r="D17" s="19">
        <v>8</v>
      </c>
      <c r="I17" s="92" t="s">
        <v>57</v>
      </c>
      <c r="T17" s="94" t="s">
        <v>61</v>
      </c>
      <c r="U17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9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$U$12</f>
        <v>42306</v>
      </c>
      <c r="G4" s="50"/>
      <c r="H4" s="50"/>
      <c r="I4" s="34"/>
      <c r="J4" s="50"/>
      <c r="K4" s="50"/>
      <c r="L4" s="96" t="s">
        <v>17</v>
      </c>
      <c r="M4" s="63">
        <f>$B$12</f>
        <v>390</v>
      </c>
      <c r="N4" s="110" t="str">
        <f>$C$12</f>
        <v>BARTHELEMY Hugues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8" t="s">
        <v>32</v>
      </c>
      <c r="M8" s="98" t="s">
        <v>31</v>
      </c>
      <c r="N8" s="97" t="s">
        <v>33</v>
      </c>
      <c r="O8" s="97" t="s">
        <v>34</v>
      </c>
      <c r="P8" s="9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390</v>
      </c>
      <c r="C10" s="42" t="s">
        <v>82</v>
      </c>
      <c r="D10" s="19">
        <v>1</v>
      </c>
      <c r="E10" s="25">
        <v>41961</v>
      </c>
      <c r="F10" s="25">
        <v>41964</v>
      </c>
      <c r="G10" s="25">
        <v>41964</v>
      </c>
      <c r="H10" s="25">
        <v>41964</v>
      </c>
      <c r="I10" s="92" t="s">
        <v>73</v>
      </c>
      <c r="J10" s="25">
        <v>41973</v>
      </c>
      <c r="K10" s="25">
        <v>41971</v>
      </c>
      <c r="L10" s="25">
        <v>42032</v>
      </c>
      <c r="M10" s="25">
        <v>42023</v>
      </c>
      <c r="N10" s="25">
        <v>42081</v>
      </c>
      <c r="O10" s="25">
        <v>42020</v>
      </c>
      <c r="P10" s="25">
        <v>42027</v>
      </c>
      <c r="Q10" s="25">
        <v>42326</v>
      </c>
      <c r="R10" s="25"/>
      <c r="S10" s="25"/>
      <c r="T10" s="42" t="s">
        <v>81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93">
        <v>390</v>
      </c>
      <c r="C11" s="94" t="s">
        <v>82</v>
      </c>
      <c r="D11" s="19">
        <v>2</v>
      </c>
      <c r="E11" s="25">
        <v>42024</v>
      </c>
      <c r="F11" s="25">
        <v>42027</v>
      </c>
      <c r="I11" s="92" t="s">
        <v>57</v>
      </c>
      <c r="J11" s="25">
        <v>42036</v>
      </c>
      <c r="L11" s="25">
        <v>42095</v>
      </c>
      <c r="N11" s="25">
        <v>42144</v>
      </c>
      <c r="Q11" s="25">
        <v>42389</v>
      </c>
      <c r="T11" s="94" t="s">
        <v>81</v>
      </c>
      <c r="U11" s="12">
        <v>42306</v>
      </c>
    </row>
    <row r="12" spans="2:48" ht="25.5">
      <c r="B12" s="93">
        <v>390</v>
      </c>
      <c r="C12" s="94" t="s">
        <v>82</v>
      </c>
      <c r="D12" s="19">
        <v>3</v>
      </c>
      <c r="I12" s="92" t="s">
        <v>57</v>
      </c>
      <c r="T12" s="94" t="s">
        <v>81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$U$14</f>
        <v>42306</v>
      </c>
      <c r="G4" s="50"/>
      <c r="H4" s="50"/>
      <c r="I4" s="34"/>
      <c r="J4" s="50"/>
      <c r="K4" s="50"/>
      <c r="L4" s="65" t="s">
        <v>17</v>
      </c>
      <c r="M4" s="63">
        <f>$B$14</f>
        <v>128</v>
      </c>
      <c r="N4" s="110" t="str">
        <f>$C$14</f>
        <v>LEBLANC-MOSNIER Claire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128</v>
      </c>
      <c r="C10" s="42" t="s">
        <v>64</v>
      </c>
      <c r="D10" s="19">
        <v>1</v>
      </c>
      <c r="E10" s="25">
        <v>41743</v>
      </c>
      <c r="F10" s="25">
        <v>41751</v>
      </c>
      <c r="G10" s="25">
        <v>41746</v>
      </c>
      <c r="H10" s="25">
        <v>41764</v>
      </c>
      <c r="I10" s="44" t="s">
        <v>73</v>
      </c>
      <c r="J10" s="25">
        <v>41755</v>
      </c>
      <c r="K10" s="25">
        <v>41764</v>
      </c>
      <c r="L10" s="25">
        <v>41814</v>
      </c>
      <c r="M10" s="25">
        <v>41764</v>
      </c>
      <c r="N10" s="25">
        <v>41863</v>
      </c>
      <c r="O10" s="25">
        <v>41759</v>
      </c>
      <c r="P10" s="25">
        <v>41764</v>
      </c>
      <c r="Q10" s="25">
        <v>42108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43">
        <v>128</v>
      </c>
      <c r="C11" s="68" t="s">
        <v>64</v>
      </c>
      <c r="D11" s="19">
        <v>2</v>
      </c>
      <c r="E11" s="25">
        <v>41744</v>
      </c>
      <c r="F11" s="25">
        <v>41751</v>
      </c>
      <c r="G11" s="25">
        <v>41751</v>
      </c>
      <c r="H11" s="25">
        <v>41751</v>
      </c>
      <c r="I11" s="44" t="s">
        <v>73</v>
      </c>
      <c r="J11" s="25">
        <v>41756</v>
      </c>
      <c r="K11" s="25">
        <v>41758</v>
      </c>
      <c r="L11" s="25">
        <v>41815</v>
      </c>
      <c r="M11" s="25">
        <v>41814</v>
      </c>
      <c r="N11" s="25">
        <v>41864</v>
      </c>
      <c r="Q11" s="25">
        <v>42109</v>
      </c>
      <c r="T11" s="68" t="s">
        <v>63</v>
      </c>
      <c r="U11" s="12">
        <v>42306</v>
      </c>
    </row>
    <row r="12" spans="2:48" ht="15.75" customHeight="1">
      <c r="B12" s="43">
        <v>128</v>
      </c>
      <c r="C12" s="68" t="s">
        <v>64</v>
      </c>
      <c r="D12" s="19">
        <v>3</v>
      </c>
      <c r="E12" s="25">
        <v>41778</v>
      </c>
      <c r="F12" s="25">
        <v>41780</v>
      </c>
      <c r="G12" s="25">
        <v>41780</v>
      </c>
      <c r="H12" s="25">
        <v>41780</v>
      </c>
      <c r="I12" s="44" t="s">
        <v>73</v>
      </c>
      <c r="J12" s="25">
        <v>41790</v>
      </c>
      <c r="K12" s="25">
        <v>41792</v>
      </c>
      <c r="L12" s="25">
        <v>41849</v>
      </c>
      <c r="M12" s="25">
        <v>41883</v>
      </c>
      <c r="N12" s="25">
        <v>41898</v>
      </c>
      <c r="Q12" s="25">
        <v>42143</v>
      </c>
      <c r="T12" s="68" t="s">
        <v>63</v>
      </c>
      <c r="U12" s="12">
        <v>42306</v>
      </c>
    </row>
    <row r="13" spans="2:48" ht="25.5">
      <c r="B13" s="69">
        <v>128</v>
      </c>
      <c r="C13" s="70" t="s">
        <v>64</v>
      </c>
      <c r="D13" s="19">
        <v>4</v>
      </c>
      <c r="E13" s="25">
        <v>41913</v>
      </c>
      <c r="F13" s="25">
        <v>41915</v>
      </c>
      <c r="G13" s="25">
        <v>41915</v>
      </c>
      <c r="H13" s="25">
        <v>41915</v>
      </c>
      <c r="I13" s="44" t="s">
        <v>73</v>
      </c>
      <c r="J13" s="25">
        <v>41925</v>
      </c>
      <c r="K13" s="25">
        <v>41925</v>
      </c>
      <c r="L13" s="25">
        <v>41984</v>
      </c>
      <c r="M13" s="25">
        <v>41968</v>
      </c>
      <c r="N13" s="25">
        <v>42033</v>
      </c>
      <c r="Q13" s="25">
        <v>42278</v>
      </c>
      <c r="T13" s="70" t="s">
        <v>63</v>
      </c>
      <c r="U13" s="12">
        <v>42306</v>
      </c>
    </row>
    <row r="14" spans="2:48" ht="25.5">
      <c r="B14" s="69">
        <v>128</v>
      </c>
      <c r="C14" s="70" t="s">
        <v>64</v>
      </c>
      <c r="D14" s="19">
        <v>5</v>
      </c>
      <c r="I14" s="44" t="s">
        <v>57</v>
      </c>
      <c r="T14" s="70" t="s">
        <v>63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1:AV17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80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$U$17</f>
        <v>42306</v>
      </c>
      <c r="G4" s="50"/>
      <c r="H4" s="50"/>
      <c r="I4" s="34"/>
      <c r="J4" s="50"/>
      <c r="K4" s="50"/>
      <c r="L4" s="81" t="s">
        <v>17</v>
      </c>
      <c r="M4" s="63">
        <f>$B$17</f>
        <v>363</v>
      </c>
      <c r="N4" s="110" t="str">
        <f>$C$17</f>
        <v>MARX Claude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3" t="s">
        <v>32</v>
      </c>
      <c r="M8" s="83" t="s">
        <v>31</v>
      </c>
      <c r="N8" s="82" t="s">
        <v>33</v>
      </c>
      <c r="O8" s="82" t="s">
        <v>34</v>
      </c>
      <c r="P8" s="82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363</v>
      </c>
      <c r="C10" s="42" t="s">
        <v>70</v>
      </c>
      <c r="D10" s="19">
        <v>1</v>
      </c>
      <c r="E10" s="25">
        <v>41817</v>
      </c>
      <c r="F10" s="25">
        <v>41912</v>
      </c>
      <c r="G10" s="25">
        <v>41947</v>
      </c>
      <c r="H10" s="25"/>
      <c r="I10" s="44" t="s">
        <v>57</v>
      </c>
      <c r="J10" s="25">
        <v>41829</v>
      </c>
      <c r="K10" s="25"/>
      <c r="L10" s="25">
        <v>41888</v>
      </c>
      <c r="M10" s="25"/>
      <c r="N10" s="25">
        <v>41937</v>
      </c>
      <c r="O10" s="25">
        <v>41907</v>
      </c>
      <c r="P10" s="25">
        <v>41912</v>
      </c>
      <c r="Q10" s="25">
        <v>42182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90">
        <v>363</v>
      </c>
      <c r="C11" s="91" t="s">
        <v>70</v>
      </c>
      <c r="D11" s="19">
        <v>2</v>
      </c>
      <c r="E11" s="25">
        <v>41880</v>
      </c>
      <c r="F11" s="25">
        <v>41912</v>
      </c>
      <c r="I11" s="92" t="s">
        <v>57</v>
      </c>
      <c r="J11" s="25">
        <v>41892</v>
      </c>
      <c r="L11" s="25">
        <v>41951</v>
      </c>
      <c r="N11" s="25">
        <v>42000</v>
      </c>
      <c r="Q11" s="25">
        <v>42245</v>
      </c>
      <c r="T11" s="91" t="s">
        <v>69</v>
      </c>
      <c r="U11" s="12">
        <v>42306</v>
      </c>
    </row>
    <row r="12" spans="2:48" ht="15.75" customHeight="1">
      <c r="B12" s="90">
        <v>363</v>
      </c>
      <c r="C12" s="91" t="s">
        <v>70</v>
      </c>
      <c r="D12" s="19">
        <v>3</v>
      </c>
      <c r="E12" s="25">
        <v>41891</v>
      </c>
      <c r="F12" s="25">
        <v>41912</v>
      </c>
      <c r="I12" s="92" t="s">
        <v>57</v>
      </c>
      <c r="J12" s="25">
        <v>41903</v>
      </c>
      <c r="L12" s="25">
        <v>41962</v>
      </c>
      <c r="N12" s="25">
        <v>42011</v>
      </c>
      <c r="Q12" s="25">
        <v>42256</v>
      </c>
      <c r="T12" s="91" t="s">
        <v>69</v>
      </c>
      <c r="U12" s="12">
        <v>42306</v>
      </c>
    </row>
    <row r="13" spans="2:48" ht="25.5">
      <c r="B13" s="93">
        <v>363</v>
      </c>
      <c r="C13" s="94" t="s">
        <v>70</v>
      </c>
      <c r="D13" s="19">
        <v>4</v>
      </c>
      <c r="F13" s="25">
        <v>41918</v>
      </c>
      <c r="I13" s="92" t="s">
        <v>57</v>
      </c>
      <c r="T13" s="94" t="s">
        <v>69</v>
      </c>
      <c r="U13" s="12">
        <v>42306</v>
      </c>
    </row>
    <row r="14" spans="2:48" ht="25.5">
      <c r="B14" s="93">
        <v>363</v>
      </c>
      <c r="C14" s="94" t="s">
        <v>70</v>
      </c>
      <c r="D14" s="19">
        <v>5</v>
      </c>
      <c r="E14" s="25">
        <v>41914</v>
      </c>
      <c r="F14" s="25">
        <v>41918</v>
      </c>
      <c r="I14" s="92" t="s">
        <v>57</v>
      </c>
      <c r="J14" s="25">
        <v>41926</v>
      </c>
      <c r="L14" s="25">
        <v>41985</v>
      </c>
      <c r="N14" s="25">
        <v>42034</v>
      </c>
      <c r="Q14" s="25">
        <v>42279</v>
      </c>
      <c r="T14" s="94" t="s">
        <v>69</v>
      </c>
      <c r="U14" s="12">
        <v>42306</v>
      </c>
    </row>
    <row r="15" spans="2:48" ht="25.5">
      <c r="B15" s="93">
        <v>363</v>
      </c>
      <c r="C15" s="94" t="s">
        <v>70</v>
      </c>
      <c r="D15" s="19">
        <v>6</v>
      </c>
      <c r="E15" s="25">
        <v>41960</v>
      </c>
      <c r="F15" s="25">
        <v>41962</v>
      </c>
      <c r="I15" s="92" t="s">
        <v>57</v>
      </c>
      <c r="J15" s="25">
        <v>41972</v>
      </c>
      <c r="L15" s="25">
        <v>42031</v>
      </c>
      <c r="N15" s="25">
        <v>42080</v>
      </c>
      <c r="Q15" s="25">
        <v>42325</v>
      </c>
      <c r="T15" s="94" t="s">
        <v>69</v>
      </c>
      <c r="U15" s="12">
        <v>42306</v>
      </c>
    </row>
    <row r="16" spans="2:48" ht="25.5">
      <c r="B16" s="93">
        <v>363</v>
      </c>
      <c r="C16" s="94" t="s">
        <v>70</v>
      </c>
      <c r="D16" s="19">
        <v>7</v>
      </c>
      <c r="E16" s="25">
        <v>41960</v>
      </c>
      <c r="F16" s="25">
        <v>41962</v>
      </c>
      <c r="I16" s="92" t="s">
        <v>57</v>
      </c>
      <c r="J16" s="25">
        <v>41972</v>
      </c>
      <c r="L16" s="25">
        <v>42031</v>
      </c>
      <c r="N16" s="25">
        <v>42080</v>
      </c>
      <c r="Q16" s="25">
        <v>42325</v>
      </c>
      <c r="T16" s="94" t="s">
        <v>69</v>
      </c>
      <c r="U16" s="12">
        <v>42306</v>
      </c>
    </row>
    <row r="17" spans="2:21" ht="25.5">
      <c r="B17" s="93">
        <v>363</v>
      </c>
      <c r="C17" s="94" t="s">
        <v>70</v>
      </c>
      <c r="D17" s="19">
        <v>8</v>
      </c>
      <c r="F17" s="25">
        <v>41981</v>
      </c>
      <c r="I17" s="92" t="s">
        <v>57</v>
      </c>
      <c r="T17" s="94" t="s">
        <v>69</v>
      </c>
      <c r="U17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1:AV12"/>
  <sheetViews>
    <sheetView workbookViewId="0">
      <selection activeCell="G21" sqref="G21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8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$U$12</f>
        <v>42306</v>
      </c>
      <c r="G4" s="50"/>
      <c r="H4" s="50"/>
      <c r="I4" s="34"/>
      <c r="J4" s="50"/>
      <c r="K4" s="50"/>
      <c r="L4" s="85" t="s">
        <v>17</v>
      </c>
      <c r="M4" s="63">
        <f>$B$12</f>
        <v>376</v>
      </c>
      <c r="N4" s="110" t="str">
        <f>$C$12</f>
        <v>OUTTAS Omar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7" t="s">
        <v>32</v>
      </c>
      <c r="M8" s="87" t="s">
        <v>31</v>
      </c>
      <c r="N8" s="86" t="s">
        <v>33</v>
      </c>
      <c r="O8" s="86" t="s">
        <v>34</v>
      </c>
      <c r="P8" s="8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376</v>
      </c>
      <c r="C10" s="42" t="s">
        <v>72</v>
      </c>
      <c r="D10" s="19">
        <v>1</v>
      </c>
      <c r="E10" s="25">
        <v>41897</v>
      </c>
      <c r="F10" s="25">
        <v>41907</v>
      </c>
      <c r="G10" s="25"/>
      <c r="H10" s="25">
        <v>41907</v>
      </c>
      <c r="I10" s="44" t="s">
        <v>74</v>
      </c>
      <c r="J10" s="25">
        <v>41909</v>
      </c>
      <c r="K10" s="25">
        <v>41907</v>
      </c>
      <c r="L10" s="25">
        <v>41968</v>
      </c>
      <c r="M10" s="25">
        <v>41962</v>
      </c>
      <c r="N10" s="25">
        <v>42017</v>
      </c>
      <c r="O10" s="25">
        <v>41946</v>
      </c>
      <c r="P10" s="25">
        <v>41955</v>
      </c>
      <c r="Q10" s="25">
        <v>42262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7.25" customHeight="1">
      <c r="B11" s="90">
        <v>376</v>
      </c>
      <c r="C11" s="91" t="s">
        <v>72</v>
      </c>
      <c r="D11" s="19">
        <v>2</v>
      </c>
      <c r="E11" s="25">
        <v>41898</v>
      </c>
      <c r="F11" s="25">
        <v>41907</v>
      </c>
      <c r="H11" s="25">
        <v>41907</v>
      </c>
      <c r="I11" s="92" t="s">
        <v>77</v>
      </c>
      <c r="J11" s="25">
        <v>41910</v>
      </c>
      <c r="K11" s="25">
        <v>41919</v>
      </c>
      <c r="L11" s="25">
        <v>41969</v>
      </c>
      <c r="M11" s="25">
        <v>41981</v>
      </c>
      <c r="N11" s="25">
        <v>42018</v>
      </c>
      <c r="O11" s="25">
        <v>42004</v>
      </c>
      <c r="P11" s="25">
        <v>42013</v>
      </c>
      <c r="Q11" s="25">
        <v>42263</v>
      </c>
      <c r="T11" s="91" t="s">
        <v>71</v>
      </c>
      <c r="U11" s="12">
        <v>42306</v>
      </c>
    </row>
    <row r="12" spans="2:48" ht="15.75" customHeight="1">
      <c r="B12" s="90">
        <v>376</v>
      </c>
      <c r="C12" s="91" t="s">
        <v>72</v>
      </c>
      <c r="D12" s="19">
        <v>3</v>
      </c>
      <c r="E12" s="25">
        <v>41915</v>
      </c>
      <c r="F12" s="25">
        <v>41922</v>
      </c>
      <c r="G12" s="25">
        <v>41922</v>
      </c>
      <c r="H12" s="25">
        <v>41922</v>
      </c>
      <c r="I12" s="92" t="s">
        <v>83</v>
      </c>
      <c r="J12" s="25">
        <v>41927</v>
      </c>
      <c r="K12" s="25">
        <v>41939</v>
      </c>
      <c r="L12" s="25">
        <v>41986</v>
      </c>
      <c r="M12" s="25">
        <v>41970</v>
      </c>
      <c r="N12" s="25">
        <v>42035</v>
      </c>
      <c r="O12" s="25">
        <v>41988</v>
      </c>
      <c r="P12" s="25">
        <v>41992</v>
      </c>
      <c r="Q12" s="25">
        <v>42280</v>
      </c>
      <c r="T12" s="91" t="s">
        <v>71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125</v>
      </c>
      <c r="N4" s="110" t="str">
        <f>$C$12</f>
        <v>RIVIERE Claude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125</v>
      </c>
      <c r="C10" s="42" t="s">
        <v>66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43">
        <v>125</v>
      </c>
      <c r="C11" s="68" t="s">
        <v>66</v>
      </c>
      <c r="D11" s="19">
        <v>2</v>
      </c>
      <c r="I11" s="44" t="s">
        <v>57</v>
      </c>
      <c r="T11" s="68" t="s">
        <v>65</v>
      </c>
      <c r="U11" s="12">
        <v>42306</v>
      </c>
    </row>
    <row r="12" spans="2:48" ht="16.5" customHeight="1">
      <c r="B12" s="43">
        <v>125</v>
      </c>
      <c r="C12" s="68" t="s">
        <v>66</v>
      </c>
      <c r="D12" s="19">
        <v>3</v>
      </c>
      <c r="I12" s="44" t="s">
        <v>57</v>
      </c>
      <c r="T12" s="68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B1:AV14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07" t="s">
        <v>16</v>
      </c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09"/>
      <c r="M3" s="109"/>
      <c r="N3" s="109"/>
      <c r="O3" s="75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22" t="s">
        <v>58</v>
      </c>
      <c r="E4" s="122"/>
      <c r="F4" s="53">
        <f>$U$14</f>
        <v>42306</v>
      </c>
      <c r="G4" s="50"/>
      <c r="H4" s="50"/>
      <c r="I4" s="34"/>
      <c r="J4" s="50"/>
      <c r="K4" s="50"/>
      <c r="L4" s="76" t="s">
        <v>17</v>
      </c>
      <c r="M4" s="63">
        <f>$B$14</f>
        <v>347</v>
      </c>
      <c r="N4" s="110" t="str">
        <f>$C$14</f>
        <v>TISSERAND Eric</v>
      </c>
      <c r="O4" s="110"/>
      <c r="P4" s="110"/>
      <c r="Q4" s="110"/>
      <c r="R4" s="110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1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13" t="s">
        <v>19</v>
      </c>
      <c r="F7" s="114"/>
      <c r="G7" s="114"/>
      <c r="H7" s="114"/>
      <c r="I7" s="114"/>
      <c r="J7" s="115" t="s">
        <v>20</v>
      </c>
      <c r="K7" s="116"/>
      <c r="L7" s="117" t="s">
        <v>21</v>
      </c>
      <c r="M7" s="117"/>
      <c r="N7" s="118" t="s">
        <v>22</v>
      </c>
      <c r="O7" s="119"/>
      <c r="P7" s="120"/>
      <c r="Q7" s="121" t="s">
        <v>23</v>
      </c>
      <c r="R7" s="119"/>
      <c r="S7" s="120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8" t="s">
        <v>32</v>
      </c>
      <c r="M8" s="78" t="s">
        <v>31</v>
      </c>
      <c r="N8" s="77" t="s">
        <v>33</v>
      </c>
      <c r="O8" s="77" t="s">
        <v>34</v>
      </c>
      <c r="P8" s="77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347</v>
      </c>
      <c r="C10" s="42" t="s">
        <v>68</v>
      </c>
      <c r="D10" s="19">
        <v>1</v>
      </c>
      <c r="E10" s="25">
        <v>41829</v>
      </c>
      <c r="F10" s="25">
        <v>41831</v>
      </c>
      <c r="G10" s="25">
        <v>41831</v>
      </c>
      <c r="H10" s="25">
        <v>41835</v>
      </c>
      <c r="I10" s="44" t="s">
        <v>74</v>
      </c>
      <c r="J10" s="25">
        <v>41841</v>
      </c>
      <c r="K10" s="25">
        <v>41841</v>
      </c>
      <c r="L10" s="25">
        <v>41900</v>
      </c>
      <c r="M10" s="25">
        <v>41894</v>
      </c>
      <c r="N10" s="25">
        <v>41949</v>
      </c>
      <c r="O10" s="25"/>
      <c r="P10" s="25"/>
      <c r="Q10" s="25">
        <v>42194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8" customHeight="1">
      <c r="B11" s="88">
        <v>347</v>
      </c>
      <c r="C11" s="89" t="s">
        <v>68</v>
      </c>
      <c r="D11" s="19">
        <v>2</v>
      </c>
      <c r="E11" s="25">
        <v>41878</v>
      </c>
      <c r="F11" s="25">
        <v>41894</v>
      </c>
      <c r="G11" s="25">
        <v>41884</v>
      </c>
      <c r="H11" s="25">
        <v>41884</v>
      </c>
      <c r="I11" s="44" t="s">
        <v>76</v>
      </c>
      <c r="J11" s="25">
        <v>41890</v>
      </c>
      <c r="K11" s="25">
        <v>41918</v>
      </c>
      <c r="L11" s="25">
        <v>41949</v>
      </c>
      <c r="M11" s="25">
        <v>41976</v>
      </c>
      <c r="N11" s="25">
        <v>41998</v>
      </c>
      <c r="Q11" s="25">
        <v>42243</v>
      </c>
      <c r="T11" s="89" t="s">
        <v>67</v>
      </c>
      <c r="U11" s="12">
        <v>42306</v>
      </c>
    </row>
    <row r="12" spans="2:48" ht="16.5" customHeight="1">
      <c r="B12" s="88">
        <v>347</v>
      </c>
      <c r="C12" s="89" t="s">
        <v>68</v>
      </c>
      <c r="D12" s="19">
        <v>3</v>
      </c>
      <c r="E12" s="25">
        <v>41892</v>
      </c>
      <c r="F12" s="25">
        <v>41894</v>
      </c>
      <c r="H12" s="25">
        <v>41894</v>
      </c>
      <c r="I12" s="92" t="s">
        <v>74</v>
      </c>
      <c r="J12" s="25">
        <v>41904</v>
      </c>
      <c r="K12" s="25">
        <v>41955</v>
      </c>
      <c r="L12" s="25">
        <v>41963</v>
      </c>
      <c r="M12" s="25">
        <v>41955</v>
      </c>
      <c r="N12" s="25">
        <v>42012</v>
      </c>
      <c r="Q12" s="25">
        <v>42257</v>
      </c>
      <c r="T12" s="89" t="s">
        <v>67</v>
      </c>
      <c r="U12" s="12">
        <v>42306</v>
      </c>
    </row>
    <row r="13" spans="2:48" ht="25.5">
      <c r="B13" s="93">
        <v>347</v>
      </c>
      <c r="C13" s="94" t="s">
        <v>68</v>
      </c>
      <c r="D13" s="19">
        <v>4</v>
      </c>
      <c r="E13" s="25">
        <v>41904</v>
      </c>
      <c r="F13" s="25">
        <v>41905</v>
      </c>
      <c r="G13" s="25">
        <v>41905</v>
      </c>
      <c r="H13" s="25">
        <v>41905</v>
      </c>
      <c r="I13" s="92" t="s">
        <v>83</v>
      </c>
      <c r="J13" s="25">
        <v>41916</v>
      </c>
      <c r="K13" s="25">
        <v>41914</v>
      </c>
      <c r="L13" s="25">
        <v>41975</v>
      </c>
      <c r="M13" s="25">
        <v>41974</v>
      </c>
      <c r="N13" s="25">
        <v>42024</v>
      </c>
      <c r="Q13" s="25">
        <v>42269</v>
      </c>
      <c r="T13" s="94" t="s">
        <v>67</v>
      </c>
      <c r="U13" s="12">
        <v>42306</v>
      </c>
    </row>
    <row r="14" spans="2:48" ht="25.5">
      <c r="B14" s="93">
        <v>347</v>
      </c>
      <c r="C14" s="94" t="s">
        <v>68</v>
      </c>
      <c r="D14" s="19">
        <v>5</v>
      </c>
      <c r="I14" s="92" t="s">
        <v>57</v>
      </c>
      <c r="T14" s="94" t="s">
        <v>67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Secteur DE0205</vt:lpstr>
      <vt:lpstr>00437185</vt:lpstr>
      <vt:lpstr>00520345</vt:lpstr>
      <vt:lpstr>05512773</vt:lpstr>
      <vt:lpstr>06206028</vt:lpstr>
      <vt:lpstr>06980506</vt:lpstr>
      <vt:lpstr>07902441</vt:lpstr>
      <vt:lpstr>08856575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2015-10-29T22:02:00Z</dcterms:modified>
</cp:coreProperties>
</file>