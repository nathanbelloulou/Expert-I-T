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102" sheetId="1" r:id="rId1"/>
    <sheet name="03849536" sheetId="12" r:id="rId2"/>
    <sheet name="04466739" sheetId="2" r:id="rId3"/>
    <sheet name="02003633" sheetId="3" r:id="rId4"/>
    <sheet name="02884437" sheetId="11" r:id="rId5"/>
    <sheet name="03670485" sheetId="4" r:id="rId6"/>
    <sheet name="04534873" sheetId="5" r:id="rId7"/>
    <sheet name="05692287" sheetId="6" r:id="rId8"/>
    <sheet name="06667240" sheetId="7" r:id="rId9"/>
    <sheet name="07396034" sheetId="8" r:id="rId10"/>
    <sheet name="07854378" sheetId="9" r:id="rId11"/>
    <sheet name="08074019" sheetId="10" r:id="rId12"/>
    <sheet name="09106055" sheetId="13" r:id="rId13"/>
  </sheets>
  <definedNames>
    <definedName name="Lancer_la_requête_à_partir_de_MS_Access_Database" localSheetId="3" hidden="1">'02003633'!$B$9:$U$14</definedName>
    <definedName name="Lancer_la_requête_à_partir_de_MS_Access_Database" localSheetId="4" hidden="1">'02884437'!$B$9:$U$12</definedName>
    <definedName name="Lancer_la_requête_à_partir_de_MS_Access_Database" localSheetId="5" hidden="1">'03670485'!$B$9:$U$12</definedName>
    <definedName name="Lancer_la_requête_à_partir_de_MS_Access_Database" localSheetId="1" hidden="1">'03849536'!$B$9:$U$12</definedName>
    <definedName name="Lancer_la_requête_à_partir_de_MS_Access_Database" localSheetId="2" hidden="1">'04466739'!$B$9:$U$12</definedName>
    <definedName name="Lancer_la_requête_à_partir_de_MS_Access_Database" localSheetId="6" hidden="1">'04534873'!$B$9:$U$12</definedName>
    <definedName name="Lancer_la_requête_à_partir_de_MS_Access_Database" localSheetId="7" hidden="1">'05692287'!$B$9:$U$12</definedName>
    <definedName name="Lancer_la_requête_à_partir_de_MS_Access_Database" localSheetId="8" hidden="1">'06667240'!$B$9:$U$14</definedName>
    <definedName name="Lancer_la_requête_à_partir_de_MS_Access_Database" localSheetId="9" hidden="1">'07396034'!$B$9:$U$14</definedName>
    <definedName name="Lancer_la_requête_à_partir_de_MS_Access_Database" localSheetId="10" hidden="1">'07854378'!$B$9:$U$14</definedName>
    <definedName name="Lancer_la_requête_à_partir_de_MS_Access_Database" localSheetId="11" hidden="1">'08074019'!$B$9:$U$12</definedName>
    <definedName name="Lancer_la_requête_à_partir_de_MS_Access_Database" localSheetId="12" hidden="1">'09106055'!$B$9:$U$12</definedName>
    <definedName name="Lancer_la_requête_à_partir_de_MS_Access_Database_1" localSheetId="0" hidden="1">'Secteur DE0102'!$A$7:$K$19</definedName>
  </definedNames>
  <calcPr calcId="125725"/>
</workbook>
</file>

<file path=xl/calcChain.xml><?xml version="1.0" encoding="utf-8"?>
<calcChain xmlns="http://schemas.openxmlformats.org/spreadsheetml/2006/main">
  <c r="D20" i="1"/>
  <c r="E20"/>
  <c r="F20"/>
  <c r="G20"/>
  <c r="H20"/>
  <c r="I20"/>
  <c r="N4" i="13"/>
  <c r="M4"/>
  <c r="F4"/>
  <c r="N4" i="12"/>
  <c r="M4"/>
  <c r="F4"/>
  <c r="N4" i="11"/>
  <c r="M4"/>
  <c r="F4"/>
  <c r="N4" i="10" l="1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 l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102')_x000d__x000a_ORDER BY Req_REPORT_SECTEURS_GLOBAL.Medecin"/>
  </connection>
  <connection id="2" name="Lancer la requête à partir de MS Access Database00910605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106055')"/>
  </connection>
  <connection id="3" name="Lancer la requête à partir de MS Access Database0200363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003633')"/>
  </connection>
  <connection id="4" name="Lancer la requête à partir de MS Access Database0288443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884437')"/>
  </connection>
  <connection id="5" name="Lancer la requête à partir de MS Access Database0367048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670485')"/>
  </connection>
  <connection id="6" name="Lancer la requête à partir de MS Access Database0384953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849536')"/>
  </connection>
  <connection id="7" name="Lancer la requête à partir de MS Access Database0446673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466739')"/>
  </connection>
  <connection id="8" name="Lancer la requête à partir de MS Access Database0453487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534873')"/>
  </connection>
  <connection id="9" name="Lancer la requête à partir de MS Access Database0569228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692287')"/>
  </connection>
  <connection id="10" name="Lancer la requête à partir de MS Access Database0666724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667240')"/>
  </connection>
  <connection id="11" name="Lancer la requête à partir de MS Access Database0739603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396034')"/>
  </connection>
  <connection id="12" name="Lancer la requête à partir de MS Access Database0785437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854378')"/>
  </connection>
  <connection id="13" name="Lancer la requête à partir de MS Access Database0807401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074019')"/>
  </connection>
</connections>
</file>

<file path=xl/sharedStrings.xml><?xml version="1.0" encoding="utf-8"?>
<sst xmlns="http://schemas.openxmlformats.org/spreadsheetml/2006/main" count="758" uniqueCount="107">
  <si>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</si>
  <si>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</si>
  <si>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</si>
  <si>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</si>
  <si>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</si>
  <si>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</si>
  <si>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</si>
  <si>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</si>
  <si>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</si>
  <si>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</si>
  <si>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</si>
  <si>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</si>
  <si>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</si>
  <si>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</si>
  <si>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</si>
  <si>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</si>
  <si>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</si>
  <si>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</si>
  <si>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</si>
  <si>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</si>
  <si>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</si>
  <si>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</si>
  <si>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</si>
  <si>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</si>
  <si>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</si>
  <si>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</si>
  <si>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</si>
  <si>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</si>
  <si>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</si>
  <si>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</si>
  <si>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</si>
  <si>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</si>
  <si>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</si>
  <si>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</si>
  <si>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</si>
  <si>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</si>
  <si>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</si>
  <si>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</si>
  <si>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</si>
  <si>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</si>
  <si>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</si>
  <si>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</si>
  <si>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</si>
  <si>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</si>
  <si>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</si>
  <si>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</si>
  <si>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</si>
  <si>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</si>
  <si>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</si>
  <si>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</si>
  <si>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</si>
  <si>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</si>
  <si>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</si>
  <si>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</si>
  <si>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</si>
  <si>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</si>
  <si>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</si>
  <si>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</si>
  <si>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</si>
  <si>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DE0102</t>
  </si>
  <si>
    <t>VER EECKEN Anthony</t>
  </si>
  <si>
    <t>WFRM04466739</t>
  </si>
  <si>
    <t>DELDALLE Marie</t>
  </si>
  <si>
    <t>WFRM02003633</t>
  </si>
  <si>
    <t>DELESALLE Franck</t>
  </si>
  <si>
    <t>WFRM03670485</t>
  </si>
  <si>
    <t>FRECAUT Françoise</t>
  </si>
  <si>
    <t>WFRM04534873</t>
  </si>
  <si>
    <t>HENNEQUART Carole</t>
  </si>
  <si>
    <t>WFRM05692287</t>
  </si>
  <si>
    <t>LEPLAT Jean</t>
  </si>
  <si>
    <t>WFRM06667240</t>
  </si>
  <si>
    <t>MORTIER Laurent</t>
  </si>
  <si>
    <t>WFRM07396034</t>
  </si>
  <si>
    <t>PLANTIER Daniel</t>
  </si>
  <si>
    <t>WFRM07854378</t>
  </si>
  <si>
    <t>RICHE Françoise</t>
  </si>
  <si>
    <t>WFRM08074019</t>
  </si>
  <si>
    <t>ROUMAZEILLE Anne-Marguerite</t>
  </si>
  <si>
    <t>Mail du 05 mai: souhaite avoir 2 nouveaux cahiers. OK envoyé ce jour.</t>
  </si>
  <si>
    <t>WFRM02884437</t>
  </si>
  <si>
    <t>DEVILLERS LAMERAND Catherine</t>
  </si>
  <si>
    <t>20juin:souhaite 2 nouveaux cahiers=&gt; Ok part ce jour</t>
  </si>
  <si>
    <t>20juin:1 inclusion il ya 2 jours. Elle a bien demander au patient d'adresser le questionnaire d'inclusion. Rappel de nous renvoyer le questionnaire complété. Pas d'autre patient en vue: raison: contexte climatique</t>
  </si>
  <si>
    <t>01juillet: ne souhaite pas faire plus de patient , part en vacances puis se fait opérer.</t>
  </si>
  <si>
    <t>SMS</t>
  </si>
  <si>
    <t>Courrier - Téléphone - Via médecin</t>
  </si>
  <si>
    <t>SMS - Courrier - Téléphone</t>
  </si>
  <si>
    <t>Mail</t>
  </si>
  <si>
    <t>Courrier</t>
  </si>
  <si>
    <t>Courrier - Via médecin</t>
  </si>
  <si>
    <t>SMS - Via médecin</t>
  </si>
  <si>
    <t>SMS - Courrier</t>
  </si>
  <si>
    <t>SMS - Courrier - Via médecin</t>
  </si>
  <si>
    <t>Courrier 05/08: demande envoi visite inclusion patient 3</t>
  </si>
  <si>
    <t>05sept: Le Dr vient de revoir le patient 1 pour son suivi précoce et pense pouvoir en inclure d'autres d'ici fin octobre.</t>
  </si>
  <si>
    <t>Via médecin</t>
  </si>
  <si>
    <t>Mail - Courrier</t>
  </si>
  <si>
    <t>WFRM03849536</t>
  </si>
  <si>
    <t>COTTENCIN CHARRIERE Anne-Caroline</t>
  </si>
  <si>
    <t>WFRM09106055</t>
  </si>
  <si>
    <t>06nov:ne souhaite pas ajouter de nouveaux patients à l'étude</t>
  </si>
  <si>
    <t>Téléphone</t>
  </si>
  <si>
    <t>24nov: n'a pas oublié l'étude. N'a pas eu l'occasion de prescrire du PICATO.</t>
  </si>
  <si>
    <t>Reste 2 patients à inclure</t>
  </si>
  <si>
    <t>Colonne1</t>
  </si>
  <si>
    <t>VELLY-MORES Francine</t>
  </si>
</sst>
</file>

<file path=xl/styles.xml><?xml version="1.0" encoding="utf-8"?>
<styleSheet xmlns="http://schemas.openxmlformats.org/spreadsheetml/2006/main">
  <numFmts count="1">
    <numFmt numFmtId="164" formatCode="dd/mm/yy;@"/>
  </numFmts>
  <fonts count="27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4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2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18" fillId="2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26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8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82"/>
      <tableStyleElement type="headerRow" dxfId="281"/>
      <tableStyleElement type="totalRow" dxfId="280"/>
      <tableStyleElement type="firstColumn" dxfId="279"/>
      <tableStyleElement type="lastColumn" dxfId="278"/>
      <tableStyleElement type="firstRowStripe" dxfId="277"/>
      <tableStyleElement type="secondRowStripe" dxfId="276"/>
      <tableStyleElement type="firstColumnStripe" dxfId="275"/>
      <tableStyleElement type="secondColumnStripe" dxfId="274"/>
    </tableStyle>
    <tableStyle name="TableStyleLight8 2" pivot="0" count="9">
      <tableStyleElement type="wholeTable" dxfId="273"/>
      <tableStyleElement type="headerRow" dxfId="272"/>
      <tableStyleElement type="totalRow" dxfId="271"/>
      <tableStyleElement type="firstColumn" dxfId="270"/>
      <tableStyleElement type="lastColumn" dxfId="269"/>
      <tableStyleElement type="firstRowStripe" dxfId="268"/>
      <tableStyleElement type="secondRowStripe" dxfId="267"/>
      <tableStyleElement type="firstColumnStripe" dxfId="266"/>
      <tableStyleElement type="secondColumnStripe" dxfId="26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0" tableType="queryTable" totalsRowCount="1" headerRowDxfId="264" dataDxfId="263">
  <tableColumns count="12">
    <tableColumn id="1" uniqueName="1" name="Code Secteur" queryTableFieldId="1" dataDxfId="251" totalsRowDxfId="252"/>
    <tableColumn id="2" uniqueName="2" name="VM" queryTableFieldId="2" dataDxfId="250" totalsRowDxfId="253"/>
    <tableColumn id="3" uniqueName="3" name="Code médecin" totalsRowLabel="TOTAL" queryTableFieldId="3" dataDxfId="249" totalsRowDxfId="254" dataCellStyle="Lien hypertexte"/>
    <tableColumn id="4" uniqueName="4" name="Medecin" totalsRowFunction="custom" queryTableFieldId="4" dataDxfId="248" totalsRowDxfId="255">
      <totalsRowFormula>SUBTOTAL(3,D8:D19)</totalsRowFormula>
    </tableColumn>
    <tableColumn id="5" uniqueName="5" name="Date de réception convention financière" totalsRowFunction="custom" queryTableFieldId="5" dataDxfId="247" totalsRowDxfId="256">
      <totalsRowFormula>SUBTOTAL(3,[Date de réception convention financière])</totalsRowFormula>
    </tableColumn>
    <tableColumn id="6" uniqueName="6" name="Date de réception AR kit" totalsRowFunction="custom" queryTableFieldId="6" dataDxfId="246" totalsRowDxfId="257">
      <totalsRowFormula>SUBTOTAL(3,[Date de réception AR kit])</totalsRowFormula>
    </tableColumn>
    <tableColumn id="7" uniqueName="7" name="Date de MEP" totalsRowFunction="custom" queryTableFieldId="7" dataDxfId="245" totalsRowDxfId="258">
      <totalsRowFormula>SUBTOTAL(3,[Date de MEP])</totalsRowFormula>
    </tableColumn>
    <tableColumn id="8" uniqueName="8" name="Desistement" totalsRowFunction="custom" queryTableFieldId="8" dataDxfId="244" totalsRowDxfId="259">
      <totalsRowFormula>SUBTOTAL(3,[Desistement])</totalsRowFormula>
    </tableColumn>
    <tableColumn id="9" uniqueName="9" name="Nb Total Patients inclus" totalsRowFunction="custom" queryTableFieldId="9" dataDxfId="243" totalsRowDxfId="260">
      <totalsRowFormula>SUBTOTAL(109,I8:I19)</totalsRowFormula>
    </tableColumn>
    <tableColumn id="10" uniqueName="10" name="Comptes-rendus contact médecin-GECEM" queryTableFieldId="10" dataDxfId="242" totalsRowDxfId="261"/>
    <tableColumn id="11" uniqueName="11" name="Date" queryTableFieldId="11" dataDxfId="241" totalsRowDxfId="262"/>
    <tableColumn id="12" uniqueName="12" name="Colonne1" queryTableFieldId="12" dataDxfId="24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2" name="Tableau_Lancer_la_requête_à_partir_de_MS_Access_Database13" displayName="Tableau_Lancer_la_requête_à_partir_de_MS_Access_Database13" ref="B9:U12" tableType="queryTable" totalsRowShown="0">
  <autoFilter ref="B9:U12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3" name="Tableau_Lancer_la_requête_à_partir_de_MS_Access_Database4" displayName="Tableau_Lancer_la_requête_à_partir_de_MS_Access_Database4" ref="B9:U14" tableType="queryTable" totalsRowShown="0">
  <autoFilter ref="B9:U14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11" name="Tableau_Lancer_la_requête_à_partir_de_MS_Access_Database456789101112" displayName="Tableau_Lancer_la_requête_à_partir_de_MS_Access_Database456789101112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4" tableType="queryTable" totalsRowShown="0">
  <autoFilter ref="B9:U14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4" tableType="queryTable" totalsRowShown="0">
  <autoFilter ref="B9:U14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4" tableType="queryTable" totalsRowShown="0">
  <autoFilter ref="B9:U14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10" name="Tableau_Lancer_la_requête_à_partir_de_MS_Access_Database4567891011" displayName="Tableau_Lancer_la_requête_à_partir_de_MS_Access_Database4567891011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3" name="Tableau_Lancer_la_requête_à_partir_de_MS_Access_Database456789101114" displayName="Tableau_Lancer_la_requête_à_partir_de_MS_Access_Database456789101114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2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$A$19</f>
        <v>DE0102</v>
      </c>
      <c r="G2" s="97" t="str">
        <f>$B$19</f>
        <v>VER EECKEN Anthony</v>
      </c>
      <c r="H2" s="97"/>
      <c r="I2" s="97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$K$19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105</v>
      </c>
    </row>
    <row r="8" spans="1:17" s="75" customFormat="1" ht="30">
      <c r="A8" s="75" t="s">
        <v>59</v>
      </c>
      <c r="B8" s="75" t="s">
        <v>60</v>
      </c>
      <c r="C8" s="76" t="s">
        <v>98</v>
      </c>
      <c r="D8" s="77" t="s">
        <v>99</v>
      </c>
      <c r="E8" s="16">
        <v>41921</v>
      </c>
      <c r="F8" s="16">
        <v>41928</v>
      </c>
      <c r="G8" s="16">
        <v>41925</v>
      </c>
      <c r="H8" s="16"/>
      <c r="I8" s="15">
        <v>2</v>
      </c>
      <c r="J8" s="77" t="s">
        <v>103</v>
      </c>
      <c r="K8" s="78">
        <v>42306</v>
      </c>
    </row>
    <row r="9" spans="1:17" s="75" customFormat="1">
      <c r="A9" s="75" t="s">
        <v>59</v>
      </c>
      <c r="B9" s="75" t="s">
        <v>60</v>
      </c>
      <c r="C9" s="76" t="s">
        <v>61</v>
      </c>
      <c r="D9" s="77" t="s">
        <v>62</v>
      </c>
      <c r="E9" s="16">
        <v>41701</v>
      </c>
      <c r="F9" s="16">
        <v>41754</v>
      </c>
      <c r="G9" s="16">
        <v>41753</v>
      </c>
      <c r="H9" s="16"/>
      <c r="I9" s="15">
        <v>2</v>
      </c>
      <c r="J9" s="77"/>
      <c r="K9" s="78">
        <v>42306</v>
      </c>
    </row>
    <row r="10" spans="1:17" s="75" customFormat="1" ht="30">
      <c r="A10" s="75" t="s">
        <v>59</v>
      </c>
      <c r="B10" s="75" t="s">
        <v>60</v>
      </c>
      <c r="C10" s="76" t="s">
        <v>63</v>
      </c>
      <c r="D10" s="77" t="s">
        <v>64</v>
      </c>
      <c r="E10" s="16">
        <v>41704</v>
      </c>
      <c r="F10" s="16">
        <v>41751</v>
      </c>
      <c r="G10" s="16">
        <v>41747</v>
      </c>
      <c r="H10" s="16"/>
      <c r="I10" s="15">
        <v>5</v>
      </c>
      <c r="J10" s="77" t="s">
        <v>79</v>
      </c>
      <c r="K10" s="78">
        <v>42306</v>
      </c>
    </row>
    <row r="11" spans="1:17" s="75" customFormat="1">
      <c r="A11" s="75" t="s">
        <v>59</v>
      </c>
      <c r="B11" s="75" t="s">
        <v>60</v>
      </c>
      <c r="C11" s="76" t="s">
        <v>80</v>
      </c>
      <c r="D11" s="77" t="s">
        <v>81</v>
      </c>
      <c r="E11" s="16">
        <v>41794</v>
      </c>
      <c r="F11" s="16">
        <v>41813</v>
      </c>
      <c r="G11" s="16">
        <v>41810</v>
      </c>
      <c r="H11" s="16"/>
      <c r="I11" s="15">
        <v>3</v>
      </c>
      <c r="J11" s="77" t="s">
        <v>94</v>
      </c>
      <c r="K11" s="78">
        <v>42306</v>
      </c>
    </row>
    <row r="12" spans="1:17" s="75" customFormat="1">
      <c r="A12" s="75" t="s">
        <v>59</v>
      </c>
      <c r="B12" s="75" t="s">
        <v>60</v>
      </c>
      <c r="C12" s="76" t="s">
        <v>65</v>
      </c>
      <c r="D12" s="77" t="s">
        <v>66</v>
      </c>
      <c r="E12" s="16">
        <v>41710</v>
      </c>
      <c r="F12" s="16">
        <v>41754</v>
      </c>
      <c r="G12" s="16">
        <v>41752</v>
      </c>
      <c r="H12" s="16"/>
      <c r="I12" s="15">
        <v>2</v>
      </c>
      <c r="J12" s="77"/>
      <c r="K12" s="78">
        <v>42306</v>
      </c>
    </row>
    <row r="13" spans="1:17" s="75" customFormat="1" ht="30">
      <c r="A13" s="75" t="s">
        <v>59</v>
      </c>
      <c r="B13" s="75" t="s">
        <v>60</v>
      </c>
      <c r="C13" s="76" t="s">
        <v>67</v>
      </c>
      <c r="D13" s="77" t="s">
        <v>68</v>
      </c>
      <c r="E13" s="16">
        <v>41697</v>
      </c>
      <c r="F13" s="16">
        <v>41751</v>
      </c>
      <c r="G13" s="16">
        <v>41745</v>
      </c>
      <c r="H13" s="16"/>
      <c r="I13" s="15">
        <v>3</v>
      </c>
      <c r="J13" s="77" t="s">
        <v>84</v>
      </c>
      <c r="K13" s="78">
        <v>42306</v>
      </c>
    </row>
    <row r="14" spans="1:17" s="75" customFormat="1">
      <c r="A14" s="75" t="s">
        <v>59</v>
      </c>
      <c r="B14" s="75" t="s">
        <v>60</v>
      </c>
      <c r="C14" s="76" t="s">
        <v>69</v>
      </c>
      <c r="D14" s="77" t="s">
        <v>70</v>
      </c>
      <c r="E14" s="16">
        <v>41730</v>
      </c>
      <c r="F14" s="16">
        <v>41779</v>
      </c>
      <c r="G14" s="16">
        <v>41774</v>
      </c>
      <c r="H14" s="16"/>
      <c r="I14" s="15">
        <v>3</v>
      </c>
      <c r="J14" s="77" t="s">
        <v>101</v>
      </c>
      <c r="K14" s="78">
        <v>42306</v>
      </c>
    </row>
    <row r="15" spans="1:17" s="75" customFormat="1">
      <c r="A15" s="75" t="s">
        <v>59</v>
      </c>
      <c r="B15" s="75" t="s">
        <v>60</v>
      </c>
      <c r="C15" s="76" t="s">
        <v>71</v>
      </c>
      <c r="D15" s="77" t="s">
        <v>72</v>
      </c>
      <c r="E15" s="16">
        <v>41722</v>
      </c>
      <c r="F15" s="16">
        <v>41751</v>
      </c>
      <c r="G15" s="16">
        <v>41747</v>
      </c>
      <c r="H15" s="16"/>
      <c r="I15" s="15">
        <v>5</v>
      </c>
      <c r="J15" s="77"/>
      <c r="K15" s="78">
        <v>42306</v>
      </c>
    </row>
    <row r="16" spans="1:17" s="75" customFormat="1" ht="30">
      <c r="A16" s="75" t="s">
        <v>59</v>
      </c>
      <c r="B16" s="75" t="s">
        <v>60</v>
      </c>
      <c r="C16" s="76" t="s">
        <v>73</v>
      </c>
      <c r="D16" s="77" t="s">
        <v>74</v>
      </c>
      <c r="E16" s="16">
        <v>41725</v>
      </c>
      <c r="F16" s="16">
        <v>41815</v>
      </c>
      <c r="G16" s="16">
        <v>41814</v>
      </c>
      <c r="H16" s="16"/>
      <c r="I16" s="15">
        <v>4</v>
      </c>
      <c r="J16" s="77" t="s">
        <v>95</v>
      </c>
      <c r="K16" s="78">
        <v>42306</v>
      </c>
    </row>
    <row r="17" spans="1:12" s="90" customFormat="1" ht="45">
      <c r="A17" s="90" t="s">
        <v>59</v>
      </c>
      <c r="B17" s="90" t="s">
        <v>60</v>
      </c>
      <c r="C17" s="91" t="s">
        <v>75</v>
      </c>
      <c r="D17" s="92" t="s">
        <v>76</v>
      </c>
      <c r="E17" s="93">
        <v>41708</v>
      </c>
      <c r="F17" s="93">
        <v>41751</v>
      </c>
      <c r="G17" s="93">
        <v>41744</v>
      </c>
      <c r="H17" s="93"/>
      <c r="I17" s="94">
        <v>3</v>
      </c>
      <c r="J17" s="92" t="s">
        <v>82</v>
      </c>
      <c r="K17" s="95">
        <v>42306</v>
      </c>
      <c r="L17" s="96" t="s">
        <v>104</v>
      </c>
    </row>
    <row r="18" spans="1:12" ht="60">
      <c r="A18" s="75" t="s">
        <v>59</v>
      </c>
      <c r="B18" s="75" t="s">
        <v>60</v>
      </c>
      <c r="C18" s="76" t="s">
        <v>77</v>
      </c>
      <c r="D18" s="77" t="s">
        <v>78</v>
      </c>
      <c r="E18" s="16">
        <v>41708</v>
      </c>
      <c r="F18" s="16">
        <v>41771</v>
      </c>
      <c r="G18" s="16">
        <v>41765</v>
      </c>
      <c r="H18" s="16"/>
      <c r="I18" s="15">
        <v>3</v>
      </c>
      <c r="J18" s="77" t="s">
        <v>83</v>
      </c>
      <c r="K18" s="78">
        <v>42306</v>
      </c>
      <c r="L18" s="75"/>
    </row>
    <row r="19" spans="1:12">
      <c r="A19" s="75" t="s">
        <v>59</v>
      </c>
      <c r="B19" s="75" t="s">
        <v>60</v>
      </c>
      <c r="C19" s="76" t="s">
        <v>100</v>
      </c>
      <c r="D19" s="77" t="s">
        <v>106</v>
      </c>
      <c r="E19" s="16">
        <v>41921</v>
      </c>
      <c r="F19" s="16">
        <v>41928</v>
      </c>
      <c r="G19" s="16">
        <v>41925</v>
      </c>
      <c r="H19" s="16"/>
      <c r="I19" s="15">
        <v>3</v>
      </c>
      <c r="J19" s="77"/>
      <c r="K19" s="78">
        <v>42306</v>
      </c>
      <c r="L19" s="75"/>
    </row>
    <row r="20" spans="1:12">
      <c r="A20" s="28"/>
      <c r="B20" s="28"/>
      <c r="C20" s="27" t="s">
        <v>15</v>
      </c>
      <c r="D20" s="33">
        <f>SUBTOTAL(3,D8:D19)</f>
        <v>12</v>
      </c>
      <c r="E20" s="33">
        <f>SUBTOTAL(3,[Date de réception convention financière])</f>
        <v>12</v>
      </c>
      <c r="F20" s="33">
        <f>SUBTOTAL(3,[Date de réception AR kit])</f>
        <v>12</v>
      </c>
      <c r="G20" s="33">
        <f>SUBTOTAL(3,[Date de MEP])</f>
        <v>12</v>
      </c>
      <c r="H20" s="79">
        <f>SUBTOTAL(3,[Desistement])</f>
        <v>0</v>
      </c>
      <c r="I20" s="27">
        <f>SUBTOTAL(109,I8:I19)</f>
        <v>38</v>
      </c>
      <c r="J20" s="31"/>
      <c r="K20" s="32"/>
    </row>
    <row r="21" spans="1:12">
      <c r="D21" s="10"/>
      <c r="J21" s="10"/>
    </row>
    <row r="22" spans="1:12">
      <c r="C22" s="26" t="s">
        <v>14</v>
      </c>
    </row>
  </sheetData>
  <mergeCells count="1">
    <mergeCell ref="G2:I2"/>
  </mergeCells>
  <pageMargins left="0.31496062992125984" right="0.31496062992125984" top="0.74803149606299213" bottom="0.74803149606299213" header="0.31496062992125984" footer="0.31496062992125984"/>
  <pageSetup paperSize="9" scale="6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8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86" t="s">
        <v>17</v>
      </c>
      <c r="M4" s="63">
        <f>$B$12</f>
        <v>399</v>
      </c>
      <c r="N4" s="111" t="str">
        <f>$C$12</f>
        <v>COTTENCIN CHARRIERE Anne-Caroline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8" t="s">
        <v>32</v>
      </c>
      <c r="M8" s="88" t="s">
        <v>31</v>
      </c>
      <c r="N8" s="87" t="s">
        <v>33</v>
      </c>
      <c r="O8" s="87" t="s">
        <v>34</v>
      </c>
      <c r="P8" s="8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399</v>
      </c>
      <c r="C10" s="42" t="s">
        <v>99</v>
      </c>
      <c r="D10" s="19">
        <v>1</v>
      </c>
      <c r="E10" s="25">
        <v>41975</v>
      </c>
      <c r="F10" s="25">
        <v>42037</v>
      </c>
      <c r="G10" s="25">
        <v>41982</v>
      </c>
      <c r="H10" s="25">
        <v>41982</v>
      </c>
      <c r="I10" s="70" t="s">
        <v>85</v>
      </c>
      <c r="J10" s="25">
        <v>41987</v>
      </c>
      <c r="K10" s="25">
        <v>41982</v>
      </c>
      <c r="L10" s="25">
        <v>42046</v>
      </c>
      <c r="M10" s="25">
        <v>42121</v>
      </c>
      <c r="N10" s="25">
        <v>42095</v>
      </c>
      <c r="O10" s="25"/>
      <c r="P10" s="25">
        <v>42037</v>
      </c>
      <c r="Q10" s="25">
        <v>42340</v>
      </c>
      <c r="R10" s="25">
        <v>42172</v>
      </c>
      <c r="S10" s="25">
        <v>42173</v>
      </c>
      <c r="T10" s="42" t="s">
        <v>98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83">
        <v>399</v>
      </c>
      <c r="C11" s="84" t="s">
        <v>99</v>
      </c>
      <c r="D11" s="19">
        <v>2</v>
      </c>
      <c r="E11" s="25">
        <v>42013</v>
      </c>
      <c r="F11" s="25">
        <v>42017</v>
      </c>
      <c r="G11" s="25">
        <v>42037</v>
      </c>
      <c r="H11" s="25">
        <v>42019</v>
      </c>
      <c r="I11" s="89" t="s">
        <v>86</v>
      </c>
      <c r="J11" s="25">
        <v>42025</v>
      </c>
      <c r="K11" s="25">
        <v>42037</v>
      </c>
      <c r="L11" s="25">
        <v>42084</v>
      </c>
      <c r="M11" s="25">
        <v>42086</v>
      </c>
      <c r="N11" s="25">
        <v>42133</v>
      </c>
      <c r="O11" s="25">
        <v>42027</v>
      </c>
      <c r="P11" s="25">
        <v>42037</v>
      </c>
      <c r="Q11" s="25">
        <v>42378</v>
      </c>
      <c r="T11" s="84" t="s">
        <v>98</v>
      </c>
      <c r="U11" s="12">
        <v>42306</v>
      </c>
    </row>
    <row r="12" spans="2:48" ht="38.25">
      <c r="B12" s="83">
        <v>399</v>
      </c>
      <c r="C12" s="84" t="s">
        <v>99</v>
      </c>
      <c r="D12" s="19">
        <v>3</v>
      </c>
      <c r="I12" s="89" t="s">
        <v>57</v>
      </c>
      <c r="T12" s="84" t="s">
        <v>98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57" t="s">
        <v>17</v>
      </c>
      <c r="M4" s="63">
        <f>$B$12</f>
        <v>51</v>
      </c>
      <c r="N4" s="111" t="str">
        <f>$C$12</f>
        <v>DELDALLE Marie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51</v>
      </c>
      <c r="C10" s="42" t="s">
        <v>62</v>
      </c>
      <c r="D10" s="19">
        <v>1</v>
      </c>
      <c r="E10" s="25">
        <v>41792</v>
      </c>
      <c r="F10" s="25">
        <v>41794</v>
      </c>
      <c r="G10" s="25">
        <v>41794</v>
      </c>
      <c r="H10" s="25"/>
      <c r="I10" s="44" t="s">
        <v>57</v>
      </c>
      <c r="J10" s="25">
        <v>41804</v>
      </c>
      <c r="K10" s="25"/>
      <c r="L10" s="25">
        <v>41863</v>
      </c>
      <c r="M10" s="25"/>
      <c r="N10" s="25">
        <v>41912</v>
      </c>
      <c r="O10" s="25">
        <v>41933</v>
      </c>
      <c r="P10" s="25">
        <v>41935</v>
      </c>
      <c r="Q10" s="25">
        <v>42157</v>
      </c>
      <c r="R10" s="25"/>
      <c r="S10" s="25"/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51</v>
      </c>
      <c r="C11" s="69" t="s">
        <v>62</v>
      </c>
      <c r="D11" s="19">
        <v>2</v>
      </c>
      <c r="E11" s="25">
        <v>41885</v>
      </c>
      <c r="F11" s="25">
        <v>41886</v>
      </c>
      <c r="I11" s="70" t="s">
        <v>57</v>
      </c>
      <c r="J11" s="25">
        <v>41897</v>
      </c>
      <c r="L11" s="25">
        <v>41956</v>
      </c>
      <c r="N11" s="25">
        <v>42005</v>
      </c>
      <c r="Q11" s="25">
        <v>42250</v>
      </c>
      <c r="T11" s="69" t="s">
        <v>61</v>
      </c>
      <c r="U11" s="12">
        <v>42306</v>
      </c>
    </row>
    <row r="12" spans="2:48" ht="25.5">
      <c r="B12" s="68">
        <v>51</v>
      </c>
      <c r="C12" s="69" t="s">
        <v>62</v>
      </c>
      <c r="D12" s="19">
        <v>3</v>
      </c>
      <c r="I12" s="70" t="s">
        <v>57</v>
      </c>
      <c r="T12" s="69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55</v>
      </c>
      <c r="N4" s="111" t="str">
        <f>$C$14</f>
        <v>DELESALLE Franck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55</v>
      </c>
      <c r="C10" s="42" t="s">
        <v>64</v>
      </c>
      <c r="D10" s="19">
        <v>1</v>
      </c>
      <c r="E10" s="25">
        <v>41747</v>
      </c>
      <c r="F10" s="25">
        <v>41751</v>
      </c>
      <c r="G10" s="25">
        <v>41751</v>
      </c>
      <c r="H10" s="25"/>
      <c r="I10" s="44" t="s">
        <v>57</v>
      </c>
      <c r="J10" s="25">
        <v>41759</v>
      </c>
      <c r="K10" s="25"/>
      <c r="L10" s="25">
        <v>41818</v>
      </c>
      <c r="M10" s="25"/>
      <c r="N10" s="25">
        <v>41867</v>
      </c>
      <c r="O10" s="25"/>
      <c r="P10" s="25"/>
      <c r="Q10" s="25">
        <v>42112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55</v>
      </c>
      <c r="C11" s="69" t="s">
        <v>64</v>
      </c>
      <c r="D11" s="19">
        <v>2</v>
      </c>
      <c r="E11" s="25">
        <v>41757</v>
      </c>
      <c r="F11" s="25">
        <v>41759</v>
      </c>
      <c r="G11" s="25">
        <v>41759</v>
      </c>
      <c r="H11" s="25">
        <v>41773</v>
      </c>
      <c r="I11" s="70" t="s">
        <v>85</v>
      </c>
      <c r="J11" s="25">
        <v>41769</v>
      </c>
      <c r="K11" s="25">
        <v>41773</v>
      </c>
      <c r="L11" s="25">
        <v>41828</v>
      </c>
      <c r="N11" s="25">
        <v>41877</v>
      </c>
      <c r="O11" s="25">
        <v>41820</v>
      </c>
      <c r="P11" s="25">
        <v>41822</v>
      </c>
      <c r="Q11" s="25">
        <v>42122</v>
      </c>
      <c r="T11" s="69" t="s">
        <v>63</v>
      </c>
      <c r="U11" s="12">
        <v>42306</v>
      </c>
    </row>
    <row r="12" spans="2:48" ht="25.5">
      <c r="B12" s="68">
        <v>55</v>
      </c>
      <c r="C12" s="69" t="s">
        <v>64</v>
      </c>
      <c r="D12" s="19">
        <v>3</v>
      </c>
      <c r="E12" s="25">
        <v>41761</v>
      </c>
      <c r="F12" s="25">
        <v>41764</v>
      </c>
      <c r="G12" s="25">
        <v>41764</v>
      </c>
      <c r="H12" s="25">
        <v>41771</v>
      </c>
      <c r="I12" s="70" t="s">
        <v>86</v>
      </c>
      <c r="J12" s="25">
        <v>41773</v>
      </c>
      <c r="K12" s="25">
        <v>41771</v>
      </c>
      <c r="L12" s="25">
        <v>41832</v>
      </c>
      <c r="M12" s="25">
        <v>41827</v>
      </c>
      <c r="N12" s="25">
        <v>41881</v>
      </c>
      <c r="O12" s="25">
        <v>41780</v>
      </c>
      <c r="P12" s="25">
        <v>41781</v>
      </c>
      <c r="Q12" s="25">
        <v>42126</v>
      </c>
      <c r="R12" s="25">
        <v>41859</v>
      </c>
      <c r="S12" s="25">
        <v>41862</v>
      </c>
      <c r="T12" s="69" t="s">
        <v>63</v>
      </c>
      <c r="U12" s="12">
        <v>42306</v>
      </c>
    </row>
    <row r="13" spans="2:48" ht="25.5">
      <c r="B13" s="68">
        <v>55</v>
      </c>
      <c r="C13" s="69" t="s">
        <v>64</v>
      </c>
      <c r="D13" s="19">
        <v>4</v>
      </c>
      <c r="E13" s="25">
        <v>41768</v>
      </c>
      <c r="F13" s="25">
        <v>41771</v>
      </c>
      <c r="G13" s="25">
        <v>41771</v>
      </c>
      <c r="H13" s="25">
        <v>41772</v>
      </c>
      <c r="I13" s="70" t="s">
        <v>87</v>
      </c>
      <c r="J13" s="25">
        <v>41780</v>
      </c>
      <c r="K13" s="25">
        <v>41779</v>
      </c>
      <c r="L13" s="25">
        <v>41839</v>
      </c>
      <c r="M13" s="25">
        <v>41817</v>
      </c>
      <c r="N13" s="25">
        <v>41888</v>
      </c>
      <c r="P13" s="25">
        <v>41886</v>
      </c>
      <c r="Q13" s="25">
        <v>42133</v>
      </c>
      <c r="T13" s="69" t="s">
        <v>63</v>
      </c>
      <c r="U13" s="12">
        <v>42306</v>
      </c>
    </row>
    <row r="14" spans="2:48" ht="25.5">
      <c r="B14" s="68">
        <v>55</v>
      </c>
      <c r="C14" s="69" t="s">
        <v>64</v>
      </c>
      <c r="D14" s="19">
        <v>5</v>
      </c>
      <c r="E14" s="25">
        <v>41766</v>
      </c>
      <c r="F14" s="25">
        <v>41771</v>
      </c>
      <c r="G14" s="25">
        <v>41771</v>
      </c>
      <c r="I14" s="70" t="s">
        <v>57</v>
      </c>
      <c r="J14" s="25">
        <v>41778</v>
      </c>
      <c r="L14" s="25">
        <v>41837</v>
      </c>
      <c r="N14" s="25">
        <v>41886</v>
      </c>
      <c r="O14" s="25">
        <v>41806</v>
      </c>
      <c r="P14" s="25">
        <v>41808</v>
      </c>
      <c r="Q14" s="25">
        <v>42131</v>
      </c>
      <c r="T14" s="69" t="s">
        <v>63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71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72" t="s">
        <v>17</v>
      </c>
      <c r="M4" s="63">
        <f>$B$12</f>
        <v>53</v>
      </c>
      <c r="N4" s="111" t="str">
        <f>$C$12</f>
        <v>DEVILLERS LAMERAND Catherine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4" t="s">
        <v>32</v>
      </c>
      <c r="M8" s="74" t="s">
        <v>31</v>
      </c>
      <c r="N8" s="73" t="s">
        <v>33</v>
      </c>
      <c r="O8" s="73" t="s">
        <v>34</v>
      </c>
      <c r="P8" s="73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53</v>
      </c>
      <c r="C10" s="42" t="s">
        <v>81</v>
      </c>
      <c r="D10" s="19">
        <v>1</v>
      </c>
      <c r="E10" s="25">
        <v>41814</v>
      </c>
      <c r="F10" s="25">
        <v>41893</v>
      </c>
      <c r="G10" s="25"/>
      <c r="H10" s="25"/>
      <c r="I10" s="70" t="s">
        <v>57</v>
      </c>
      <c r="J10" s="25">
        <v>41826</v>
      </c>
      <c r="K10" s="25"/>
      <c r="L10" s="25">
        <v>41885</v>
      </c>
      <c r="M10" s="25"/>
      <c r="N10" s="25">
        <v>41934</v>
      </c>
      <c r="O10" s="25"/>
      <c r="P10" s="25"/>
      <c r="Q10" s="25">
        <v>42179</v>
      </c>
      <c r="R10" s="25"/>
      <c r="S10" s="25"/>
      <c r="T10" s="42" t="s">
        <v>80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43">
        <v>53</v>
      </c>
      <c r="C11" s="80" t="s">
        <v>81</v>
      </c>
      <c r="D11" s="19">
        <v>2</v>
      </c>
      <c r="E11" s="25">
        <v>41822</v>
      </c>
      <c r="F11" s="25">
        <v>41893</v>
      </c>
      <c r="I11" s="70" t="s">
        <v>57</v>
      </c>
      <c r="J11" s="25">
        <v>41834</v>
      </c>
      <c r="L11" s="25">
        <v>41893</v>
      </c>
      <c r="N11" s="25">
        <v>41942</v>
      </c>
      <c r="Q11" s="25">
        <v>42187</v>
      </c>
      <c r="T11" s="80" t="s">
        <v>80</v>
      </c>
      <c r="U11" s="12">
        <v>42306</v>
      </c>
    </row>
    <row r="12" spans="2:48" ht="38.25">
      <c r="B12" s="43">
        <v>53</v>
      </c>
      <c r="C12" s="80" t="s">
        <v>81</v>
      </c>
      <c r="D12" s="19">
        <v>3</v>
      </c>
      <c r="E12" s="25">
        <v>41830</v>
      </c>
      <c r="F12" s="25">
        <v>41893</v>
      </c>
      <c r="H12" s="25">
        <v>41843</v>
      </c>
      <c r="I12" s="70" t="s">
        <v>88</v>
      </c>
      <c r="J12" s="25">
        <v>41842</v>
      </c>
      <c r="K12" s="25">
        <v>41843</v>
      </c>
      <c r="L12" s="25">
        <v>41901</v>
      </c>
      <c r="M12" s="25">
        <v>41897</v>
      </c>
      <c r="N12" s="25">
        <v>41950</v>
      </c>
      <c r="O12" s="25">
        <v>41860</v>
      </c>
      <c r="P12" s="25">
        <v>41893</v>
      </c>
      <c r="Q12" s="25">
        <v>42195</v>
      </c>
      <c r="T12" s="80" t="s">
        <v>80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57</v>
      </c>
      <c r="N4" s="111" t="str">
        <f>$C$12</f>
        <v>FRECAUT Françoise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57</v>
      </c>
      <c r="C10" s="42" t="s">
        <v>66</v>
      </c>
      <c r="D10" s="19">
        <v>1</v>
      </c>
      <c r="E10" s="25">
        <v>41782</v>
      </c>
      <c r="F10" s="25">
        <v>41787</v>
      </c>
      <c r="G10" s="25">
        <v>41787</v>
      </c>
      <c r="H10" s="25">
        <v>41792</v>
      </c>
      <c r="I10" s="44" t="s">
        <v>88</v>
      </c>
      <c r="J10" s="25">
        <v>41794</v>
      </c>
      <c r="K10" s="25">
        <v>41801</v>
      </c>
      <c r="L10" s="25">
        <v>41853</v>
      </c>
      <c r="M10" s="25">
        <v>41899</v>
      </c>
      <c r="N10" s="25">
        <v>41902</v>
      </c>
      <c r="O10" s="25">
        <v>41897</v>
      </c>
      <c r="P10" s="25">
        <v>41899</v>
      </c>
      <c r="Q10" s="25">
        <v>42147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57</v>
      </c>
      <c r="C11" s="69" t="s">
        <v>66</v>
      </c>
      <c r="D11" s="19">
        <v>2</v>
      </c>
      <c r="E11" s="25">
        <v>41794</v>
      </c>
      <c r="F11" s="25">
        <v>41796</v>
      </c>
      <c r="G11" s="25">
        <v>41796</v>
      </c>
      <c r="H11" s="25">
        <v>41796</v>
      </c>
      <c r="I11" s="70" t="s">
        <v>86</v>
      </c>
      <c r="J11" s="25">
        <v>41806</v>
      </c>
      <c r="K11" s="25">
        <v>41807</v>
      </c>
      <c r="L11" s="25">
        <v>41865</v>
      </c>
      <c r="M11" s="25">
        <v>41862</v>
      </c>
      <c r="N11" s="25">
        <v>41914</v>
      </c>
      <c r="O11" s="25">
        <v>41897</v>
      </c>
      <c r="P11" s="25">
        <v>41899</v>
      </c>
      <c r="Q11" s="25">
        <v>42159</v>
      </c>
      <c r="R11" s="25">
        <v>41989</v>
      </c>
      <c r="S11" s="25">
        <v>41992</v>
      </c>
      <c r="T11" s="69" t="s">
        <v>65</v>
      </c>
      <c r="U11" s="12">
        <v>42306</v>
      </c>
    </row>
    <row r="12" spans="2:48" ht="25.5">
      <c r="B12" s="68">
        <v>57</v>
      </c>
      <c r="C12" s="69" t="s">
        <v>66</v>
      </c>
      <c r="D12" s="19">
        <v>3</v>
      </c>
      <c r="I12" s="70" t="s">
        <v>57</v>
      </c>
      <c r="T12" s="69" t="s">
        <v>65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54</v>
      </c>
      <c r="N4" s="111" t="str">
        <f>$C$12</f>
        <v>HENNEQUART Carole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54</v>
      </c>
      <c r="C10" s="42" t="s">
        <v>68</v>
      </c>
      <c r="D10" s="19">
        <v>1</v>
      </c>
      <c r="E10" s="25">
        <v>41773</v>
      </c>
      <c r="F10" s="25">
        <v>41775</v>
      </c>
      <c r="G10" s="25">
        <v>41782</v>
      </c>
      <c r="H10" s="25"/>
      <c r="I10" s="44" t="s">
        <v>57</v>
      </c>
      <c r="J10" s="25">
        <v>41785</v>
      </c>
      <c r="K10" s="25">
        <v>41794</v>
      </c>
      <c r="L10" s="25">
        <v>41844</v>
      </c>
      <c r="M10" s="25">
        <v>41851</v>
      </c>
      <c r="N10" s="25">
        <v>41893</v>
      </c>
      <c r="O10" s="25">
        <v>41815</v>
      </c>
      <c r="P10" s="25">
        <v>41817</v>
      </c>
      <c r="Q10" s="25">
        <v>42138</v>
      </c>
      <c r="R10" s="25">
        <v>41982</v>
      </c>
      <c r="S10" s="25">
        <v>41984</v>
      </c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54</v>
      </c>
      <c r="C11" s="69" t="s">
        <v>68</v>
      </c>
      <c r="D11" s="19">
        <v>2</v>
      </c>
      <c r="E11" s="25">
        <v>41778</v>
      </c>
      <c r="F11" s="25">
        <v>41781</v>
      </c>
      <c r="G11" s="25">
        <v>41782</v>
      </c>
      <c r="I11" s="70" t="s">
        <v>57</v>
      </c>
      <c r="J11" s="25">
        <v>41790</v>
      </c>
      <c r="K11" s="25">
        <v>41806</v>
      </c>
      <c r="L11" s="25">
        <v>41849</v>
      </c>
      <c r="N11" s="25">
        <v>41898</v>
      </c>
      <c r="O11" s="25">
        <v>41809</v>
      </c>
      <c r="P11" s="25">
        <v>41813</v>
      </c>
      <c r="Q11" s="25">
        <v>42143</v>
      </c>
      <c r="T11" s="69" t="s">
        <v>67</v>
      </c>
      <c r="U11" s="12">
        <v>42306</v>
      </c>
    </row>
    <row r="12" spans="2:48" ht="25.5">
      <c r="B12" s="68">
        <v>54</v>
      </c>
      <c r="C12" s="69" t="s">
        <v>68</v>
      </c>
      <c r="D12" s="19">
        <v>3</v>
      </c>
      <c r="E12" s="25">
        <v>41809</v>
      </c>
      <c r="F12" s="25">
        <v>41813</v>
      </c>
      <c r="G12" s="25">
        <v>41813</v>
      </c>
      <c r="I12" s="70" t="s">
        <v>57</v>
      </c>
      <c r="J12" s="25">
        <v>41821</v>
      </c>
      <c r="K12" s="25">
        <v>41831</v>
      </c>
      <c r="L12" s="25">
        <v>41880</v>
      </c>
      <c r="N12" s="25">
        <v>41929</v>
      </c>
      <c r="O12" s="25">
        <v>41851</v>
      </c>
      <c r="P12" s="25">
        <v>41855</v>
      </c>
      <c r="Q12" s="25">
        <v>42174</v>
      </c>
      <c r="R12" s="25">
        <v>41961</v>
      </c>
      <c r="S12" s="25">
        <v>41963</v>
      </c>
      <c r="T12" s="69" t="s">
        <v>67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56</v>
      </c>
      <c r="N4" s="111" t="str">
        <f>$C$12</f>
        <v>LEPLAT Jean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56</v>
      </c>
      <c r="C10" s="42" t="s">
        <v>70</v>
      </c>
      <c r="D10" s="19">
        <v>1</v>
      </c>
      <c r="E10" s="25">
        <v>41779</v>
      </c>
      <c r="F10" s="25">
        <v>41781</v>
      </c>
      <c r="G10" s="25"/>
      <c r="H10" s="25">
        <v>41781</v>
      </c>
      <c r="I10" s="44" t="s">
        <v>89</v>
      </c>
      <c r="J10" s="25">
        <v>41791</v>
      </c>
      <c r="K10" s="25">
        <v>41793</v>
      </c>
      <c r="L10" s="25">
        <v>41850</v>
      </c>
      <c r="M10" s="25">
        <v>41849</v>
      </c>
      <c r="N10" s="25">
        <v>41899</v>
      </c>
      <c r="O10" s="25">
        <v>41893</v>
      </c>
      <c r="P10" s="25">
        <v>41897</v>
      </c>
      <c r="Q10" s="25">
        <v>42144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56</v>
      </c>
      <c r="C11" s="69" t="s">
        <v>70</v>
      </c>
      <c r="D11" s="19">
        <v>2</v>
      </c>
      <c r="E11" s="25">
        <v>41785</v>
      </c>
      <c r="F11" s="25">
        <v>41806</v>
      </c>
      <c r="G11" s="25">
        <v>41806</v>
      </c>
      <c r="H11" s="25">
        <v>41792</v>
      </c>
      <c r="I11" s="44" t="s">
        <v>89</v>
      </c>
      <c r="J11" s="25">
        <v>41797</v>
      </c>
      <c r="K11" s="25">
        <v>41806</v>
      </c>
      <c r="L11" s="25">
        <v>41856</v>
      </c>
      <c r="M11" s="25">
        <v>41863</v>
      </c>
      <c r="N11" s="25">
        <v>41905</v>
      </c>
      <c r="O11" s="25">
        <v>41803</v>
      </c>
      <c r="P11" s="25">
        <v>41806</v>
      </c>
      <c r="Q11" s="25">
        <v>42150</v>
      </c>
      <c r="R11" s="25">
        <v>41967</v>
      </c>
      <c r="S11" s="25">
        <v>41971</v>
      </c>
      <c r="T11" s="69" t="s">
        <v>69</v>
      </c>
      <c r="U11" s="12">
        <v>42306</v>
      </c>
    </row>
    <row r="12" spans="2:48" ht="25.5">
      <c r="B12" s="68">
        <v>56</v>
      </c>
      <c r="C12" s="69" t="s">
        <v>70</v>
      </c>
      <c r="D12" s="19">
        <v>3</v>
      </c>
      <c r="E12" s="25">
        <v>41785</v>
      </c>
      <c r="F12" s="25">
        <v>41787</v>
      </c>
      <c r="G12" s="25">
        <v>41787</v>
      </c>
      <c r="H12" s="25">
        <v>41816</v>
      </c>
      <c r="I12" s="44" t="s">
        <v>85</v>
      </c>
      <c r="J12" s="25">
        <v>41797</v>
      </c>
      <c r="K12" s="25">
        <v>41816</v>
      </c>
      <c r="L12" s="25">
        <v>41856</v>
      </c>
      <c r="M12" s="25">
        <v>41897</v>
      </c>
      <c r="N12" s="25">
        <v>41905</v>
      </c>
      <c r="Q12" s="25">
        <v>42150</v>
      </c>
      <c r="R12" s="25">
        <v>41927</v>
      </c>
      <c r="S12" s="25">
        <v>41928</v>
      </c>
      <c r="T12" s="69" t="s">
        <v>69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9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58</v>
      </c>
      <c r="N4" s="111" t="str">
        <f>$C$14</f>
        <v>MORTIER Laurent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58</v>
      </c>
      <c r="C10" s="42" t="s">
        <v>72</v>
      </c>
      <c r="D10" s="19">
        <v>1</v>
      </c>
      <c r="E10" s="25">
        <v>41772</v>
      </c>
      <c r="F10" s="25">
        <v>41774</v>
      </c>
      <c r="G10" s="25"/>
      <c r="H10" s="25"/>
      <c r="I10" s="44" t="s">
        <v>57</v>
      </c>
      <c r="J10" s="25">
        <v>41784</v>
      </c>
      <c r="K10" s="25"/>
      <c r="L10" s="25">
        <v>41843</v>
      </c>
      <c r="M10" s="25"/>
      <c r="N10" s="25">
        <v>41892</v>
      </c>
      <c r="O10" s="25"/>
      <c r="P10" s="25"/>
      <c r="Q10" s="25">
        <v>42137</v>
      </c>
      <c r="R10" s="25">
        <v>41932</v>
      </c>
      <c r="S10" s="25">
        <v>41935</v>
      </c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58</v>
      </c>
      <c r="C11" s="69" t="s">
        <v>72</v>
      </c>
      <c r="D11" s="19">
        <v>2</v>
      </c>
      <c r="E11" s="25">
        <v>41772</v>
      </c>
      <c r="F11" s="25">
        <v>41774</v>
      </c>
      <c r="I11" s="70" t="s">
        <v>57</v>
      </c>
      <c r="J11" s="25">
        <v>41784</v>
      </c>
      <c r="K11" s="25">
        <v>41985</v>
      </c>
      <c r="L11" s="25">
        <v>41843</v>
      </c>
      <c r="M11" s="25">
        <v>41985</v>
      </c>
      <c r="N11" s="25">
        <v>41892</v>
      </c>
      <c r="Q11" s="25">
        <v>42137</v>
      </c>
      <c r="R11" s="25">
        <v>42045</v>
      </c>
      <c r="S11" s="25">
        <v>42047</v>
      </c>
      <c r="T11" s="69" t="s">
        <v>71</v>
      </c>
      <c r="U11" s="12">
        <v>42306</v>
      </c>
    </row>
    <row r="12" spans="2:48" ht="25.5">
      <c r="B12" s="68">
        <v>58</v>
      </c>
      <c r="C12" s="69" t="s">
        <v>72</v>
      </c>
      <c r="D12" s="19">
        <v>3</v>
      </c>
      <c r="E12" s="25">
        <v>41814</v>
      </c>
      <c r="F12" s="25">
        <v>41817</v>
      </c>
      <c r="I12" s="70" t="s">
        <v>57</v>
      </c>
      <c r="J12" s="25">
        <v>41826</v>
      </c>
      <c r="L12" s="25">
        <v>41885</v>
      </c>
      <c r="N12" s="25">
        <v>41934</v>
      </c>
      <c r="O12" s="25">
        <v>41891</v>
      </c>
      <c r="P12" s="25">
        <v>41918</v>
      </c>
      <c r="Q12" s="25">
        <v>42179</v>
      </c>
      <c r="T12" s="69" t="s">
        <v>71</v>
      </c>
      <c r="U12" s="12">
        <v>42306</v>
      </c>
    </row>
    <row r="13" spans="2:48" ht="25.5">
      <c r="B13" s="81">
        <v>58</v>
      </c>
      <c r="C13" s="82" t="s">
        <v>72</v>
      </c>
      <c r="D13" s="19">
        <v>4</v>
      </c>
      <c r="E13" s="25">
        <v>41849</v>
      </c>
      <c r="F13" s="25">
        <v>41851</v>
      </c>
      <c r="G13" s="25">
        <v>41851</v>
      </c>
      <c r="H13" s="25">
        <v>41851</v>
      </c>
      <c r="I13" s="70" t="s">
        <v>97</v>
      </c>
      <c r="J13" s="25">
        <v>41861</v>
      </c>
      <c r="K13" s="25">
        <v>41871</v>
      </c>
      <c r="L13" s="25">
        <v>41920</v>
      </c>
      <c r="M13" s="25">
        <v>41934</v>
      </c>
      <c r="N13" s="25">
        <v>41969</v>
      </c>
      <c r="O13" s="25">
        <v>41968</v>
      </c>
      <c r="P13" s="25">
        <v>41982</v>
      </c>
      <c r="Q13" s="25">
        <v>42214</v>
      </c>
      <c r="T13" s="82" t="s">
        <v>71</v>
      </c>
      <c r="U13" s="12">
        <v>42306</v>
      </c>
    </row>
    <row r="14" spans="2:48" ht="25.5">
      <c r="B14" s="81">
        <v>58</v>
      </c>
      <c r="C14" s="82" t="s">
        <v>72</v>
      </c>
      <c r="D14" s="19">
        <v>5</v>
      </c>
      <c r="E14" s="25">
        <v>41962</v>
      </c>
      <c r="F14" s="25">
        <v>41964</v>
      </c>
      <c r="I14" s="70" t="s">
        <v>57</v>
      </c>
      <c r="J14" s="25">
        <v>41974</v>
      </c>
      <c r="L14" s="25">
        <v>42033</v>
      </c>
      <c r="N14" s="25">
        <v>42082</v>
      </c>
      <c r="Q14" s="25">
        <v>42327</v>
      </c>
      <c r="R14" s="25">
        <v>42073</v>
      </c>
      <c r="S14" s="25">
        <v>42075</v>
      </c>
      <c r="T14" s="82" t="s">
        <v>71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10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340</v>
      </c>
      <c r="N4" s="111" t="str">
        <f>$C$14</f>
        <v>PLANTIER Daniel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340</v>
      </c>
      <c r="C10" s="42" t="s">
        <v>74</v>
      </c>
      <c r="D10" s="19">
        <v>1</v>
      </c>
      <c r="E10" s="25">
        <v>41821</v>
      </c>
      <c r="F10" s="25">
        <v>41837</v>
      </c>
      <c r="G10" s="25">
        <v>41925</v>
      </c>
      <c r="H10" s="25">
        <v>41828</v>
      </c>
      <c r="I10" s="70" t="s">
        <v>89</v>
      </c>
      <c r="J10" s="25">
        <v>41833</v>
      </c>
      <c r="K10" s="25">
        <v>41838</v>
      </c>
      <c r="L10" s="25">
        <v>41892</v>
      </c>
      <c r="M10" s="25">
        <v>41886</v>
      </c>
      <c r="N10" s="25">
        <v>41941</v>
      </c>
      <c r="O10" s="25">
        <v>41884</v>
      </c>
      <c r="P10" s="25">
        <v>41984</v>
      </c>
      <c r="Q10" s="25">
        <v>42186</v>
      </c>
      <c r="R10" s="25">
        <v>41982</v>
      </c>
      <c r="S10" s="25">
        <v>41984</v>
      </c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1">
        <v>340</v>
      </c>
      <c r="C11" s="82" t="s">
        <v>74</v>
      </c>
      <c r="D11" s="19">
        <v>2</v>
      </c>
      <c r="E11" s="25">
        <v>41904</v>
      </c>
      <c r="F11" s="25">
        <v>41907</v>
      </c>
      <c r="G11" s="25">
        <v>41907</v>
      </c>
      <c r="H11" s="25">
        <v>41914</v>
      </c>
      <c r="I11" s="70" t="s">
        <v>96</v>
      </c>
      <c r="J11" s="25">
        <v>41916</v>
      </c>
      <c r="K11" s="25">
        <v>41914</v>
      </c>
      <c r="L11" s="25">
        <v>41975</v>
      </c>
      <c r="M11" s="25">
        <v>41975</v>
      </c>
      <c r="N11" s="25">
        <v>42024</v>
      </c>
      <c r="Q11" s="25">
        <v>42269</v>
      </c>
      <c r="T11" s="82" t="s">
        <v>73</v>
      </c>
      <c r="U11" s="12">
        <v>42306</v>
      </c>
    </row>
    <row r="12" spans="2:48" ht="25.5">
      <c r="B12" s="81">
        <v>340</v>
      </c>
      <c r="C12" s="82" t="s">
        <v>74</v>
      </c>
      <c r="D12" s="19">
        <v>3</v>
      </c>
      <c r="E12" s="25">
        <v>41908</v>
      </c>
      <c r="F12" s="25">
        <v>41915</v>
      </c>
      <c r="H12" s="25">
        <v>41911</v>
      </c>
      <c r="I12" s="70" t="s">
        <v>92</v>
      </c>
      <c r="J12" s="25">
        <v>41920</v>
      </c>
      <c r="K12" s="25">
        <v>41920</v>
      </c>
      <c r="L12" s="25">
        <v>41979</v>
      </c>
      <c r="M12" s="25">
        <v>41974</v>
      </c>
      <c r="N12" s="25">
        <v>42028</v>
      </c>
      <c r="O12" s="25">
        <v>41970</v>
      </c>
      <c r="P12" s="25">
        <v>41977</v>
      </c>
      <c r="Q12" s="25">
        <v>42273</v>
      </c>
      <c r="T12" s="82" t="s">
        <v>73</v>
      </c>
      <c r="U12" s="12">
        <v>42306</v>
      </c>
    </row>
    <row r="13" spans="2:48" ht="25.5">
      <c r="B13" s="83">
        <v>340</v>
      </c>
      <c r="C13" s="84" t="s">
        <v>74</v>
      </c>
      <c r="D13" s="19">
        <v>4</v>
      </c>
      <c r="E13" s="25">
        <v>41922</v>
      </c>
      <c r="F13" s="25">
        <v>41925</v>
      </c>
      <c r="G13" s="25">
        <v>41925</v>
      </c>
      <c r="I13" s="70" t="s">
        <v>57</v>
      </c>
      <c r="J13" s="25">
        <v>41934</v>
      </c>
      <c r="L13" s="25">
        <v>41993</v>
      </c>
      <c r="N13" s="25">
        <v>42042</v>
      </c>
      <c r="Q13" s="25">
        <v>42287</v>
      </c>
      <c r="T13" s="84" t="s">
        <v>73</v>
      </c>
      <c r="U13" s="12">
        <v>42306</v>
      </c>
    </row>
    <row r="14" spans="2:48" ht="25.5">
      <c r="B14" s="83">
        <v>340</v>
      </c>
      <c r="C14" s="84" t="s">
        <v>74</v>
      </c>
      <c r="D14" s="19">
        <v>5</v>
      </c>
      <c r="I14" s="70" t="s">
        <v>57</v>
      </c>
      <c r="T14" s="84" t="s">
        <v>73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1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29</v>
      </c>
      <c r="N4" s="111" t="str">
        <f>$C$14</f>
        <v>RICHE Françoise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29</v>
      </c>
      <c r="C10" s="42" t="s">
        <v>76</v>
      </c>
      <c r="D10" s="19">
        <v>1</v>
      </c>
      <c r="E10" s="25">
        <v>41765</v>
      </c>
      <c r="F10" s="25">
        <v>41786</v>
      </c>
      <c r="G10" s="25">
        <v>41786</v>
      </c>
      <c r="H10" s="25">
        <v>41786</v>
      </c>
      <c r="I10" s="44" t="s">
        <v>90</v>
      </c>
      <c r="J10" s="25">
        <v>41777</v>
      </c>
      <c r="K10" s="25">
        <v>41779</v>
      </c>
      <c r="L10" s="25">
        <v>41836</v>
      </c>
      <c r="M10" s="25">
        <v>41845</v>
      </c>
      <c r="N10" s="25">
        <v>41885</v>
      </c>
      <c r="O10" s="25"/>
      <c r="P10" s="25"/>
      <c r="Q10" s="25">
        <v>42130</v>
      </c>
      <c r="R10" s="25"/>
      <c r="S10" s="25"/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29</v>
      </c>
      <c r="C11" s="69" t="s">
        <v>76</v>
      </c>
      <c r="D11" s="19">
        <v>2</v>
      </c>
      <c r="E11" s="25">
        <v>41766</v>
      </c>
      <c r="F11" s="25">
        <v>41786</v>
      </c>
      <c r="G11" s="25">
        <v>41786</v>
      </c>
      <c r="H11" s="25">
        <v>41786</v>
      </c>
      <c r="I11" s="70" t="s">
        <v>90</v>
      </c>
      <c r="J11" s="25">
        <v>41778</v>
      </c>
      <c r="K11" s="25">
        <v>41792</v>
      </c>
      <c r="L11" s="25">
        <v>41837</v>
      </c>
      <c r="N11" s="25">
        <v>41886</v>
      </c>
      <c r="P11" s="25">
        <v>41792</v>
      </c>
      <c r="Q11" s="25">
        <v>42131</v>
      </c>
      <c r="T11" s="69" t="s">
        <v>75</v>
      </c>
      <c r="U11" s="12">
        <v>42306</v>
      </c>
    </row>
    <row r="12" spans="2:48" ht="25.5">
      <c r="B12" s="68">
        <v>29</v>
      </c>
      <c r="C12" s="69" t="s">
        <v>76</v>
      </c>
      <c r="D12" s="19">
        <v>3</v>
      </c>
      <c r="E12" s="25">
        <v>41772</v>
      </c>
      <c r="F12" s="25">
        <v>41786</v>
      </c>
      <c r="H12" s="25">
        <v>41786</v>
      </c>
      <c r="I12" s="70" t="s">
        <v>91</v>
      </c>
      <c r="J12" s="25">
        <v>41784</v>
      </c>
      <c r="K12" s="25">
        <v>41782</v>
      </c>
      <c r="L12" s="25">
        <v>41843</v>
      </c>
      <c r="N12" s="25">
        <v>41892</v>
      </c>
      <c r="Q12" s="25">
        <v>42137</v>
      </c>
      <c r="T12" s="69" t="s">
        <v>75</v>
      </c>
      <c r="U12" s="12">
        <v>42306</v>
      </c>
    </row>
    <row r="13" spans="2:48" ht="25.5">
      <c r="B13" s="43">
        <v>29</v>
      </c>
      <c r="C13" s="80" t="s">
        <v>76</v>
      </c>
      <c r="D13" s="19">
        <v>4</v>
      </c>
      <c r="I13" s="70" t="s">
        <v>57</v>
      </c>
      <c r="T13" s="80" t="s">
        <v>75</v>
      </c>
      <c r="U13" s="12">
        <v>42306</v>
      </c>
    </row>
    <row r="14" spans="2:48" ht="25.5">
      <c r="B14" s="43">
        <v>29</v>
      </c>
      <c r="C14" s="80" t="s">
        <v>76</v>
      </c>
      <c r="D14" s="19">
        <v>5</v>
      </c>
      <c r="I14" s="70" t="s">
        <v>57</v>
      </c>
      <c r="T14" s="80" t="s">
        <v>75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52</v>
      </c>
      <c r="N4" s="111" t="str">
        <f>$C$12</f>
        <v>ROUMAZEILLE Anne-Marguerite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52</v>
      </c>
      <c r="C10" s="42" t="s">
        <v>78</v>
      </c>
      <c r="D10" s="19">
        <v>1</v>
      </c>
      <c r="E10" s="25">
        <v>41808</v>
      </c>
      <c r="F10" s="25">
        <v>41813</v>
      </c>
      <c r="G10" s="25">
        <v>41813</v>
      </c>
      <c r="H10" s="25">
        <v>41810</v>
      </c>
      <c r="I10" s="44" t="s">
        <v>92</v>
      </c>
      <c r="J10" s="25">
        <v>41820</v>
      </c>
      <c r="K10" s="25">
        <v>41817</v>
      </c>
      <c r="L10" s="25">
        <v>41879</v>
      </c>
      <c r="M10" s="25">
        <v>41872</v>
      </c>
      <c r="N10" s="25">
        <v>41928</v>
      </c>
      <c r="O10" s="25">
        <v>41816</v>
      </c>
      <c r="P10" s="25">
        <v>41820</v>
      </c>
      <c r="Q10" s="25">
        <v>42173</v>
      </c>
      <c r="R10" s="25"/>
      <c r="S10" s="25"/>
      <c r="T10" s="42" t="s">
        <v>77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52</v>
      </c>
      <c r="C11" s="69" t="s">
        <v>78</v>
      </c>
      <c r="D11" s="19">
        <v>2</v>
      </c>
      <c r="E11" s="25">
        <v>41821</v>
      </c>
      <c r="F11" s="25">
        <v>41828</v>
      </c>
      <c r="G11" s="25">
        <v>41828</v>
      </c>
      <c r="H11" s="25">
        <v>41824</v>
      </c>
      <c r="I11" s="44" t="s">
        <v>93</v>
      </c>
      <c r="J11" s="25">
        <v>41833</v>
      </c>
      <c r="K11" s="25">
        <v>41837</v>
      </c>
      <c r="L11" s="25">
        <v>41892</v>
      </c>
      <c r="M11" s="25">
        <v>41891</v>
      </c>
      <c r="N11" s="25">
        <v>41941</v>
      </c>
      <c r="Q11" s="25">
        <v>42186</v>
      </c>
      <c r="R11" s="25">
        <v>41982</v>
      </c>
      <c r="S11" s="25">
        <v>41984</v>
      </c>
      <c r="T11" s="69" t="s">
        <v>77</v>
      </c>
      <c r="U11" s="12">
        <v>42306</v>
      </c>
    </row>
    <row r="12" spans="2:48" ht="25.5">
      <c r="B12" s="68">
        <v>52</v>
      </c>
      <c r="C12" s="69" t="s">
        <v>78</v>
      </c>
      <c r="D12" s="19">
        <v>3</v>
      </c>
      <c r="E12" s="25">
        <v>41827</v>
      </c>
      <c r="F12" s="25">
        <v>41829</v>
      </c>
      <c r="G12" s="25">
        <v>41829</v>
      </c>
      <c r="I12" s="44" t="s">
        <v>57</v>
      </c>
      <c r="J12" s="25">
        <v>41839</v>
      </c>
      <c r="L12" s="25">
        <v>41898</v>
      </c>
      <c r="N12" s="25">
        <v>41947</v>
      </c>
      <c r="O12" s="25">
        <v>41843</v>
      </c>
      <c r="P12" s="25">
        <v>41845</v>
      </c>
      <c r="Q12" s="25">
        <v>42192</v>
      </c>
      <c r="T12" s="69" t="s">
        <v>77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3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8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0" t="s">
        <v>58</v>
      </c>
      <c r="E4" s="110"/>
      <c r="F4" s="53">
        <f>$U$12</f>
        <v>42306</v>
      </c>
      <c r="G4" s="50"/>
      <c r="H4" s="50"/>
      <c r="I4" s="34"/>
      <c r="J4" s="50"/>
      <c r="K4" s="50"/>
      <c r="L4" s="86" t="s">
        <v>17</v>
      </c>
      <c r="M4" s="63">
        <f>$B$12</f>
        <v>398</v>
      </c>
      <c r="N4" s="111" t="str">
        <f>$C$12</f>
        <v>VELLY-MORES Francine</v>
      </c>
      <c r="O4" s="111"/>
      <c r="P4" s="111"/>
      <c r="Q4" s="111"/>
      <c r="R4" s="111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2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8" t="s">
        <v>19</v>
      </c>
      <c r="F7" s="99"/>
      <c r="G7" s="99"/>
      <c r="H7" s="99"/>
      <c r="I7" s="99"/>
      <c r="J7" s="100" t="s">
        <v>20</v>
      </c>
      <c r="K7" s="101"/>
      <c r="L7" s="102" t="s">
        <v>21</v>
      </c>
      <c r="M7" s="102"/>
      <c r="N7" s="103" t="s">
        <v>22</v>
      </c>
      <c r="O7" s="104"/>
      <c r="P7" s="105"/>
      <c r="Q7" s="106" t="s">
        <v>23</v>
      </c>
      <c r="R7" s="104"/>
      <c r="S7" s="105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8" t="s">
        <v>32</v>
      </c>
      <c r="M8" s="88" t="s">
        <v>31</v>
      </c>
      <c r="N8" s="87" t="s">
        <v>33</v>
      </c>
      <c r="O8" s="87" t="s">
        <v>34</v>
      </c>
      <c r="P8" s="8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398</v>
      </c>
      <c r="C10" s="42" t="s">
        <v>106</v>
      </c>
      <c r="D10" s="19">
        <v>1</v>
      </c>
      <c r="E10" s="25">
        <v>41928</v>
      </c>
      <c r="F10" s="25">
        <v>41967</v>
      </c>
      <c r="G10" s="25">
        <v>41967</v>
      </c>
      <c r="H10" s="25">
        <v>41960</v>
      </c>
      <c r="I10" s="70" t="s">
        <v>102</v>
      </c>
      <c r="J10" s="25">
        <v>41940</v>
      </c>
      <c r="K10" s="25">
        <v>41960</v>
      </c>
      <c r="L10" s="25">
        <v>41999</v>
      </c>
      <c r="M10" s="25"/>
      <c r="N10" s="25">
        <v>42048</v>
      </c>
      <c r="O10" s="25">
        <v>41989</v>
      </c>
      <c r="P10" s="25">
        <v>41995</v>
      </c>
      <c r="Q10" s="25">
        <v>42293</v>
      </c>
      <c r="R10" s="25">
        <v>42157</v>
      </c>
      <c r="S10" s="25">
        <v>42159</v>
      </c>
      <c r="T10" s="42" t="s">
        <v>100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3">
        <v>398</v>
      </c>
      <c r="C11" s="84" t="s">
        <v>106</v>
      </c>
      <c r="D11" s="19">
        <v>2</v>
      </c>
      <c r="E11" s="25">
        <v>41939</v>
      </c>
      <c r="F11" s="25">
        <v>41967</v>
      </c>
      <c r="G11" s="25">
        <v>41967</v>
      </c>
      <c r="H11" s="25">
        <v>41941</v>
      </c>
      <c r="I11" s="89" t="s">
        <v>88</v>
      </c>
      <c r="J11" s="25">
        <v>41951</v>
      </c>
      <c r="K11" s="25">
        <v>41955</v>
      </c>
      <c r="L11" s="25">
        <v>42010</v>
      </c>
      <c r="M11" s="25">
        <v>42003</v>
      </c>
      <c r="N11" s="25">
        <v>42059</v>
      </c>
      <c r="O11" s="25">
        <v>41989</v>
      </c>
      <c r="P11" s="25">
        <v>41991</v>
      </c>
      <c r="Q11" s="25">
        <v>42304</v>
      </c>
      <c r="R11" s="25">
        <v>42103</v>
      </c>
      <c r="S11" s="25">
        <v>42107</v>
      </c>
      <c r="T11" s="84" t="s">
        <v>100</v>
      </c>
      <c r="U11" s="12">
        <v>42306</v>
      </c>
    </row>
    <row r="12" spans="2:48" ht="25.5">
      <c r="B12" s="83">
        <v>398</v>
      </c>
      <c r="C12" s="84" t="s">
        <v>106</v>
      </c>
      <c r="D12" s="19">
        <v>3</v>
      </c>
      <c r="E12" s="25">
        <v>41963</v>
      </c>
      <c r="F12" s="25">
        <v>41967</v>
      </c>
      <c r="G12" s="25">
        <v>41967</v>
      </c>
      <c r="H12" s="25">
        <v>41974</v>
      </c>
      <c r="I12" s="89" t="s">
        <v>85</v>
      </c>
      <c r="J12" s="25">
        <v>41975</v>
      </c>
      <c r="K12" s="25">
        <v>41977</v>
      </c>
      <c r="L12" s="25">
        <v>42034</v>
      </c>
      <c r="M12" s="25">
        <v>42030</v>
      </c>
      <c r="N12" s="25">
        <v>42083</v>
      </c>
      <c r="O12" s="25">
        <v>42009</v>
      </c>
      <c r="P12" s="25">
        <v>42011</v>
      </c>
      <c r="Q12" s="25">
        <v>42328</v>
      </c>
      <c r="R12" s="25">
        <v>42153</v>
      </c>
      <c r="S12" s="25">
        <v>42157</v>
      </c>
      <c r="T12" s="84" t="s">
        <v>100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Secteur DE0102</vt:lpstr>
      <vt:lpstr>03849536</vt:lpstr>
      <vt:lpstr>04466739</vt:lpstr>
      <vt:lpstr>02003633</vt:lpstr>
      <vt:lpstr>02884437</vt:lpstr>
      <vt:lpstr>03670485</vt:lpstr>
      <vt:lpstr>04534873</vt:lpstr>
      <vt:lpstr>05692287</vt:lpstr>
      <vt:lpstr>06667240</vt:lpstr>
      <vt:lpstr>07396034</vt:lpstr>
      <vt:lpstr>07854378</vt:lpstr>
      <vt:lpstr>08074019</vt:lpstr>
      <vt:lpstr>09106055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2014-10-16T12:25:40Z</cp:lastPrinted>
  <dcterms:created xsi:type="dcterms:W3CDTF">2014-04-10T15:52:05Z</dcterms:created>
  <dcterms:modified xsi:type="dcterms:W3CDTF">2015-10-29T22:01:13Z</dcterms:modified>
</cp:coreProperties>
</file>