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104" sheetId="1" r:id="rId1"/>
    <sheet name="01445045" sheetId="7" r:id="rId2"/>
    <sheet name="03756917" sheetId="2" r:id="rId3"/>
    <sheet name="00033577" sheetId="3" r:id="rId4"/>
    <sheet name="04832870" sheetId="4" r:id="rId5"/>
    <sheet name="05423986" sheetId="6" r:id="rId6"/>
    <sheet name="06624858" sheetId="8" r:id="rId7"/>
    <sheet name="08264122" sheetId="5" r:id="rId8"/>
    <sheet name="09350285" sheetId="9" r:id="rId9"/>
  </sheets>
  <definedNames>
    <definedName name="Lancer_la_requête_à_partir_de_MS_Access_Database" localSheetId="3" hidden="1">'00033577'!$B$9:$U$12</definedName>
    <definedName name="Lancer_la_requête_à_partir_de_MS_Access_Database" localSheetId="1" hidden="1">'01445045'!$B$9:$U$12</definedName>
    <definedName name="Lancer_la_requête_à_partir_de_MS_Access_Database" localSheetId="2" hidden="1">'03756917'!$B$9:$U$15</definedName>
    <definedName name="Lancer_la_requête_à_partir_de_MS_Access_Database" localSheetId="4" hidden="1">'04832870'!$B$9:$U$13</definedName>
    <definedName name="Lancer_la_requête_à_partir_de_MS_Access_Database" localSheetId="5" hidden="1">'05423986'!$B$9:$U$14</definedName>
    <definedName name="Lancer_la_requête_à_partir_de_MS_Access_Database" localSheetId="6" hidden="1">'06624858'!$B$9:$U$12</definedName>
    <definedName name="Lancer_la_requête_à_partir_de_MS_Access_Database" localSheetId="7" hidden="1">'08264122'!$B$9:$U$12</definedName>
    <definedName name="Lancer_la_requête_à_partir_de_MS_Access_Database" localSheetId="8" hidden="1">'09350285'!$B$9:$U$12</definedName>
    <definedName name="Lancer_la_requête_à_partir_de_MS_Access_Database_1" localSheetId="0" hidden="1">'Secteur DE0104'!$A$7:$K$15</definedName>
  </definedNames>
  <calcPr calcId="125725"/>
</workbook>
</file>

<file path=xl/calcChain.xml><?xml version="1.0" encoding="utf-8"?>
<calcChain xmlns="http://schemas.openxmlformats.org/spreadsheetml/2006/main">
  <c r="D16" i="1"/>
  <c r="E16"/>
  <c r="F16"/>
  <c r="G16"/>
  <c r="H16"/>
  <c r="I16"/>
  <c r="N4" i="9"/>
  <c r="M4"/>
  <c r="F4"/>
  <c r="N4" i="8"/>
  <c r="M4"/>
  <c r="F4"/>
  <c r="N4" i="7"/>
  <c r="M4"/>
  <c r="F4"/>
  <c r="N4" i="6" l="1"/>
  <c r="M4"/>
  <c r="F4"/>
  <c r="N4" i="5"/>
  <c r="M4"/>
  <c r="F4"/>
  <c r="N4" i="4"/>
  <c r="M4"/>
  <c r="F4"/>
  <c r="N4" i="3"/>
  <c r="M4"/>
  <c r="F4"/>
  <c r="G2" i="1"/>
  <c r="F2"/>
  <c r="D3"/>
  <c r="F4" i="2"/>
  <c r="N4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104')_x000d__x000a_ORDER BY Req_REPORT_SECTEURS_GLOBAL.Medecin"/>
  </connection>
  <connection id="2" name="Lancer la requête à partir de MS Access Database0003357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033577')"/>
  </connection>
  <connection id="3" name="Lancer la requête à partir de MS Access Database014450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445045')"/>
  </connection>
  <connection id="4" name="Lancer la requête à partir de MS Access Database0375691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756917')"/>
  </connection>
  <connection id="5" name="Lancer la requête à partir de MS Access Database048328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832870')"/>
  </connection>
  <connection id="6" name="Lancer la requête à partir de MS Access Database0542398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423986')"/>
  </connection>
  <connection id="7" name="Lancer la requête à partir de MS Access Database0662485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624858')"/>
  </connection>
  <connection id="8" name="Lancer la requête à partir de MS Access Database0826412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264122')"/>
  </connection>
  <connection id="9" name="Lancer la requête à partir de MS Access Database0935028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350285')"/>
  </connection>
</connections>
</file>

<file path=xl/sharedStrings.xml><?xml version="1.0" encoding="utf-8"?>
<sst xmlns="http://schemas.openxmlformats.org/spreadsheetml/2006/main" count="512" uniqueCount="93">
  <si>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</si>
  <si>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</si>
  <si>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</si>
  <si>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</si>
  <si>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</si>
  <si>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</si>
  <si>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</si>
  <si>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</si>
  <si>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</si>
  <si>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</si>
  <si>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</si>
  <si>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</si>
  <si>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</si>
  <si>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</si>
  <si>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</si>
  <si>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</si>
  <si>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</si>
  <si>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</si>
  <si>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</si>
  <si>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</si>
  <si>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</si>
  <si>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</si>
  <si>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</si>
  <si>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</si>
  <si>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</si>
  <si>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</si>
  <si>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</si>
  <si>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</si>
  <si>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</si>
  <si>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</si>
  <si>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</si>
  <si>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</si>
  <si>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</si>
  <si>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</si>
  <si>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</si>
  <si>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</si>
  <si>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</si>
  <si>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</si>
  <si>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</si>
  <si>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</si>
  <si>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</si>
  <si>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</si>
  <si>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</si>
  <si>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</si>
  <si>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</si>
  <si>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</si>
  <si>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</si>
  <si>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</si>
  <si>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</si>
  <si>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</si>
  <si>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</si>
  <si>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</si>
  <si>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</si>
  <si>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</si>
  <si>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</si>
  <si>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</si>
  <si>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</si>
  <si>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</si>
  <si>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</si>
  <si>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DE0104</t>
  </si>
  <si>
    <t>PAMARD Christian</t>
  </si>
  <si>
    <t>WFRM03756917</t>
  </si>
  <si>
    <t>GALEZOWSKI Marie-Françoise</t>
  </si>
  <si>
    <t>WFRM00033577</t>
  </si>
  <si>
    <t>GAUDILLIERE-ADHEMAR Jacqueline</t>
  </si>
  <si>
    <t>WFRM04832870</t>
  </si>
  <si>
    <t>JEANMOUGIN Michel</t>
  </si>
  <si>
    <t>WFRM08264122</t>
  </si>
  <si>
    <t>ROUX Marie-Estelle</t>
  </si>
  <si>
    <t>LE CORRE Yves</t>
  </si>
  <si>
    <t>WFRM05423986</t>
  </si>
  <si>
    <t>WFRM01445045</t>
  </si>
  <si>
    <t>BRUNEL Olivier</t>
  </si>
  <si>
    <t>SMS - Téléphone</t>
  </si>
  <si>
    <t>Mail - Téléphone - Via médecin</t>
  </si>
  <si>
    <t>SMS - Mail - Courrier</t>
  </si>
  <si>
    <t>SMS - Mail - Courrier - Téléphone</t>
  </si>
  <si>
    <t>SMS - Courrier - Téléphone</t>
  </si>
  <si>
    <t>SMS</t>
  </si>
  <si>
    <t>Courrier</t>
  </si>
  <si>
    <t>11sept: Le Dr a déjà declaré au delegué qu'elle ne comptait plus participer à l'étude.</t>
  </si>
  <si>
    <t>15sept: Impossible de parler directement au médecin, fait savoir via secretaire qu'elle n'incluera pas, manque de temps</t>
  </si>
  <si>
    <t>18sept: Dr souhaite etre reappro. 2 cahiers envoyé</t>
  </si>
  <si>
    <t>24sept:Dr souhaite etre reappro. 1 cahier envoyé.</t>
  </si>
  <si>
    <t>24sept: accepte de faire 2 nouveaux patients</t>
  </si>
  <si>
    <t>Mail - Via médecin</t>
  </si>
  <si>
    <t>Mail</t>
  </si>
  <si>
    <t>Via médecin</t>
  </si>
  <si>
    <t>WFRM06624858</t>
  </si>
  <si>
    <t>MOREAU Marika</t>
  </si>
  <si>
    <t>WFRM09350285</t>
  </si>
  <si>
    <t>15oct: n'aura pas du tout le temps de s'en occuper. Se désiste</t>
  </si>
  <si>
    <t>WEBER-BUISSET Marie-Jeanne</t>
  </si>
</sst>
</file>

<file path=xl/styles.xml><?xml version="1.0" encoding="utf-8"?>
<styleSheet xmlns="http://schemas.openxmlformats.org/spreadsheetml/2006/main">
  <numFmts count="1">
    <numFmt numFmtId="164" formatCode="dd/mm/yy;@"/>
  </numFmts>
  <fonts count="26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194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193"/>
      <tableStyleElement type="headerRow" dxfId="192"/>
      <tableStyleElement type="totalRow" dxfId="191"/>
      <tableStyleElement type="firstColumn" dxfId="190"/>
      <tableStyleElement type="lastColumn" dxfId="189"/>
      <tableStyleElement type="firstRowStripe" dxfId="188"/>
      <tableStyleElement type="secondRowStripe" dxfId="187"/>
      <tableStyleElement type="firstColumnStripe" dxfId="186"/>
      <tableStyleElement type="secondColumnStripe" dxfId="185"/>
    </tableStyle>
    <tableStyle name="TableStyleLight8 2" pivot="0" count="9">
      <tableStyleElement type="wholeTable" dxfId="184"/>
      <tableStyleElement type="headerRow" dxfId="183"/>
      <tableStyleElement type="totalRow" dxfId="182"/>
      <tableStyleElement type="firstColumn" dxfId="181"/>
      <tableStyleElement type="lastColumn" dxfId="180"/>
      <tableStyleElement type="firstRowStripe" dxfId="179"/>
      <tableStyleElement type="secondRowStripe" dxfId="178"/>
      <tableStyleElement type="firstColumnStripe" dxfId="177"/>
      <tableStyleElement type="secondColumnStripe" dxfId="176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16" tableType="queryTable" totalsRowCount="1" headerRowDxfId="175" dataDxfId="174">
  <tableColumns count="11">
    <tableColumn id="1" uniqueName="1" name="Code Secteur" queryTableFieldId="1" dataDxfId="162" totalsRowDxfId="163"/>
    <tableColumn id="2" uniqueName="2" name="VM" queryTableFieldId="2" dataDxfId="161" totalsRowDxfId="164"/>
    <tableColumn id="3" uniqueName="3" name="Code médecin" totalsRowLabel="TOTAL" queryTableFieldId="3" dataDxfId="160" totalsRowDxfId="165" dataCellStyle="Lien hypertexte"/>
    <tableColumn id="4" uniqueName="4" name="Medecin" totalsRowFunction="custom" queryTableFieldId="4" dataDxfId="159" totalsRowDxfId="166">
      <totalsRowFormula>SUBTOTAL(3,D8:D15)</totalsRowFormula>
    </tableColumn>
    <tableColumn id="5" uniqueName="5" name="Date de réception convention financière" totalsRowFunction="custom" queryTableFieldId="5" dataDxfId="158" totalsRowDxfId="167">
      <totalsRowFormula>SUBTOTAL(3,[Date de réception convention financière])</totalsRowFormula>
    </tableColumn>
    <tableColumn id="6" uniqueName="6" name="Date de réception AR kit" totalsRowFunction="custom" queryTableFieldId="6" dataDxfId="157" totalsRowDxfId="168">
      <totalsRowFormula>SUBTOTAL(3,[Date de réception AR kit])</totalsRowFormula>
    </tableColumn>
    <tableColumn id="7" uniqueName="7" name="Date de MEP" totalsRowFunction="custom" queryTableFieldId="7" dataDxfId="156" totalsRowDxfId="169">
      <totalsRowFormula>SUBTOTAL(3,[Date de MEP])</totalsRowFormula>
    </tableColumn>
    <tableColumn id="8" uniqueName="8" name="Desistement" totalsRowFunction="custom" queryTableFieldId="8" dataDxfId="155" totalsRowDxfId="170">
      <totalsRowFormula>SUBTOTAL(3,[Desistement])</totalsRowFormula>
    </tableColumn>
    <tableColumn id="9" uniqueName="9" name="Nb Total Patients inclus" totalsRowFunction="custom" queryTableFieldId="9" dataDxfId="154" totalsRowDxfId="171">
      <totalsRowFormula>SUBTOTAL(109,I8:I15)</totalsRowFormula>
    </tableColumn>
    <tableColumn id="10" uniqueName="10" name="Comptes-rendus contact médecin-GECEM" queryTableFieldId="10" dataDxfId="153" totalsRowDxfId="172"/>
    <tableColumn id="11" uniqueName="11" name="Date" queryTableFieldId="11" dataDxfId="152" totalsRowDxfId="173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7" name="Tableau_Lancer_la_requête_à_partir_de_MS_Access_Database4568" displayName="Tableau_Lancer_la_requête_à_partir_de_MS_Access_Database4568" ref="B9:U12" tableType="queryTable" totalsRowShown="0">
  <autoFilter ref="B9:U12"/>
  <tableColumns count="20">
    <tableColumn id="1" uniqueName="1" name="Num_Centre" queryTableFieldId="1" dataDxfId="151"/>
    <tableColumn id="2" uniqueName="2" name="Investigateur" queryTableFieldId="2" dataDxfId="150"/>
    <tableColumn id="3" uniqueName="3" name="Num_Patient" queryTableFieldId="3" dataDxfId="149"/>
    <tableColumn id="4" uniqueName="4" name="INCLUSION_Visite" queryTableFieldId="4" dataDxfId="148"/>
    <tableColumn id="5" uniqueName="5" name="INCLUSION_Reception" queryTableFieldId="5" dataDxfId="147"/>
    <tableColumn id="6" uniqueName="6" name="AQINCLUSION_Reception" queryTableFieldId="6" dataDxfId="146"/>
    <tableColumn id="7" uniqueName="7" name="CONTACT_Reception" queryTableFieldId="7" dataDxfId="145"/>
    <tableColumn id="8" uniqueName="8" name="TypeRappel" queryTableFieldId="8" dataDxfId="144"/>
    <tableColumn id="9" uniqueName="9" name="AQ7Theo" queryTableFieldId="9" dataDxfId="143"/>
    <tableColumn id="10" uniqueName="10" name="AQJ7_Reception" queryTableFieldId="10" dataDxfId="142"/>
    <tableColumn id="11" uniqueName="11" name="AQ_M2_Theo" queryTableFieldId="11" dataDxfId="141"/>
    <tableColumn id="12" uniqueName="12" name="AQM2_Reception" queryTableFieldId="12" dataDxfId="140"/>
    <tableColumn id="13" uniqueName="13" name="VP_Theo" queryTableFieldId="13" dataDxfId="139"/>
    <tableColumn id="14" uniqueName="14" name="PRECOCE_Visite" queryTableFieldId="14" dataDxfId="138"/>
    <tableColumn id="15" uniqueName="15" name="PRECOCE_Reception" queryTableFieldId="15" dataDxfId="137"/>
    <tableColumn id="16" uniqueName="16" name="VT_Theo" queryTableFieldId="16" dataDxfId="136"/>
    <tableColumn id="17" uniqueName="17" name="TARDIF_Visite" queryTableFieldId="17" dataDxfId="135"/>
    <tableColumn id="18" uniqueName="18" name="TARDIF_Reception" queryTableFieldId="18" dataDxfId="134"/>
    <tableColumn id="19" uniqueName="19" name="Onekey" queryTableFieldId="19" dataDxfId="133"/>
    <tableColumn id="20" uniqueName="20" name="Date" queryTableFieldId="20" dataDxfId="132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" name="Tableau_Lancer_la_requête_à_partir_de_MS_Access_Database" displayName="Tableau_Lancer_la_requête_à_partir_de_MS_Access_Database" ref="B9:U15" tableType="queryTable" totalsRowShown="0">
  <autoFilter ref="B9:U15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31"/>
    <tableColumn id="4" uniqueName="4" name="INCLUSION_Visite" queryTableFieldId="4" dataDxfId="130"/>
    <tableColumn id="5" uniqueName="5" name="INCLUSION_Reception" queryTableFieldId="5" dataDxfId="129"/>
    <tableColumn id="6" uniqueName="6" name="AQINCLUSION_Reception" queryTableFieldId="6" dataDxfId="128"/>
    <tableColumn id="7" uniqueName="7" name="CONTACT_Reception" queryTableFieldId="7" dataDxfId="127"/>
    <tableColumn id="8" uniqueName="8" name="TypeRappel" queryTableFieldId="8"/>
    <tableColumn id="9" uniqueName="9" name="AQ7Theo" queryTableFieldId="9" dataDxfId="126"/>
    <tableColumn id="10" uniqueName="10" name="AQJ7_Reception" queryTableFieldId="10" dataDxfId="125"/>
    <tableColumn id="11" uniqueName="11" name="AQ_M2_Theo" queryTableFieldId="11" dataDxfId="124"/>
    <tableColumn id="12" uniqueName="12" name="AQM2_Reception" queryTableFieldId="12" dataDxfId="123"/>
    <tableColumn id="13" uniqueName="13" name="VP_Theo" queryTableFieldId="13" dataDxfId="122"/>
    <tableColumn id="14" uniqueName="14" name="PRECOCE_Visite" queryTableFieldId="14" dataDxfId="121"/>
    <tableColumn id="15" uniqueName="15" name="PRECOCE_Reception" queryTableFieldId="15" dataDxfId="120"/>
    <tableColumn id="16" uniqueName="16" name="VT_Theo" queryTableFieldId="16" dataDxfId="119"/>
    <tableColumn id="17" uniqueName="17" name="TARDIF_Visite" queryTableFieldId="17" dataDxfId="118"/>
    <tableColumn id="18" uniqueName="18" name="TARDIF_Reception" queryTableFieldId="18" dataDxfId="117"/>
    <tableColumn id="19" uniqueName="19" name="Onekey" queryTableFieldId="19"/>
    <tableColumn id="20" uniqueName="20" name="Date" queryTableFieldId="20" dataDxfId="116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15"/>
    <tableColumn id="4" uniqueName="4" name="INCLUSION_Visite" queryTableFieldId="4" dataDxfId="114"/>
    <tableColumn id="5" uniqueName="5" name="INCLUSION_Reception" queryTableFieldId="5" dataDxfId="113"/>
    <tableColumn id="6" uniqueName="6" name="AQINCLUSION_Reception" queryTableFieldId="6" dataDxfId="112"/>
    <tableColumn id="7" uniqueName="7" name="CONTACT_Reception" queryTableFieldId="7" dataDxfId="111"/>
    <tableColumn id="8" uniqueName="8" name="TypeRappel" queryTableFieldId="8"/>
    <tableColumn id="9" uniqueName="9" name="AQ7Theo" queryTableFieldId="9" dataDxfId="110"/>
    <tableColumn id="10" uniqueName="10" name="AQJ7_Reception" queryTableFieldId="10" dataDxfId="109"/>
    <tableColumn id="11" uniqueName="11" name="AQ_M2_Theo" queryTableFieldId="11" dataDxfId="108"/>
    <tableColumn id="12" uniqueName="12" name="AQM2_Reception" queryTableFieldId="12" dataDxfId="107"/>
    <tableColumn id="13" uniqueName="13" name="VP_Theo" queryTableFieldId="13" dataDxfId="106"/>
    <tableColumn id="14" uniqueName="14" name="PRECOCE_Visite" queryTableFieldId="14" dataDxfId="105"/>
    <tableColumn id="15" uniqueName="15" name="PRECOCE_Reception" queryTableFieldId="15" dataDxfId="104"/>
    <tableColumn id="16" uniqueName="16" name="VT_Theo" queryTableFieldId="16" dataDxfId="103"/>
    <tableColumn id="17" uniqueName="17" name="TARDIF_Visite" queryTableFieldId="17" dataDxfId="102"/>
    <tableColumn id="18" uniqueName="18" name="TARDIF_Reception" queryTableFieldId="18" dataDxfId="101"/>
    <tableColumn id="19" uniqueName="19" name="Onekey" queryTableFieldId="19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4" name="Tableau_Lancer_la_requête_à_partir_de_MS_Access_Database45" displayName="Tableau_Lancer_la_requête_à_partir_de_MS_Access_Database45" ref="B9:U13" tableType="queryTable" totalsRowShown="0">
  <autoFilter ref="B9:U13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6" name="Tableau_Lancer_la_requête_à_partir_de_MS_Access_Database457" displayName="Tableau_Lancer_la_requête_à_partir_de_MS_Access_Database457" ref="B9:U14" tableType="queryTable" totalsRowShown="0">
  <autoFilter ref="B9:U14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8" name="Tableau_Lancer_la_requête_à_partir_de_MS_Access_Database4579" displayName="Tableau_Lancer_la_requête_à_partir_de_MS_Access_Database4579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9" name="Tableau_Lancer_la_requête_à_partir_de_MS_Access_Database45610" displayName="Tableau_Lancer_la_requête_à_partir_de_MS_Access_Database45610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18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$A$15</f>
        <v>DE0104</v>
      </c>
      <c r="G2" s="99" t="str">
        <f>$B$15</f>
        <v>PAMARD Christian</v>
      </c>
      <c r="H2" s="99"/>
      <c r="I2" s="99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$K$15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45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82" customFormat="1">
      <c r="A8" s="82" t="s">
        <v>59</v>
      </c>
      <c r="B8" s="82" t="s">
        <v>60</v>
      </c>
      <c r="C8" s="83" t="s">
        <v>71</v>
      </c>
      <c r="D8" s="80" t="s">
        <v>72</v>
      </c>
      <c r="E8" s="16">
        <v>41778</v>
      </c>
      <c r="F8" s="16">
        <v>41836</v>
      </c>
      <c r="G8" s="16">
        <v>41831</v>
      </c>
      <c r="H8" s="16">
        <v>41927</v>
      </c>
      <c r="I8" s="15"/>
      <c r="J8" s="80" t="s">
        <v>91</v>
      </c>
      <c r="K8" s="84">
        <v>42306</v>
      </c>
    </row>
    <row r="9" spans="1:17" s="82" customFormat="1">
      <c r="A9" s="82" t="s">
        <v>59</v>
      </c>
      <c r="B9" s="82" t="s">
        <v>60</v>
      </c>
      <c r="C9" s="83" t="s">
        <v>61</v>
      </c>
      <c r="D9" s="80" t="s">
        <v>62</v>
      </c>
      <c r="E9" s="16">
        <v>41703</v>
      </c>
      <c r="F9" s="16">
        <v>41743</v>
      </c>
      <c r="G9" s="16">
        <v>41740</v>
      </c>
      <c r="H9" s="16"/>
      <c r="I9" s="15">
        <v>6</v>
      </c>
      <c r="J9" s="80" t="s">
        <v>82</v>
      </c>
      <c r="K9" s="84">
        <v>42306</v>
      </c>
    </row>
    <row r="10" spans="1:17" s="82" customFormat="1" ht="30">
      <c r="A10" s="82" t="s">
        <v>59</v>
      </c>
      <c r="B10" s="82" t="s">
        <v>60</v>
      </c>
      <c r="C10" s="83" t="s">
        <v>63</v>
      </c>
      <c r="D10" s="80" t="s">
        <v>64</v>
      </c>
      <c r="E10" s="16">
        <v>41698</v>
      </c>
      <c r="F10" s="16">
        <v>41743</v>
      </c>
      <c r="G10" s="16">
        <v>41740</v>
      </c>
      <c r="H10" s="16">
        <v>41897</v>
      </c>
      <c r="I10" s="15"/>
      <c r="J10" s="80" t="s">
        <v>81</v>
      </c>
      <c r="K10" s="84">
        <v>42306</v>
      </c>
    </row>
    <row r="11" spans="1:17" s="82" customFormat="1">
      <c r="A11" s="82" t="s">
        <v>59</v>
      </c>
      <c r="B11" s="82" t="s">
        <v>60</v>
      </c>
      <c r="C11" s="83" t="s">
        <v>65</v>
      </c>
      <c r="D11" s="80" t="s">
        <v>66</v>
      </c>
      <c r="E11" s="16">
        <v>41698</v>
      </c>
      <c r="F11" s="16">
        <v>41740</v>
      </c>
      <c r="G11" s="16">
        <v>41739</v>
      </c>
      <c r="H11" s="16"/>
      <c r="I11" s="15">
        <v>4</v>
      </c>
      <c r="J11" s="80" t="s">
        <v>83</v>
      </c>
      <c r="K11" s="84">
        <v>42306</v>
      </c>
    </row>
    <row r="12" spans="1:17" s="82" customFormat="1">
      <c r="A12" s="82" t="s">
        <v>59</v>
      </c>
      <c r="B12" s="82" t="s">
        <v>60</v>
      </c>
      <c r="C12" s="83" t="s">
        <v>70</v>
      </c>
      <c r="D12" s="81" t="s">
        <v>69</v>
      </c>
      <c r="E12" s="16">
        <v>41778</v>
      </c>
      <c r="F12" s="16">
        <v>41802</v>
      </c>
      <c r="G12" s="16">
        <v>41801</v>
      </c>
      <c r="H12" s="16"/>
      <c r="I12" s="15">
        <v>5</v>
      </c>
      <c r="J12" s="81" t="s">
        <v>84</v>
      </c>
      <c r="K12" s="84">
        <v>42306</v>
      </c>
    </row>
    <row r="13" spans="1:17" s="82" customFormat="1">
      <c r="A13" s="82" t="s">
        <v>59</v>
      </c>
      <c r="B13" s="82" t="s">
        <v>60</v>
      </c>
      <c r="C13" s="83" t="s">
        <v>88</v>
      </c>
      <c r="D13" s="81" t="s">
        <v>89</v>
      </c>
      <c r="E13" s="16">
        <v>41920</v>
      </c>
      <c r="F13" s="16">
        <v>41968</v>
      </c>
      <c r="G13" s="16">
        <v>41967</v>
      </c>
      <c r="H13" s="16"/>
      <c r="I13" s="15"/>
      <c r="J13" s="81"/>
      <c r="K13" s="84">
        <v>42306</v>
      </c>
    </row>
    <row r="14" spans="1:17" ht="30">
      <c r="A14" s="82" t="s">
        <v>59</v>
      </c>
      <c r="B14" s="82" t="s">
        <v>60</v>
      </c>
      <c r="C14" s="83" t="s">
        <v>67</v>
      </c>
      <c r="D14" s="81" t="s">
        <v>68</v>
      </c>
      <c r="E14" s="16">
        <v>41725</v>
      </c>
      <c r="F14" s="16">
        <v>41743</v>
      </c>
      <c r="G14" s="16">
        <v>41739</v>
      </c>
      <c r="H14" s="16">
        <v>41893</v>
      </c>
      <c r="I14" s="15"/>
      <c r="J14" s="81" t="s">
        <v>80</v>
      </c>
      <c r="K14" s="84">
        <v>42306</v>
      </c>
    </row>
    <row r="15" spans="1:17">
      <c r="A15" s="82" t="s">
        <v>59</v>
      </c>
      <c r="B15" s="82" t="s">
        <v>60</v>
      </c>
      <c r="C15" s="83" t="s">
        <v>90</v>
      </c>
      <c r="D15" s="81" t="s">
        <v>92</v>
      </c>
      <c r="E15" s="16">
        <v>41925</v>
      </c>
      <c r="F15" s="16">
        <v>41933</v>
      </c>
      <c r="G15" s="16">
        <v>41932</v>
      </c>
      <c r="H15" s="16"/>
      <c r="I15" s="15">
        <v>3</v>
      </c>
      <c r="J15" s="81"/>
      <c r="K15" s="84">
        <v>42306</v>
      </c>
    </row>
    <row r="16" spans="1:17">
      <c r="A16" s="28"/>
      <c r="B16" s="28"/>
      <c r="C16" s="27" t="s">
        <v>15</v>
      </c>
      <c r="D16" s="33">
        <f>SUBTOTAL(3,D8:D15)</f>
        <v>8</v>
      </c>
      <c r="E16" s="33">
        <f>SUBTOTAL(3,[Date de réception convention financière])</f>
        <v>8</v>
      </c>
      <c r="F16" s="33">
        <f>SUBTOTAL(3,[Date de réception AR kit])</f>
        <v>8</v>
      </c>
      <c r="G16" s="33">
        <f>SUBTOTAL(3,[Date de MEP])</f>
        <v>8</v>
      </c>
      <c r="H16" s="85">
        <f>SUBTOTAL(3,[Desistement])</f>
        <v>3</v>
      </c>
      <c r="I16" s="27">
        <f>SUBTOTAL(109,I8:I15)</f>
        <v>18</v>
      </c>
      <c r="J16" s="31"/>
      <c r="K16" s="32"/>
    </row>
    <row r="17" spans="3:10">
      <c r="D17" s="10"/>
      <c r="J17" s="10"/>
    </row>
    <row r="18" spans="3:10">
      <c r="C18" s="26" t="s">
        <v>14</v>
      </c>
    </row>
  </sheetData>
  <mergeCells count="1">
    <mergeCell ref="G2:I2"/>
  </mergeCells>
  <pageMargins left="0.31496062992125984" right="0.31496062992125984" top="0.74803149606299213" bottom="0.74803149606299213" header="0.31496062992125984" footer="0.31496062992125984"/>
  <pageSetup paperSize="9" scale="6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0" t="s">
        <v>16</v>
      </c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2"/>
      <c r="M3" s="102"/>
      <c r="N3" s="102"/>
      <c r="O3" s="7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3" t="s">
        <v>58</v>
      </c>
      <c r="E4" s="103"/>
      <c r="F4" s="53">
        <f>$U$12</f>
        <v>42306</v>
      </c>
      <c r="G4" s="50"/>
      <c r="H4" s="50"/>
      <c r="I4" s="34"/>
      <c r="J4" s="50"/>
      <c r="K4" s="50"/>
      <c r="L4" s="77" t="s">
        <v>17</v>
      </c>
      <c r="M4" s="63">
        <f>$B$12</f>
        <v>65</v>
      </c>
      <c r="N4" s="104" t="str">
        <f>$C$12</f>
        <v>BRUNEL Olivier</v>
      </c>
      <c r="O4" s="104"/>
      <c r="P4" s="104"/>
      <c r="Q4" s="104"/>
      <c r="R4" s="10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5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9" t="s">
        <v>32</v>
      </c>
      <c r="M8" s="79" t="s">
        <v>31</v>
      </c>
      <c r="N8" s="78" t="s">
        <v>33</v>
      </c>
      <c r="O8" s="78" t="s">
        <v>34</v>
      </c>
      <c r="P8" s="7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65</v>
      </c>
      <c r="C10" s="42" t="s">
        <v>72</v>
      </c>
      <c r="D10" s="19">
        <v>1</v>
      </c>
      <c r="E10" s="25"/>
      <c r="F10" s="25"/>
      <c r="G10" s="25"/>
      <c r="H10" s="25"/>
      <c r="I10" s="75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86">
        <v>65</v>
      </c>
      <c r="C11" s="87" t="s">
        <v>72</v>
      </c>
      <c r="D11" s="19">
        <v>2</v>
      </c>
      <c r="I11" s="88" t="s">
        <v>57</v>
      </c>
      <c r="T11" s="87" t="s">
        <v>71</v>
      </c>
      <c r="U11" s="12">
        <v>42306</v>
      </c>
    </row>
    <row r="12" spans="2:48" ht="16.5" customHeight="1">
      <c r="B12" s="86">
        <v>65</v>
      </c>
      <c r="C12" s="87" t="s">
        <v>72</v>
      </c>
      <c r="D12" s="19">
        <v>3</v>
      </c>
      <c r="I12" s="88" t="s">
        <v>57</v>
      </c>
      <c r="T12" s="87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5"/>
  <sheetViews>
    <sheetView workbookViewId="0">
      <selection activeCell="D10" sqref="D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0" t="s">
        <v>16</v>
      </c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2"/>
      <c r="M3" s="102"/>
      <c r="N3" s="102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3" t="s">
        <v>58</v>
      </c>
      <c r="E4" s="103"/>
      <c r="F4" s="53">
        <f>$U$10</f>
        <v>42306</v>
      </c>
      <c r="G4" s="50"/>
      <c r="H4" s="50"/>
      <c r="I4" s="34"/>
      <c r="J4" s="50"/>
      <c r="K4" s="50"/>
      <c r="L4" s="57" t="s">
        <v>17</v>
      </c>
      <c r="M4" s="63">
        <f>$B$10</f>
        <v>69</v>
      </c>
      <c r="N4" s="104" t="str">
        <f>$C$10</f>
        <v>GALEZOWSKI Marie-Françoise</v>
      </c>
      <c r="O4" s="104"/>
      <c r="P4" s="104"/>
      <c r="Q4" s="104"/>
      <c r="R4" s="10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5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69</v>
      </c>
      <c r="C10" s="42" t="s">
        <v>62</v>
      </c>
      <c r="D10" s="19">
        <v>1</v>
      </c>
      <c r="E10" s="25">
        <v>41731</v>
      </c>
      <c r="F10" s="25">
        <v>41754</v>
      </c>
      <c r="G10" s="25">
        <v>41754</v>
      </c>
      <c r="H10" s="25">
        <v>41754</v>
      </c>
      <c r="I10" s="44" t="s">
        <v>73</v>
      </c>
      <c r="J10" s="25">
        <v>41743</v>
      </c>
      <c r="K10" s="25">
        <v>41754</v>
      </c>
      <c r="L10" s="25">
        <v>41802</v>
      </c>
      <c r="M10" s="25"/>
      <c r="N10" s="25">
        <v>41851</v>
      </c>
      <c r="O10" s="25">
        <v>41752</v>
      </c>
      <c r="P10" s="25">
        <v>41800</v>
      </c>
      <c r="Q10" s="25">
        <v>42096</v>
      </c>
      <c r="R10" s="25">
        <v>41892</v>
      </c>
      <c r="S10" s="25">
        <v>41894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69</v>
      </c>
      <c r="C11" t="s">
        <v>62</v>
      </c>
      <c r="D11" s="19">
        <v>2</v>
      </c>
      <c r="E11" s="25">
        <v>41766</v>
      </c>
      <c r="F11" s="25">
        <v>41771</v>
      </c>
      <c r="G11" s="25">
        <v>41771</v>
      </c>
      <c r="H11" s="25">
        <v>41771</v>
      </c>
      <c r="I11" t="s">
        <v>74</v>
      </c>
      <c r="J11" s="25">
        <v>41778</v>
      </c>
      <c r="L11" s="25">
        <v>41837</v>
      </c>
      <c r="N11" s="25">
        <v>41886</v>
      </c>
      <c r="Q11" s="25">
        <v>42131</v>
      </c>
      <c r="T11" t="s">
        <v>61</v>
      </c>
      <c r="U11" s="12">
        <v>42306</v>
      </c>
    </row>
    <row r="12" spans="2:48">
      <c r="B12">
        <v>69</v>
      </c>
      <c r="C12" t="s">
        <v>62</v>
      </c>
      <c r="D12" s="19">
        <v>3</v>
      </c>
      <c r="E12" s="25">
        <v>41781</v>
      </c>
      <c r="F12" s="25">
        <v>41785</v>
      </c>
      <c r="G12" s="25">
        <v>41785</v>
      </c>
      <c r="I12" t="s">
        <v>57</v>
      </c>
      <c r="J12" s="25">
        <v>41793</v>
      </c>
      <c r="L12" s="25">
        <v>41852</v>
      </c>
      <c r="N12" s="25">
        <v>41901</v>
      </c>
      <c r="Q12" s="25">
        <v>42146</v>
      </c>
      <c r="T12" t="s">
        <v>61</v>
      </c>
      <c r="U12" s="12">
        <v>42306</v>
      </c>
    </row>
    <row r="13" spans="2:48">
      <c r="B13">
        <v>69</v>
      </c>
      <c r="C13" t="s">
        <v>62</v>
      </c>
      <c r="D13" s="19">
        <v>4</v>
      </c>
      <c r="E13" s="25">
        <v>41919</v>
      </c>
      <c r="F13" s="25">
        <v>41921</v>
      </c>
      <c r="G13" s="25">
        <v>41921</v>
      </c>
      <c r="H13" s="25">
        <v>41921</v>
      </c>
      <c r="I13" t="s">
        <v>87</v>
      </c>
      <c r="J13" s="25">
        <v>41931</v>
      </c>
      <c r="K13" s="25">
        <v>41926</v>
      </c>
      <c r="L13" s="25">
        <v>41990</v>
      </c>
      <c r="M13" s="25">
        <v>41984</v>
      </c>
      <c r="N13" s="25">
        <v>42039</v>
      </c>
      <c r="O13" s="25">
        <v>41982</v>
      </c>
      <c r="P13" s="25">
        <v>41984</v>
      </c>
      <c r="Q13" s="25">
        <v>42284</v>
      </c>
      <c r="T13" t="s">
        <v>61</v>
      </c>
      <c r="U13" s="12">
        <v>42306</v>
      </c>
    </row>
    <row r="14" spans="2:48">
      <c r="B14">
        <v>69</v>
      </c>
      <c r="C14" t="s">
        <v>62</v>
      </c>
      <c r="D14" s="19">
        <v>5</v>
      </c>
      <c r="E14" s="25">
        <v>41911</v>
      </c>
      <c r="F14" s="25">
        <v>41913</v>
      </c>
      <c r="G14" s="25">
        <v>41978</v>
      </c>
      <c r="H14" s="25">
        <v>41913</v>
      </c>
      <c r="I14" t="s">
        <v>85</v>
      </c>
      <c r="J14" s="25">
        <v>41923</v>
      </c>
      <c r="K14" s="25">
        <v>41956</v>
      </c>
      <c r="L14" s="25">
        <v>41982</v>
      </c>
      <c r="M14" s="25">
        <v>41978</v>
      </c>
      <c r="N14" s="25">
        <v>42031</v>
      </c>
      <c r="O14" s="25">
        <v>41976</v>
      </c>
      <c r="P14" s="25">
        <v>41978</v>
      </c>
      <c r="Q14" s="25">
        <v>42276</v>
      </c>
      <c r="T14" t="s">
        <v>61</v>
      </c>
      <c r="U14" s="12">
        <v>42306</v>
      </c>
    </row>
    <row r="15" spans="2:48">
      <c r="B15">
        <v>69</v>
      </c>
      <c r="C15" t="s">
        <v>62</v>
      </c>
      <c r="D15" s="19">
        <v>6</v>
      </c>
      <c r="E15" s="25">
        <v>42018</v>
      </c>
      <c r="F15" s="25">
        <v>42020</v>
      </c>
      <c r="I15" t="s">
        <v>57</v>
      </c>
      <c r="J15" s="25">
        <v>42030</v>
      </c>
      <c r="L15" s="25">
        <v>42089</v>
      </c>
      <c r="N15" s="25">
        <v>42138</v>
      </c>
      <c r="Q15" s="25">
        <v>42383</v>
      </c>
      <c r="T15" t="s">
        <v>61</v>
      </c>
      <c r="U15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0" t="s">
        <v>16</v>
      </c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2"/>
      <c r="M3" s="102"/>
      <c r="N3" s="102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3" t="s">
        <v>58</v>
      </c>
      <c r="E4" s="103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66</v>
      </c>
      <c r="N4" s="104" t="str">
        <f>$C$10</f>
        <v>GAUDILLIERE-ADHEMAR Jacqueline</v>
      </c>
      <c r="O4" s="104"/>
      <c r="P4" s="104"/>
      <c r="Q4" s="104"/>
      <c r="R4" s="10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5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66</v>
      </c>
      <c r="C10" s="42" t="s">
        <v>64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66</v>
      </c>
      <c r="C11" t="s">
        <v>64</v>
      </c>
      <c r="D11" s="19">
        <v>2</v>
      </c>
      <c r="I11" t="s">
        <v>57</v>
      </c>
      <c r="T11" t="s">
        <v>63</v>
      </c>
      <c r="U11" s="12">
        <v>42306</v>
      </c>
    </row>
    <row r="12" spans="2:48">
      <c r="B12">
        <v>66</v>
      </c>
      <c r="C12" t="s">
        <v>64</v>
      </c>
      <c r="D12" s="19">
        <v>3</v>
      </c>
      <c r="I12" t="s">
        <v>57</v>
      </c>
      <c r="T12" t="s">
        <v>63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3"/>
  <sheetViews>
    <sheetView workbookViewId="0">
      <selection activeCell="N5" sqref="N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0" t="s">
        <v>16</v>
      </c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2"/>
      <c r="M3" s="102"/>
      <c r="N3" s="102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3" t="s">
        <v>58</v>
      </c>
      <c r="E4" s="103"/>
      <c r="F4" s="53">
        <f>$U$13</f>
        <v>42306</v>
      </c>
      <c r="G4" s="50"/>
      <c r="H4" s="50"/>
      <c r="I4" s="34"/>
      <c r="J4" s="50"/>
      <c r="K4" s="50"/>
      <c r="L4" s="65" t="s">
        <v>17</v>
      </c>
      <c r="M4" s="63">
        <f>$B$13</f>
        <v>67</v>
      </c>
      <c r="N4" s="104" t="str">
        <f>$C$13</f>
        <v>JEANMOUGIN Michel</v>
      </c>
      <c r="O4" s="104"/>
      <c r="P4" s="104"/>
      <c r="Q4" s="104"/>
      <c r="R4" s="10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5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67</v>
      </c>
      <c r="C10" s="42" t="s">
        <v>66</v>
      </c>
      <c r="D10" s="19">
        <v>1</v>
      </c>
      <c r="E10" s="25">
        <v>41745</v>
      </c>
      <c r="F10" s="25">
        <v>41747</v>
      </c>
      <c r="G10" s="25">
        <v>41765</v>
      </c>
      <c r="H10" s="25">
        <v>41751</v>
      </c>
      <c r="I10" s="44" t="s">
        <v>75</v>
      </c>
      <c r="J10" s="25">
        <v>41757</v>
      </c>
      <c r="K10" s="25">
        <v>41765</v>
      </c>
      <c r="L10" s="25">
        <v>41816</v>
      </c>
      <c r="M10" s="25">
        <v>41827</v>
      </c>
      <c r="N10" s="25">
        <v>41865</v>
      </c>
      <c r="O10" s="25">
        <v>41815</v>
      </c>
      <c r="P10" s="25">
        <v>41817</v>
      </c>
      <c r="Q10" s="25">
        <v>42110</v>
      </c>
      <c r="R10" s="25">
        <v>41985</v>
      </c>
      <c r="S10" s="25">
        <v>42152</v>
      </c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3">
        <v>67</v>
      </c>
      <c r="C11" s="74" t="s">
        <v>66</v>
      </c>
      <c r="D11" s="19">
        <v>2</v>
      </c>
      <c r="E11" s="25">
        <v>41765</v>
      </c>
      <c r="F11" s="25">
        <v>41771</v>
      </c>
      <c r="G11" s="25">
        <v>42152</v>
      </c>
      <c r="H11" s="25">
        <v>41808</v>
      </c>
      <c r="I11" s="75" t="s">
        <v>76</v>
      </c>
      <c r="J11" s="25">
        <v>41777</v>
      </c>
      <c r="K11" s="25">
        <v>41808</v>
      </c>
      <c r="L11" s="25">
        <v>41836</v>
      </c>
      <c r="M11" s="25">
        <v>41862</v>
      </c>
      <c r="N11" s="25">
        <v>41885</v>
      </c>
      <c r="O11" s="25">
        <v>41814</v>
      </c>
      <c r="P11" s="25">
        <v>41816</v>
      </c>
      <c r="Q11" s="25">
        <v>42130</v>
      </c>
      <c r="R11" s="25">
        <v>41992</v>
      </c>
      <c r="S11" s="25">
        <v>42152</v>
      </c>
      <c r="T11" s="74" t="s">
        <v>65</v>
      </c>
      <c r="U11" s="12">
        <v>42306</v>
      </c>
    </row>
    <row r="12" spans="2:48" ht="25.5">
      <c r="B12" s="73">
        <v>67</v>
      </c>
      <c r="C12" s="74" t="s">
        <v>66</v>
      </c>
      <c r="D12" s="19">
        <v>3</v>
      </c>
      <c r="E12" s="25">
        <v>41772</v>
      </c>
      <c r="F12" s="25">
        <v>41774</v>
      </c>
      <c r="G12" s="25">
        <v>42152</v>
      </c>
      <c r="H12" s="25">
        <v>41775</v>
      </c>
      <c r="I12" s="88" t="s">
        <v>77</v>
      </c>
      <c r="J12" s="25">
        <v>41784</v>
      </c>
      <c r="K12" s="25">
        <v>41781</v>
      </c>
      <c r="L12" s="25">
        <v>41843</v>
      </c>
      <c r="M12" s="25">
        <v>41838</v>
      </c>
      <c r="N12" s="25">
        <v>41892</v>
      </c>
      <c r="O12" s="25">
        <v>41900</v>
      </c>
      <c r="P12" s="25">
        <v>41904</v>
      </c>
      <c r="Q12" s="25">
        <v>42137</v>
      </c>
      <c r="R12" s="25">
        <v>42145</v>
      </c>
      <c r="S12" s="25">
        <v>42152</v>
      </c>
      <c r="T12" s="74" t="s">
        <v>65</v>
      </c>
      <c r="U12" s="12">
        <v>42306</v>
      </c>
    </row>
    <row r="13" spans="2:48" ht="25.5">
      <c r="B13" s="89">
        <v>67</v>
      </c>
      <c r="C13" s="90" t="s">
        <v>66</v>
      </c>
      <c r="D13" s="19">
        <v>4</v>
      </c>
      <c r="E13" s="25">
        <v>41912</v>
      </c>
      <c r="F13" s="25">
        <v>41914</v>
      </c>
      <c r="G13" s="25">
        <v>41914</v>
      </c>
      <c r="H13" s="25">
        <v>41914</v>
      </c>
      <c r="I13" s="88" t="s">
        <v>86</v>
      </c>
      <c r="J13" s="25">
        <v>41924</v>
      </c>
      <c r="L13" s="25">
        <v>41983</v>
      </c>
      <c r="N13" s="25">
        <v>42032</v>
      </c>
      <c r="Q13" s="25">
        <v>42277</v>
      </c>
      <c r="T13" s="90" t="s">
        <v>65</v>
      </c>
      <c r="U13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0" t="s">
        <v>16</v>
      </c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2"/>
      <c r="M3" s="102"/>
      <c r="N3" s="102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3" t="s">
        <v>58</v>
      </c>
      <c r="E4" s="103"/>
      <c r="F4" s="53">
        <f>$U$14</f>
        <v>42306</v>
      </c>
      <c r="G4" s="50"/>
      <c r="H4" s="50"/>
      <c r="I4" s="34"/>
      <c r="J4" s="50"/>
      <c r="K4" s="50"/>
      <c r="L4" s="69" t="s">
        <v>17</v>
      </c>
      <c r="M4" s="63">
        <f>$B$14</f>
        <v>323</v>
      </c>
      <c r="N4" s="104" t="str">
        <f>$C$14</f>
        <v>LE CORRE Yves</v>
      </c>
      <c r="O4" s="104"/>
      <c r="P4" s="104"/>
      <c r="Q4" s="104"/>
      <c r="R4" s="10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5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323</v>
      </c>
      <c r="C10" s="42" t="s">
        <v>69</v>
      </c>
      <c r="D10" s="19">
        <v>1</v>
      </c>
      <c r="E10" s="25">
        <v>41802</v>
      </c>
      <c r="F10" s="25">
        <v>41808</v>
      </c>
      <c r="G10" s="25">
        <v>41808</v>
      </c>
      <c r="H10" s="25">
        <v>41803</v>
      </c>
      <c r="I10" s="44" t="s">
        <v>78</v>
      </c>
      <c r="J10" s="25">
        <v>41814</v>
      </c>
      <c r="K10" s="25">
        <v>41844</v>
      </c>
      <c r="L10" s="25">
        <v>41873</v>
      </c>
      <c r="M10" s="25">
        <v>41893</v>
      </c>
      <c r="N10" s="25">
        <v>41922</v>
      </c>
      <c r="O10" s="25">
        <v>41814</v>
      </c>
      <c r="P10" s="25">
        <v>41823</v>
      </c>
      <c r="Q10" s="25">
        <v>42167</v>
      </c>
      <c r="R10" s="25">
        <v>42046</v>
      </c>
      <c r="S10" s="25">
        <v>42051</v>
      </c>
      <c r="T10" s="42" t="s">
        <v>70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323</v>
      </c>
      <c r="C11" s="72" t="s">
        <v>69</v>
      </c>
      <c r="D11" s="19">
        <v>2</v>
      </c>
      <c r="E11" s="25">
        <v>41807</v>
      </c>
      <c r="F11" s="25">
        <v>41809</v>
      </c>
      <c r="G11" s="25">
        <v>41809</v>
      </c>
      <c r="H11" s="25">
        <v>41809</v>
      </c>
      <c r="I11" s="44" t="s">
        <v>78</v>
      </c>
      <c r="J11" s="25">
        <v>41819</v>
      </c>
      <c r="L11" s="25">
        <v>41878</v>
      </c>
      <c r="M11" s="25">
        <v>41887</v>
      </c>
      <c r="N11" s="25">
        <v>41927</v>
      </c>
      <c r="O11" s="25">
        <v>41813</v>
      </c>
      <c r="P11" s="25">
        <v>41817</v>
      </c>
      <c r="Q11" s="25">
        <v>42172</v>
      </c>
      <c r="R11" s="25">
        <v>42130</v>
      </c>
      <c r="S11" s="25">
        <v>42135</v>
      </c>
      <c r="T11" s="72" t="s">
        <v>70</v>
      </c>
      <c r="U11" s="12">
        <v>42306</v>
      </c>
    </row>
    <row r="12" spans="2:48" ht="25.5">
      <c r="B12" s="43">
        <v>323</v>
      </c>
      <c r="C12" s="72" t="s">
        <v>69</v>
      </c>
      <c r="D12" s="19">
        <v>3</v>
      </c>
      <c r="E12" s="25">
        <v>41808</v>
      </c>
      <c r="F12" s="25">
        <v>41815</v>
      </c>
      <c r="G12" s="25">
        <v>41815</v>
      </c>
      <c r="H12" s="25">
        <v>41815</v>
      </c>
      <c r="I12" s="88" t="s">
        <v>79</v>
      </c>
      <c r="J12" s="25">
        <v>41820</v>
      </c>
      <c r="K12" s="25">
        <v>41849</v>
      </c>
      <c r="L12" s="25">
        <v>41879</v>
      </c>
      <c r="M12" s="25">
        <v>41897</v>
      </c>
      <c r="N12" s="25">
        <v>41928</v>
      </c>
      <c r="O12" s="25">
        <v>41842</v>
      </c>
      <c r="P12" s="25">
        <v>41844</v>
      </c>
      <c r="Q12" s="25">
        <v>42173</v>
      </c>
      <c r="R12" s="25">
        <v>41970</v>
      </c>
      <c r="S12" s="25">
        <v>41974</v>
      </c>
      <c r="T12" s="72" t="s">
        <v>70</v>
      </c>
      <c r="U12" s="12">
        <v>42306</v>
      </c>
    </row>
    <row r="13" spans="2:48" ht="25.5">
      <c r="B13" s="89">
        <v>323</v>
      </c>
      <c r="C13" s="90" t="s">
        <v>69</v>
      </c>
      <c r="D13" s="19">
        <v>4</v>
      </c>
      <c r="E13" s="25">
        <v>41912</v>
      </c>
      <c r="F13" s="25">
        <v>41914</v>
      </c>
      <c r="G13" s="25">
        <v>41976</v>
      </c>
      <c r="H13" s="25">
        <v>41915</v>
      </c>
      <c r="I13" s="88" t="s">
        <v>87</v>
      </c>
      <c r="J13" s="25">
        <v>41924</v>
      </c>
      <c r="K13" s="25">
        <v>41921</v>
      </c>
      <c r="L13" s="25">
        <v>41983</v>
      </c>
      <c r="M13" s="25">
        <v>41975</v>
      </c>
      <c r="N13" s="25">
        <v>42032</v>
      </c>
      <c r="O13" s="25">
        <v>41974</v>
      </c>
      <c r="P13" s="25">
        <v>41976</v>
      </c>
      <c r="Q13" s="25">
        <v>42277</v>
      </c>
      <c r="R13" s="25">
        <v>42114</v>
      </c>
      <c r="S13" s="25">
        <v>42116</v>
      </c>
      <c r="T13" s="90" t="s">
        <v>70</v>
      </c>
      <c r="U13" s="12">
        <v>42306</v>
      </c>
    </row>
    <row r="14" spans="2:48" ht="25.5">
      <c r="B14" s="89">
        <v>323</v>
      </c>
      <c r="C14" s="90" t="s">
        <v>69</v>
      </c>
      <c r="D14" s="19">
        <v>5</v>
      </c>
      <c r="E14" s="25">
        <v>41919</v>
      </c>
      <c r="F14" s="25">
        <v>41925</v>
      </c>
      <c r="G14" s="25">
        <v>41925</v>
      </c>
      <c r="H14" s="25">
        <v>41926</v>
      </c>
      <c r="I14" s="88" t="s">
        <v>86</v>
      </c>
      <c r="J14" s="25">
        <v>41931</v>
      </c>
      <c r="K14" s="25">
        <v>41934</v>
      </c>
      <c r="L14" s="25">
        <v>41990</v>
      </c>
      <c r="M14" s="25">
        <v>41989</v>
      </c>
      <c r="N14" s="25">
        <v>42039</v>
      </c>
      <c r="O14" s="25">
        <v>41982</v>
      </c>
      <c r="P14" s="25">
        <v>41982</v>
      </c>
      <c r="Q14" s="25">
        <v>42284</v>
      </c>
      <c r="R14" s="25">
        <v>42107</v>
      </c>
      <c r="S14" s="25">
        <v>42110</v>
      </c>
      <c r="T14" s="90" t="s">
        <v>70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0" t="s">
        <v>16</v>
      </c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2"/>
      <c r="M3" s="102"/>
      <c r="N3" s="102"/>
      <c r="O3" s="9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3" t="s">
        <v>58</v>
      </c>
      <c r="E4" s="103"/>
      <c r="F4" s="53">
        <f>$U$12</f>
        <v>42306</v>
      </c>
      <c r="G4" s="50"/>
      <c r="H4" s="50"/>
      <c r="I4" s="34"/>
      <c r="J4" s="50"/>
      <c r="K4" s="50"/>
      <c r="L4" s="94" t="s">
        <v>17</v>
      </c>
      <c r="M4" s="63">
        <f>$B$12</f>
        <v>389</v>
      </c>
      <c r="N4" s="104" t="str">
        <f>$C$12</f>
        <v>MOREAU Marika</v>
      </c>
      <c r="O4" s="104"/>
      <c r="P4" s="104"/>
      <c r="Q4" s="104"/>
      <c r="R4" s="10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5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2" t="s">
        <v>32</v>
      </c>
      <c r="M8" s="92" t="s">
        <v>31</v>
      </c>
      <c r="N8" s="91" t="s">
        <v>33</v>
      </c>
      <c r="O8" s="91" t="s">
        <v>34</v>
      </c>
      <c r="P8" s="9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389</v>
      </c>
      <c r="C10" s="42" t="s">
        <v>89</v>
      </c>
      <c r="D10" s="19">
        <v>1</v>
      </c>
      <c r="E10" s="25"/>
      <c r="F10" s="25"/>
      <c r="G10" s="25"/>
      <c r="H10" s="25"/>
      <c r="I10" s="88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9">
        <v>389</v>
      </c>
      <c r="C11" s="90" t="s">
        <v>89</v>
      </c>
      <c r="D11" s="19">
        <v>2</v>
      </c>
      <c r="I11" s="88" t="s">
        <v>57</v>
      </c>
      <c r="T11" s="90" t="s">
        <v>88</v>
      </c>
      <c r="U11" s="12">
        <v>42306</v>
      </c>
    </row>
    <row r="12" spans="2:48" ht="25.5">
      <c r="B12" s="89">
        <v>389</v>
      </c>
      <c r="C12" s="90" t="s">
        <v>89</v>
      </c>
      <c r="D12" s="19">
        <v>3</v>
      </c>
      <c r="I12" s="88" t="s">
        <v>57</v>
      </c>
      <c r="T12" s="90" t="s">
        <v>88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0" t="s">
        <v>16</v>
      </c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2"/>
      <c r="M3" s="102"/>
      <c r="N3" s="102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3" t="s">
        <v>58</v>
      </c>
      <c r="E4" s="103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68</v>
      </c>
      <c r="N4" s="104" t="str">
        <f>$C$12</f>
        <v>ROUX Marie-Estelle</v>
      </c>
      <c r="O4" s="104"/>
      <c r="P4" s="104"/>
      <c r="Q4" s="104"/>
      <c r="R4" s="10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5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68</v>
      </c>
      <c r="C10" s="42" t="s">
        <v>68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43">
        <v>68</v>
      </c>
      <c r="C11" s="72" t="s">
        <v>68</v>
      </c>
      <c r="D11" s="19">
        <v>2</v>
      </c>
      <c r="I11" s="44" t="s">
        <v>57</v>
      </c>
      <c r="T11" s="72" t="s">
        <v>67</v>
      </c>
      <c r="U11" s="12">
        <v>42306</v>
      </c>
    </row>
    <row r="12" spans="2:48" ht="16.5" customHeight="1">
      <c r="B12" s="43">
        <v>68</v>
      </c>
      <c r="C12" s="72" t="s">
        <v>68</v>
      </c>
      <c r="D12" s="19">
        <v>3</v>
      </c>
      <c r="I12" s="44" t="s">
        <v>57</v>
      </c>
      <c r="T12" s="72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0" t="s">
        <v>16</v>
      </c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2"/>
      <c r="M3" s="102"/>
      <c r="N3" s="102"/>
      <c r="O3" s="97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3" t="s">
        <v>58</v>
      </c>
      <c r="E4" s="103"/>
      <c r="F4" s="53">
        <f>$U$12</f>
        <v>42306</v>
      </c>
      <c r="G4" s="50"/>
      <c r="H4" s="50"/>
      <c r="I4" s="34"/>
      <c r="J4" s="50"/>
      <c r="K4" s="50"/>
      <c r="L4" s="98" t="s">
        <v>17</v>
      </c>
      <c r="M4" s="63">
        <f>$B$12</f>
        <v>406</v>
      </c>
      <c r="N4" s="104" t="str">
        <f>$C$12</f>
        <v>WEBER-BUISSET Marie-Jeanne</v>
      </c>
      <c r="O4" s="104"/>
      <c r="P4" s="104"/>
      <c r="Q4" s="104"/>
      <c r="R4" s="10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5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6" t="s">
        <v>32</v>
      </c>
      <c r="M8" s="96" t="s">
        <v>31</v>
      </c>
      <c r="N8" s="95" t="s">
        <v>33</v>
      </c>
      <c r="O8" s="95" t="s">
        <v>34</v>
      </c>
      <c r="P8" s="9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406</v>
      </c>
      <c r="C10" s="42" t="s">
        <v>92</v>
      </c>
      <c r="D10" s="19">
        <v>1</v>
      </c>
      <c r="E10" s="25">
        <v>41949</v>
      </c>
      <c r="F10" s="25">
        <v>41955</v>
      </c>
      <c r="G10" s="25">
        <v>41955</v>
      </c>
      <c r="H10" s="25"/>
      <c r="I10" s="88" t="s">
        <v>57</v>
      </c>
      <c r="J10" s="25">
        <v>41961</v>
      </c>
      <c r="K10" s="25"/>
      <c r="L10" s="25">
        <v>42020</v>
      </c>
      <c r="M10" s="25"/>
      <c r="N10" s="25">
        <v>42069</v>
      </c>
      <c r="O10" s="25"/>
      <c r="P10" s="25"/>
      <c r="Q10" s="25">
        <v>42314</v>
      </c>
      <c r="R10" s="25"/>
      <c r="S10" s="25"/>
      <c r="T10" s="42" t="s">
        <v>90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89">
        <v>406</v>
      </c>
      <c r="C11" s="90" t="s">
        <v>92</v>
      </c>
      <c r="D11" s="19">
        <v>2</v>
      </c>
      <c r="E11" s="25">
        <v>41956</v>
      </c>
      <c r="F11" s="25">
        <v>41960</v>
      </c>
      <c r="G11" s="25">
        <v>41960</v>
      </c>
      <c r="H11" s="25">
        <v>41970</v>
      </c>
      <c r="I11" s="88" t="s">
        <v>86</v>
      </c>
      <c r="J11" s="25">
        <v>41968</v>
      </c>
      <c r="K11" s="25">
        <v>41970</v>
      </c>
      <c r="L11" s="25">
        <v>42027</v>
      </c>
      <c r="M11" s="25">
        <v>42034</v>
      </c>
      <c r="N11" s="25">
        <v>42076</v>
      </c>
      <c r="Q11" s="25">
        <v>42321</v>
      </c>
      <c r="T11" s="90" t="s">
        <v>90</v>
      </c>
      <c r="U11" s="12">
        <v>42306</v>
      </c>
    </row>
    <row r="12" spans="2:48" ht="16.5" customHeight="1">
      <c r="B12" s="89">
        <v>406</v>
      </c>
      <c r="C12" s="90" t="s">
        <v>92</v>
      </c>
      <c r="D12" s="19">
        <v>3</v>
      </c>
      <c r="E12" s="25">
        <v>41981</v>
      </c>
      <c r="F12" s="25">
        <v>41983</v>
      </c>
      <c r="G12" s="25">
        <v>41983</v>
      </c>
      <c r="H12" s="25">
        <v>42013</v>
      </c>
      <c r="I12" s="88" t="s">
        <v>79</v>
      </c>
      <c r="J12" s="25">
        <v>41993</v>
      </c>
      <c r="K12" s="25">
        <v>42019</v>
      </c>
      <c r="L12" s="25">
        <v>42052</v>
      </c>
      <c r="M12" s="25">
        <v>42081</v>
      </c>
      <c r="N12" s="25">
        <v>42101</v>
      </c>
      <c r="Q12" s="25">
        <v>42346</v>
      </c>
      <c r="T12" s="90" t="s">
        <v>90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Secteur DE0104</vt:lpstr>
      <vt:lpstr>01445045</vt:lpstr>
      <vt:lpstr>03756917</vt:lpstr>
      <vt:lpstr>00033577</vt:lpstr>
      <vt:lpstr>04832870</vt:lpstr>
      <vt:lpstr>05423986</vt:lpstr>
      <vt:lpstr>06624858</vt:lpstr>
      <vt:lpstr>08264122</vt:lpstr>
      <vt:lpstr>09350285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2014-10-16T12:36:01Z</cp:lastPrinted>
  <dcterms:created xsi:type="dcterms:W3CDTF">2014-04-10T15:52:05Z</dcterms:created>
  <dcterms:modified xsi:type="dcterms:W3CDTF">2015-10-29T22:01:22Z</dcterms:modified>
</cp:coreProperties>
</file>