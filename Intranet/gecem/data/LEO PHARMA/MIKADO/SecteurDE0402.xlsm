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queryTables/queryTable19.xml" ContentType="application/vnd.openxmlformats-officedocument.spreadsheetml.queryTable+xml"/>
  <Override PartName="/xl/tables/table23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tables/table12.xml" ContentType="application/vnd.openxmlformats-officedocument.spreadsheetml.table+xml"/>
  <Override PartName="/xl/queryTables/queryTable17.xml" ContentType="application/vnd.openxmlformats-officedocument.spreadsheetml.query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queryTables/queryTable15.xml" ContentType="application/vnd.openxmlformats-officedocument.spreadsheetml.queryTable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22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1.xml" ContentType="application/vnd.openxmlformats-officedocument.spreadsheetml.queryTable+xml"/>
  <Override PartName="/xl/queryTables/queryTable20.xml" ContentType="application/vnd.openxmlformats-officedocument.spreadsheetml.queryTable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queryTables/queryTable18.xml" ContentType="application/vnd.openxmlformats-officedocument.spreadsheetml.queryTable+xml"/>
  <Override PartName="/xl/tables/table22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queryTables/queryTable16.xml" ContentType="application/vnd.openxmlformats-officedocument.spreadsheetml.queryTable+xml"/>
  <Override PartName="/xl/tables/table2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queryTables/queryTable14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 tabRatio="925"/>
  </bookViews>
  <sheets>
    <sheet name="Secteur DE0402" sheetId="1" r:id="rId1"/>
    <sheet name="00503125" sheetId="19" r:id="rId2"/>
    <sheet name="00730196" sheetId="2" r:id="rId3"/>
    <sheet name="01019367" sheetId="10" r:id="rId4"/>
    <sheet name="01441790" sheetId="17" r:id="rId5"/>
    <sheet name="01728213" sheetId="23" r:id="rId6"/>
    <sheet name="02193645" sheetId="3" r:id="rId7"/>
    <sheet name="02497142" sheetId="8" r:id="rId8"/>
    <sheet name="03182615" sheetId="16" r:id="rId9"/>
    <sheet name="00044948" sheetId="4" r:id="rId10"/>
    <sheet name="09361520" sheetId="5" r:id="rId11"/>
    <sheet name="03503245" sheetId="15" r:id="rId12"/>
    <sheet name="04249765" sheetId="14" r:id="rId13"/>
    <sheet name="04715322" sheetId="6" r:id="rId14"/>
    <sheet name="05822780" sheetId="11" r:id="rId15"/>
    <sheet name="06195928" sheetId="12" r:id="rId16"/>
    <sheet name="07075335" sheetId="20" r:id="rId17"/>
    <sheet name="07424138" sheetId="18" r:id="rId18"/>
    <sheet name="07884619" sheetId="7" r:id="rId19"/>
    <sheet name="08102898" sheetId="21" r:id="rId20"/>
    <sheet name="08035908" sheetId="24" r:id="rId21"/>
    <sheet name="08601940" sheetId="13" r:id="rId22"/>
    <sheet name="09361310" sheetId="9" r:id="rId23"/>
  </sheets>
  <definedNames>
    <definedName name="Lancer_la_requête_à_partir_de_MS_Access_Database" localSheetId="9" hidden="1">'00044948'!$B$9:$U$16</definedName>
    <definedName name="Lancer_la_requête_à_partir_de_MS_Access_Database" localSheetId="1" hidden="1">'00503125'!$B$9:$U$14</definedName>
    <definedName name="Lancer_la_requête_à_partir_de_MS_Access_Database" localSheetId="2" hidden="1">'00730196'!$B$9:$U$12</definedName>
    <definedName name="Lancer_la_requête_à_partir_de_MS_Access_Database" localSheetId="3" hidden="1">'01019367'!$B$9:$U$14</definedName>
    <definedName name="Lancer_la_requête_à_partir_de_MS_Access_Database" localSheetId="4" hidden="1">'01441790'!$B$9:$U$14</definedName>
    <definedName name="Lancer_la_requête_à_partir_de_MS_Access_Database" localSheetId="5" hidden="1">'01728213'!$B$9:$U$15</definedName>
    <definedName name="Lancer_la_requête_à_partir_de_MS_Access_Database" localSheetId="6" hidden="1">'02193645'!$B$9:$U$14</definedName>
    <definedName name="Lancer_la_requête_à_partir_de_MS_Access_Database" localSheetId="7" hidden="1">'02497142'!$B$9:$U$14</definedName>
    <definedName name="Lancer_la_requête_à_partir_de_MS_Access_Database" localSheetId="8" hidden="1">'03182615'!$B$9:$U$14</definedName>
    <definedName name="Lancer_la_requête_à_partir_de_MS_Access_Database" localSheetId="11" hidden="1">'03503245'!$B$9:$U$14</definedName>
    <definedName name="Lancer_la_requête_à_partir_de_MS_Access_Database" localSheetId="12" hidden="1">'04249765'!$B$9:$U$16</definedName>
    <definedName name="Lancer_la_requête_à_partir_de_MS_Access_Database" localSheetId="13" hidden="1">'04715322'!$B$9:$U$16</definedName>
    <definedName name="Lancer_la_requête_à_partir_de_MS_Access_Database" localSheetId="14" hidden="1">'05822780'!$B$9:$U$14</definedName>
    <definedName name="Lancer_la_requête_à_partir_de_MS_Access_Database" localSheetId="15" hidden="1">'06195928'!$B$9:$U$14</definedName>
    <definedName name="Lancer_la_requête_à_partir_de_MS_Access_Database" localSheetId="16" hidden="1">'07075335'!$B$9:$U$12</definedName>
    <definedName name="Lancer_la_requête_à_partir_de_MS_Access_Database" localSheetId="17" hidden="1">'07424138'!$B$9:$U$17</definedName>
    <definedName name="Lancer_la_requête_à_partir_de_MS_Access_Database" localSheetId="18" hidden="1">'07884619'!$B$9:$U$14</definedName>
    <definedName name="Lancer_la_requête_à_partir_de_MS_Access_Database" localSheetId="20" hidden="1">'08035908'!$B$9:$U$12</definedName>
    <definedName name="Lancer_la_requête_à_partir_de_MS_Access_Database" localSheetId="19" hidden="1">'08102898'!$B$9:$U$12</definedName>
    <definedName name="Lancer_la_requête_à_partir_de_MS_Access_Database" localSheetId="21" hidden="1">'08601940'!$B$9:$U$14</definedName>
    <definedName name="Lancer_la_requête_à_partir_de_MS_Access_Database" localSheetId="22" hidden="1">'09361310'!$B$9:$U$14</definedName>
    <definedName name="Lancer_la_requête_à_partir_de_MS_Access_Database" localSheetId="10" hidden="1">'09361520'!$B$9:$U$14</definedName>
    <definedName name="Lancer_la_requête_à_partir_de_MS_Access_Database_1" localSheetId="0" hidden="1">'Secteur DE0402'!$A$7:$K$29</definedName>
  </definedNames>
  <calcPr calcId="125725"/>
</workbook>
</file>

<file path=xl/calcChain.xml><?xml version="1.0" encoding="utf-8"?>
<calcChain xmlns="http://schemas.openxmlformats.org/spreadsheetml/2006/main">
  <c r="D30" i="1"/>
  <c r="E30"/>
  <c r="F30"/>
  <c r="G30"/>
  <c r="H30"/>
  <c r="I30"/>
  <c r="N4" i="24"/>
  <c r="M4"/>
  <c r="F4"/>
  <c r="N4" i="23"/>
  <c r="M4"/>
  <c r="F4"/>
  <c r="N4" i="21"/>
  <c r="M4"/>
  <c r="F4"/>
  <c r="N4" i="20"/>
  <c r="M4"/>
  <c r="F4"/>
  <c r="N4" i="19"/>
  <c r="M4"/>
  <c r="F4"/>
  <c r="N4" i="18"/>
  <c r="M4"/>
  <c r="F4"/>
  <c r="N4" i="17"/>
  <c r="M4"/>
  <c r="F4"/>
  <c r="N4" i="16"/>
  <c r="M4"/>
  <c r="F4"/>
  <c r="N4" i="15"/>
  <c r="M4"/>
  <c r="F4"/>
  <c r="N4" i="14"/>
  <c r="M4"/>
  <c r="F4"/>
  <c r="N4" i="13"/>
  <c r="M4"/>
  <c r="F4"/>
  <c r="N4" i="12" l="1"/>
  <c r="M4"/>
  <c r="F4"/>
  <c r="N4" i="11"/>
  <c r="M4"/>
  <c r="F4"/>
  <c r="N4" i="10"/>
  <c r="M4"/>
  <c r="F4"/>
  <c r="N4" i="9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G2" i="1"/>
  <c r="F2"/>
  <c r="D3"/>
  <c r="F4" i="2"/>
  <c r="N4"/>
  <c r="M4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402')_x000d__x000a_ORDER BY Req_REPORT_SECTEURS_GLOBAL.Medecin"/>
  </connection>
  <connection id="2" name="Lancer la requête à partir de MS Access Database0004494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044948')"/>
  </connection>
  <connection id="3" name="Lancer la requête à partir de MS Access Database0050312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503125')"/>
  </connection>
  <connection id="4" name="Lancer la requête à partir de MS Access Database0073019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730196')"/>
  </connection>
  <connection id="5" name="Lancer la requête à partir de MS Access Database0101936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019367')"/>
  </connection>
  <connection id="6" name="Lancer la requête à partir de MS Access Database0144179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441790')"/>
  </connection>
  <connection id="7" name="Lancer la requête à partir de MS Access Database0172821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728213')"/>
  </connection>
  <connection id="8" name="Lancer la requête à partir de MS Access Database0219364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193645')"/>
  </connection>
  <connection id="9" name="Lancer la requête à partir de MS Access Database0249714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497142')"/>
  </connection>
  <connection id="10" name="Lancer la requête à partir de MS Access Database0318261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182615')"/>
  </connection>
  <connection id="11" name="Lancer la requête à partir de MS Access Database0327253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075335')"/>
  </connection>
  <connection id="12" name="Lancer la requête à partir de MS Access Database0350324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503245')"/>
  </connection>
  <connection id="13" name="Lancer la requête à partir de MS Access Database0424976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249765')"/>
  </connection>
  <connection id="14" name="Lancer la requête à partir de MS Access Database0471532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715322')"/>
  </connection>
  <connection id="15" name="Lancer la requête à partir de MS Access Database0582278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822780')"/>
  </connection>
  <connection id="16" name="Lancer la requête à partir de MS Access Database0619592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195928')"/>
  </connection>
  <connection id="17" name="Lancer la requête à partir de MS Access Database0742413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424138')"/>
  </connection>
  <connection id="18" name="Lancer la requête à partir de MS Access Database0788461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884619')"/>
  </connection>
  <connection id="19" name="Lancer la requête à partir de MS Access Database0803590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035908')"/>
  </connection>
  <connection id="20" name="Lancer la requête à partir de MS Access Database0810289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102898')"/>
  </connection>
  <connection id="21" name="Lancer la requête à partir de MS Access Database0860194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601940')"/>
  </connection>
  <connection id="22" name="Lancer la requête à partir de MS Access Database0936131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361310')"/>
  </connection>
  <connection id="23" name="Lancer la requête à partir de MS Access Database0936152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361520')"/>
  </connection>
</connections>
</file>

<file path=xl/sharedStrings.xml><?xml version="1.0" encoding="utf-8"?>
<sst xmlns="http://schemas.openxmlformats.org/spreadsheetml/2006/main" count="1468" uniqueCount="138">
  <si>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</si>
  <si>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</si>
  <si>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</si>
  <si>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</si>
  <si>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</si>
  <si>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</si>
  <si>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</si>
  <si>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</si>
  <si>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</si>
  <si>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</si>
  <si>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</si>
  <si>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</si>
  <si>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</si>
  <si>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</si>
  <si>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</si>
  <si>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</si>
  <si>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</si>
  <si>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</si>
  <si>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</si>
  <si>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</si>
  <si>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</si>
  <si>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</si>
  <si>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</si>
  <si>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</si>
  <si>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</si>
  <si>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</si>
  <si>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</si>
  <si>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</si>
  <si>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</si>
  <si>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</si>
  <si>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</si>
  <si>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</si>
  <si>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</si>
  <si>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</si>
  <si>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</si>
  <si>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</si>
  <si>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</si>
  <si>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</si>
  <si>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</si>
  <si>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</si>
  <si>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</si>
  <si>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</si>
  <si>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</si>
  <si>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</si>
  <si>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</si>
  <si>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</si>
  <si>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</si>
  <si>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</si>
  <si>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</si>
  <si>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</si>
  <si>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</si>
  <si>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</si>
  <si>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</si>
  <si>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</si>
  <si>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</si>
  <si>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</si>
  <si>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</si>
  <si>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</si>
  <si>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</si>
  <si>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DE0402</t>
  </si>
  <si>
    <t>YUNG Karine</t>
  </si>
  <si>
    <t>WFRM00730196</t>
  </si>
  <si>
    <t>BERANGER Philippe</t>
  </si>
  <si>
    <t>WFRM02193645</t>
  </si>
  <si>
    <t>DESRUELLES François</t>
  </si>
  <si>
    <t>WFRM00044948</t>
  </si>
  <si>
    <t>EL BAZE Philip</t>
  </si>
  <si>
    <t>WFRM09361520</t>
  </si>
  <si>
    <t>GENOLIER WEILLER Annick</t>
  </si>
  <si>
    <t>WFRM04715322</t>
  </si>
  <si>
    <t>ILLY Geneviève</t>
  </si>
  <si>
    <t>WFRM07884619</t>
  </si>
  <si>
    <t>REVERTE Marc</t>
  </si>
  <si>
    <t>DRAPPIER Jean-Christophe</t>
  </si>
  <si>
    <t>WFRM02497142</t>
  </si>
  <si>
    <t>WEILLER Michel</t>
  </si>
  <si>
    <t>WFRM09361310</t>
  </si>
  <si>
    <t>BODOKH Isaac</t>
  </si>
  <si>
    <t>WFRM01019367</t>
  </si>
  <si>
    <t>WFRM05822780</t>
  </si>
  <si>
    <t>LASZLO Daniela</t>
  </si>
  <si>
    <t>WFRM06195928</t>
  </si>
  <si>
    <t>MARTINOT-AARRAS Cécile</t>
  </si>
  <si>
    <t>WFRM08601940</t>
  </si>
  <si>
    <t>WFRM04249765</t>
  </si>
  <si>
    <t>WFRM03182615</t>
  </si>
  <si>
    <t>DURAND Jean-Marc</t>
  </si>
  <si>
    <t>WFRM03503245</t>
  </si>
  <si>
    <t>GORLIER Céline</t>
  </si>
  <si>
    <t>GRISONI-FRANCE Patricia</t>
  </si>
  <si>
    <t>SQUARCIONI Paule-Jeanne</t>
  </si>
  <si>
    <t>24juin: a inclus 2 patients ce jour, le 3ème bientôt également, demande l'envoi de cahiers supplémentaires</t>
  </si>
  <si>
    <t>WFRM01441790</t>
  </si>
  <si>
    <t>BRUN Patrick</t>
  </si>
  <si>
    <t>26juin: souhaite avoir 2 nouveaux cahiers =&gt; OK envoi le 27 juin</t>
  </si>
  <si>
    <t>WFRM07424138</t>
  </si>
  <si>
    <t>POIRIER Jean-Paul</t>
  </si>
  <si>
    <t>Mail - Téléphone</t>
  </si>
  <si>
    <t>Via médecin</t>
  </si>
  <si>
    <t>Mail - Courrier - Téléphone</t>
  </si>
  <si>
    <t>SMS - Mail</t>
  </si>
  <si>
    <t>SMS - Mail - Téléphone - Via médecin</t>
  </si>
  <si>
    <t>Courrier - Téléphone</t>
  </si>
  <si>
    <t>Mail - Courrier</t>
  </si>
  <si>
    <t>Mail</t>
  </si>
  <si>
    <t>SMS</t>
  </si>
  <si>
    <t>Téléphone</t>
  </si>
  <si>
    <t>Mail - Courrier - Via médecin</t>
  </si>
  <si>
    <t>Courrier 05/08: relance à faire auprès des patients 1, 2 et 1516 car n'ont pas renvoyé leur autoQ 2 mois</t>
  </si>
  <si>
    <t>Courrier 05/08: manque page 3 visite inclusion patient 2</t>
  </si>
  <si>
    <t>Courrier 06/08: demande envoi visite inclusion patient 1</t>
  </si>
  <si>
    <t>Courrier 22août : envoi courrier pour relance à faire patient 1534 n'a pas renvoyé son auto-questionnaire 2 mois.</t>
  </si>
  <si>
    <t>Courrier 22août : envoi courrier pour relance à faire patients 1502 &amp; 1503 n'ont pas renvoyé leur auto-questionnaire 2 mois.</t>
  </si>
  <si>
    <t>WFRM00503125</t>
  </si>
  <si>
    <t>BARELLI Lydie</t>
  </si>
  <si>
    <t>WFRM07075335</t>
  </si>
  <si>
    <t>PASSERON Alain</t>
  </si>
  <si>
    <t>SMS - Mail - Courrier</t>
  </si>
  <si>
    <t>SMS - Mail - Courrier - Téléphone</t>
  </si>
  <si>
    <t>05/11: souhaite recevoir 2 nouveaux CRFs</t>
  </si>
  <si>
    <t>WFRM08102898</t>
  </si>
  <si>
    <t>RODOT VAN ELSLANDE Sylvie</t>
  </si>
  <si>
    <t>CAUJOLLE Isabelle</t>
  </si>
  <si>
    <t>WFRM01728213</t>
  </si>
  <si>
    <t>WFRM08035908</t>
  </si>
  <si>
    <t>ROSTAIN Gilles</t>
  </si>
  <si>
    <t>Courrier - Via médecin</t>
  </si>
  <si>
    <t>06nov: Souhaite recevoir 2  cahiers supp=&gt; envoyé le 13nov14</t>
  </si>
  <si>
    <t>06nov:Souhaite 2 nv Cahiers =&gt; envoyé le 14nov</t>
  </si>
  <si>
    <t>06nov: souhaite 2 autres cahiers=&gt; envoyé le 12 nov</t>
  </si>
  <si>
    <t>06nov: 3 nv cahiers=&gt; envoyé le 17nov</t>
  </si>
  <si>
    <t>12nov: souhaite 3 nouveaux cahiers=&gt; envoi de l'avenant</t>
  </si>
  <si>
    <t>Colonne1</t>
  </si>
  <si>
    <t>Reste 3 patients à inclure</t>
  </si>
  <si>
    <t>Reste 4 patients à inclure</t>
  </si>
  <si>
    <t>Mail - Via médecin</t>
  </si>
  <si>
    <t>Téléphone - Via médecin</t>
  </si>
  <si>
    <t>Courrier</t>
  </si>
</sst>
</file>

<file path=xl/styles.xml><?xml version="1.0" encoding="utf-8"?>
<styleSheet xmlns="http://schemas.openxmlformats.org/spreadsheetml/2006/main">
  <numFmts count="1">
    <numFmt numFmtId="164" formatCode="dd/mm/yy;@"/>
  </numFmts>
  <fonts count="33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8080"/>
      </left>
      <right style="thin">
        <color rgb="FF000000"/>
      </right>
      <top style="thin">
        <color rgb="FF000000"/>
      </top>
      <bottom style="thin">
        <color rgb="FF008080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79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164" fontId="0" fillId="0" borderId="0" xfId="0" applyNumberFormat="1" applyAlignment="1">
      <alignment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/>
    <xf numFmtId="0" fontId="28" fillId="0" borderId="0" xfId="0" applyFont="1" applyAlignment="1">
      <alignment horizontal="center" vertical="center" wrapText="1"/>
    </xf>
    <xf numFmtId="0" fontId="28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2" borderId="0" xfId="0" applyFont="1" applyFill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14" fontId="0" fillId="0" borderId="0" xfId="0" applyNumberFormat="1"/>
    <xf numFmtId="0" fontId="31" fillId="0" borderId="0" xfId="0" applyFont="1" applyAlignment="1">
      <alignment horizontal="center" vertical="center" wrapText="1"/>
    </xf>
    <xf numFmtId="0" fontId="31" fillId="2" borderId="0" xfId="0" applyFont="1" applyFill="1" applyAlignment="1">
      <alignment horizontal="center" vertical="center" wrapText="1"/>
    </xf>
    <xf numFmtId="0" fontId="0" fillId="11" borderId="0" xfId="0" applyFill="1" applyAlignment="1">
      <alignment vertical="center" wrapText="1"/>
    </xf>
    <xf numFmtId="0" fontId="11" fillId="11" borderId="0" xfId="2" applyFill="1" applyAlignment="1" applyProtection="1">
      <alignment horizontal="center" vertical="center" wrapText="1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164" fontId="0" fillId="11" borderId="0" xfId="0" applyNumberFormat="1" applyFill="1" applyAlignment="1">
      <alignment vertical="center" wrapText="1"/>
    </xf>
    <xf numFmtId="0" fontId="32" fillId="12" borderId="5" xfId="0" applyFont="1" applyFill="1" applyBorder="1" applyAlignment="1">
      <alignment vertical="center" wrapText="1"/>
    </xf>
    <xf numFmtId="0" fontId="0" fillId="11" borderId="0" xfId="0" applyFill="1"/>
    <xf numFmtId="14" fontId="7" fillId="3" borderId="0" xfId="1" applyNumberFormat="1" applyFont="1" applyFill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471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470"/>
      <tableStyleElement type="headerRow" dxfId="469"/>
      <tableStyleElement type="totalRow" dxfId="468"/>
      <tableStyleElement type="firstColumn" dxfId="467"/>
      <tableStyleElement type="lastColumn" dxfId="466"/>
      <tableStyleElement type="firstRowStripe" dxfId="465"/>
      <tableStyleElement type="secondRowStripe" dxfId="464"/>
      <tableStyleElement type="firstColumnStripe" dxfId="463"/>
      <tableStyleElement type="secondColumnStripe" dxfId="462"/>
    </tableStyle>
    <tableStyle name="TableStyleLight8 2" pivot="0" count="9">
      <tableStyleElement type="wholeTable" dxfId="461"/>
      <tableStyleElement type="headerRow" dxfId="460"/>
      <tableStyleElement type="totalRow" dxfId="459"/>
      <tableStyleElement type="firstColumn" dxfId="458"/>
      <tableStyleElement type="lastColumn" dxfId="457"/>
      <tableStyleElement type="firstRowStripe" dxfId="456"/>
      <tableStyleElement type="secondRowStripe" dxfId="455"/>
      <tableStyleElement type="firstColumnStripe" dxfId="454"/>
      <tableStyleElement type="secondColumnStripe" dxfId="453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2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4.xml><?xml version="1.0" encoding="utf-8"?>
<queryTable xmlns="http://schemas.openxmlformats.org/spreadsheetml/2006/main" name="Lancer la requête à partir de MS Access Database" adjustColumnWidth="0" connectionId="1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5.xml><?xml version="1.0" encoding="utf-8"?>
<queryTable xmlns="http://schemas.openxmlformats.org/spreadsheetml/2006/main" name="Lancer la requête à partir de MS Access Database" adjustColumnWidth="0" connectionId="1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6.xml><?xml version="1.0" encoding="utf-8"?>
<queryTable xmlns="http://schemas.openxmlformats.org/spreadsheetml/2006/main" name="Lancer la requête à partir de MS Access Database" adjustColumnWidth="0" connectionId="1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7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8.xml><?xml version="1.0" encoding="utf-8"?>
<queryTable xmlns="http://schemas.openxmlformats.org/spreadsheetml/2006/main" name="Lancer la requête à partir de MS Access Database" adjustColumnWidth="0" connectionId="1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9.xml><?xml version="1.0" encoding="utf-8"?>
<queryTable xmlns="http://schemas.openxmlformats.org/spreadsheetml/2006/main" name="Lancer la requête à partir de MS Access Database" adjustColumnWidth="0" connectionId="1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20.xml><?xml version="1.0" encoding="utf-8"?>
<queryTable xmlns="http://schemas.openxmlformats.org/spreadsheetml/2006/main" name="Lancer la requête à partir de MS Access Database" adjustColumnWidth="0" connectionId="2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21.xml><?xml version="1.0" encoding="utf-8"?>
<queryTable xmlns="http://schemas.openxmlformats.org/spreadsheetml/2006/main" name="Lancer la requête à partir de MS Access Database" adjustColumnWidth="0" connectionId="1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22.xml><?xml version="1.0" encoding="utf-8"?>
<queryTable xmlns="http://schemas.openxmlformats.org/spreadsheetml/2006/main" name="Lancer la requête à partir de MS Access Database" adjustColumnWidth="0" connectionId="2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23.xml><?xml version="1.0" encoding="utf-8"?>
<queryTable xmlns="http://schemas.openxmlformats.org/spreadsheetml/2006/main" name="Lancer la requête à partir de MS Access Database" adjustColumnWidth="0" connectionId="2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30" tableType="queryTable" totalsRowCount="1" headerRowDxfId="452" dataDxfId="451">
  <tableColumns count="12">
    <tableColumn id="1" uniqueName="1" name="Code Secteur" queryTableFieldId="1" dataDxfId="439" totalsRowDxfId="440"/>
    <tableColumn id="2" uniqueName="2" name="VM" queryTableFieldId="2" dataDxfId="438" totalsRowDxfId="441"/>
    <tableColumn id="3" uniqueName="3" name="Code médecin" totalsRowLabel="TOTAL" queryTableFieldId="3" dataDxfId="437" totalsRowDxfId="442" dataCellStyle="Lien hypertexte"/>
    <tableColumn id="4" uniqueName="4" name="Medecin" totalsRowFunction="custom" queryTableFieldId="4" dataDxfId="436" totalsRowDxfId="443">
      <totalsRowFormula>SUBTOTAL(3,D8:D29)</totalsRowFormula>
    </tableColumn>
    <tableColumn id="5" uniqueName="5" name="Date de réception convention financière" totalsRowFunction="custom" queryTableFieldId="5" dataDxfId="435" totalsRowDxfId="444">
      <totalsRowFormula>SUBTOTAL(3,[Date de réception convention financière])</totalsRowFormula>
    </tableColumn>
    <tableColumn id="6" uniqueName="6" name="Date de réception AR kit" totalsRowFunction="custom" queryTableFieldId="6" dataDxfId="434" totalsRowDxfId="445">
      <totalsRowFormula>SUBTOTAL(3,[Date de réception AR kit])</totalsRowFormula>
    </tableColumn>
    <tableColumn id="7" uniqueName="7" name="Date de MEP" totalsRowFunction="custom" queryTableFieldId="7" dataDxfId="433" totalsRowDxfId="446">
      <totalsRowFormula>SUBTOTAL(3,[Date de MEP])</totalsRowFormula>
    </tableColumn>
    <tableColumn id="8" uniqueName="8" name="Desistement" totalsRowFunction="custom" queryTableFieldId="8" dataDxfId="432" totalsRowDxfId="447">
      <totalsRowFormula>SUBTOTAL(3,[Desistement])</totalsRowFormula>
    </tableColumn>
    <tableColumn id="9" uniqueName="9" name="Nb Total Patients inclus" totalsRowFunction="custom" queryTableFieldId="9" dataDxfId="431" totalsRowDxfId="448">
      <totalsRowFormula>SUBTOTAL(109,I8:I29)</totalsRowFormula>
    </tableColumn>
    <tableColumn id="10" uniqueName="10" name="Comptes-rendus contact médecin-GECEM" queryTableFieldId="10" dataDxfId="430" totalsRowDxfId="449"/>
    <tableColumn id="11" uniqueName="11" name="Date" queryTableFieldId="11" dataDxfId="429" totalsRowDxfId="450"/>
    <tableColumn id="12" uniqueName="12" name="Colonne1" queryTableFieldId="12" dataDxfId="428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9" name="Tableau_Lancer_la_requête_à_partir_de_MS_Access_Database20" displayName="Tableau_Lancer_la_requête_à_partir_de_MS_Access_Database20" ref="B9:U14" tableType="queryTable" totalsRowShown="0">
  <autoFilter ref="B9:U14"/>
  <tableColumns count="20">
    <tableColumn id="1" uniqueName="1" name="Num_Centre" queryTableFieldId="1" dataDxfId="427"/>
    <tableColumn id="2" uniqueName="2" name="Investigateur" queryTableFieldId="2" dataDxfId="426"/>
    <tableColumn id="3" uniqueName="3" name="Num_Patient" queryTableFieldId="3" dataDxfId="425"/>
    <tableColumn id="4" uniqueName="4" name="INCLUSION_Visite" queryTableFieldId="4" dataDxfId="424"/>
    <tableColumn id="5" uniqueName="5" name="INCLUSION_Reception" queryTableFieldId="5" dataDxfId="423"/>
    <tableColumn id="6" uniqueName="6" name="AQINCLUSION_Reception" queryTableFieldId="6" dataDxfId="422"/>
    <tableColumn id="7" uniqueName="7" name="CONTACT_Reception" queryTableFieldId="7" dataDxfId="421"/>
    <tableColumn id="8" uniqueName="8" name="TypeRappel" queryTableFieldId="8" dataDxfId="420"/>
    <tableColumn id="9" uniqueName="9" name="AQ7Theo" queryTableFieldId="9" dataDxfId="419"/>
    <tableColumn id="10" uniqueName="10" name="AQJ7_Reception" queryTableFieldId="10" dataDxfId="418"/>
    <tableColumn id="11" uniqueName="11" name="AQ_M2_Theo" queryTableFieldId="11" dataDxfId="417"/>
    <tableColumn id="12" uniqueName="12" name="AQM2_Reception" queryTableFieldId="12" dataDxfId="416"/>
    <tableColumn id="13" uniqueName="13" name="VP_Theo" queryTableFieldId="13" dataDxfId="415"/>
    <tableColumn id="14" uniqueName="14" name="PRECOCE_Visite" queryTableFieldId="14" dataDxfId="414"/>
    <tableColumn id="15" uniqueName="15" name="PRECOCE_Reception" queryTableFieldId="15" dataDxfId="413"/>
    <tableColumn id="16" uniqueName="16" name="VT_Theo" queryTableFieldId="16" dataDxfId="412"/>
    <tableColumn id="17" uniqueName="17" name="TARDIF_Visite" queryTableFieldId="17" dataDxfId="411"/>
    <tableColumn id="18" uniqueName="18" name="TARDIF_Reception" queryTableFieldId="18" dataDxfId="410"/>
    <tableColumn id="19" uniqueName="19" name="Onekey" queryTableFieldId="19" dataDxfId="409"/>
    <tableColumn id="20" uniqueName="20" name="Date" queryTableFieldId="20" dataDxfId="408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1" name="Tableau_Lancer_la_requête_à_partir_de_MS_Access_Database" displayName="Tableau_Lancer_la_requête_à_partir_de_MS_Access_Database" ref="B9:U12" tableType="queryTable" totalsRowShown="0">
  <autoFilter ref="B9:U12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407"/>
    <tableColumn id="4" uniqueName="4" name="INCLUSION_Visite" queryTableFieldId="4" dataDxfId="406"/>
    <tableColumn id="5" uniqueName="5" name="INCLUSION_Reception" queryTableFieldId="5" dataDxfId="405"/>
    <tableColumn id="6" uniqueName="6" name="AQINCLUSION_Reception" queryTableFieldId="6" dataDxfId="404"/>
    <tableColumn id="7" uniqueName="7" name="CONTACT_Reception" queryTableFieldId="7" dataDxfId="403"/>
    <tableColumn id="8" uniqueName="8" name="TypeRappel" queryTableFieldId="8"/>
    <tableColumn id="9" uniqueName="9" name="AQ7Theo" queryTableFieldId="9" dataDxfId="402"/>
    <tableColumn id="10" uniqueName="10" name="AQJ7_Reception" queryTableFieldId="10" dataDxfId="401"/>
    <tableColumn id="11" uniqueName="11" name="AQ_M2_Theo" queryTableFieldId="11" dataDxfId="400"/>
    <tableColumn id="12" uniqueName="12" name="AQM2_Reception" queryTableFieldId="12" dataDxfId="399"/>
    <tableColumn id="13" uniqueName="13" name="VP_Theo" queryTableFieldId="13" dataDxfId="398"/>
    <tableColumn id="14" uniqueName="14" name="PRECOCE_Visite" queryTableFieldId="14" dataDxfId="397"/>
    <tableColumn id="15" uniqueName="15" name="PRECOCE_Reception" queryTableFieldId="15" dataDxfId="396"/>
    <tableColumn id="16" uniqueName="16" name="VT_Theo" queryTableFieldId="16" dataDxfId="395"/>
    <tableColumn id="17" uniqueName="17" name="TARDIF_Visite" queryTableFieldId="17" dataDxfId="394"/>
    <tableColumn id="18" uniqueName="18" name="TARDIF_Reception" queryTableFieldId="18" dataDxfId="393"/>
    <tableColumn id="19" uniqueName="19" name="Onekey" queryTableFieldId="19"/>
    <tableColumn id="20" uniqueName="20" name="Date" queryTableFieldId="20" dataDxfId="392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10" name="Tableau_Lancer_la_requête_à_partir_de_MS_Access_Database45611" displayName="Tableau_Lancer_la_requête_à_partir_de_MS_Access_Database45611" ref="B9:U14" tableType="queryTable" totalsRowShown="0">
  <autoFilter ref="B9:U14"/>
  <tableColumns count="20">
    <tableColumn id="1" uniqueName="1" name="Num_Centre" queryTableFieldId="1" dataDxfId="391"/>
    <tableColumn id="2" uniqueName="2" name="Investigateur" queryTableFieldId="2" dataDxfId="390"/>
    <tableColumn id="3" uniqueName="3" name="Num_Patient" queryTableFieldId="3" dataDxfId="389"/>
    <tableColumn id="4" uniqueName="4" name="INCLUSION_Visite" queryTableFieldId="4" dataDxfId="388"/>
    <tableColumn id="5" uniqueName="5" name="INCLUSION_Reception" queryTableFieldId="5" dataDxfId="387"/>
    <tableColumn id="6" uniqueName="6" name="AQINCLUSION_Reception" queryTableFieldId="6" dataDxfId="386"/>
    <tableColumn id="7" uniqueName="7" name="CONTACT_Reception" queryTableFieldId="7" dataDxfId="385"/>
    <tableColumn id="8" uniqueName="8" name="TypeRappel" queryTableFieldId="8" dataDxfId="384"/>
    <tableColumn id="9" uniqueName="9" name="AQ7Theo" queryTableFieldId="9" dataDxfId="383"/>
    <tableColumn id="10" uniqueName="10" name="AQJ7_Reception" queryTableFieldId="10" dataDxfId="382"/>
    <tableColumn id="11" uniqueName="11" name="AQ_M2_Theo" queryTableFieldId="11" dataDxfId="381"/>
    <tableColumn id="12" uniqueName="12" name="AQM2_Reception" queryTableFieldId="12" dataDxfId="380"/>
    <tableColumn id="13" uniqueName="13" name="VP_Theo" queryTableFieldId="13" dataDxfId="379"/>
    <tableColumn id="14" uniqueName="14" name="PRECOCE_Visite" queryTableFieldId="14" dataDxfId="378"/>
    <tableColumn id="15" uniqueName="15" name="PRECOCE_Reception" queryTableFieldId="15" dataDxfId="377"/>
    <tableColumn id="16" uniqueName="16" name="VT_Theo" queryTableFieldId="16" dataDxfId="376"/>
    <tableColumn id="17" uniqueName="17" name="TARDIF_Visite" queryTableFieldId="17" dataDxfId="375"/>
    <tableColumn id="18" uniqueName="18" name="TARDIF_Reception" queryTableFieldId="18" dataDxfId="374"/>
    <tableColumn id="19" uniqueName="19" name="Onekey" queryTableFieldId="19" dataDxfId="373"/>
    <tableColumn id="20" uniqueName="20" name="Date" queryTableFieldId="20" dataDxfId="372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17" name="Tableau_Lancer_la_requête_à_partir_de_MS_Access_Database4561118" displayName="Tableau_Lancer_la_requête_à_partir_de_MS_Access_Database4561118" ref="B9:U14" tableType="queryTable" totalsRowShown="0">
  <autoFilter ref="B9:U14"/>
  <tableColumns count="20">
    <tableColumn id="1" uniqueName="1" name="Num_Centre" queryTableFieldId="1" dataDxfId="371"/>
    <tableColumn id="2" uniqueName="2" name="Investigateur" queryTableFieldId="2" dataDxfId="370"/>
    <tableColumn id="3" uniqueName="3" name="Num_Patient" queryTableFieldId="3" dataDxfId="369"/>
    <tableColumn id="4" uniqueName="4" name="INCLUSION_Visite" queryTableFieldId="4" dataDxfId="368"/>
    <tableColumn id="5" uniqueName="5" name="INCLUSION_Reception" queryTableFieldId="5" dataDxfId="367"/>
    <tableColumn id="6" uniqueName="6" name="AQINCLUSION_Reception" queryTableFieldId="6" dataDxfId="366"/>
    <tableColumn id="7" uniqueName="7" name="CONTACT_Reception" queryTableFieldId="7" dataDxfId="365"/>
    <tableColumn id="8" uniqueName="8" name="TypeRappel" queryTableFieldId="8" dataDxfId="364"/>
    <tableColumn id="9" uniqueName="9" name="AQ7Theo" queryTableFieldId="9" dataDxfId="363"/>
    <tableColumn id="10" uniqueName="10" name="AQJ7_Reception" queryTableFieldId="10" dataDxfId="362"/>
    <tableColumn id="11" uniqueName="11" name="AQ_M2_Theo" queryTableFieldId="11" dataDxfId="361"/>
    <tableColumn id="12" uniqueName="12" name="AQM2_Reception" queryTableFieldId="12" dataDxfId="360"/>
    <tableColumn id="13" uniqueName="13" name="VP_Theo" queryTableFieldId="13" dataDxfId="359"/>
    <tableColumn id="14" uniqueName="14" name="PRECOCE_Visite" queryTableFieldId="14" dataDxfId="358"/>
    <tableColumn id="15" uniqueName="15" name="PRECOCE_Reception" queryTableFieldId="15" dataDxfId="357"/>
    <tableColumn id="16" uniqueName="16" name="VT_Theo" queryTableFieldId="16" dataDxfId="356"/>
    <tableColumn id="17" uniqueName="17" name="TARDIF_Visite" queryTableFieldId="17" dataDxfId="355"/>
    <tableColumn id="18" uniqueName="18" name="TARDIF_Reception" queryTableFieldId="18" dataDxfId="354"/>
    <tableColumn id="19" uniqueName="19" name="Onekey" queryTableFieldId="19" dataDxfId="353"/>
    <tableColumn id="20" uniqueName="20" name="Date" queryTableFieldId="20" dataDxfId="352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22" name="Tableau_Lancer_la_requête_à_partir_de_MS_Access_Database456111823" displayName="Tableau_Lancer_la_requête_à_partir_de_MS_Access_Database456111823" ref="B9:U15" tableType="queryTable" totalsRowShown="0">
  <autoFilter ref="B9:U15"/>
  <tableColumns count="20">
    <tableColumn id="1" uniqueName="1" name="Num_Centre" queryTableFieldId="1" dataDxfId="351"/>
    <tableColumn id="2" uniqueName="2" name="Investigateur" queryTableFieldId="2" dataDxfId="350"/>
    <tableColumn id="3" uniqueName="3" name="Num_Patient" queryTableFieldId="3" dataDxfId="349"/>
    <tableColumn id="4" uniqueName="4" name="INCLUSION_Visite" queryTableFieldId="4" dataDxfId="348"/>
    <tableColumn id="5" uniqueName="5" name="INCLUSION_Reception" queryTableFieldId="5" dataDxfId="347"/>
    <tableColumn id="6" uniqueName="6" name="AQINCLUSION_Reception" queryTableFieldId="6" dataDxfId="346"/>
    <tableColumn id="7" uniqueName="7" name="CONTACT_Reception" queryTableFieldId="7" dataDxfId="345"/>
    <tableColumn id="8" uniqueName="8" name="TypeRappel" queryTableFieldId="8" dataDxfId="344"/>
    <tableColumn id="9" uniqueName="9" name="AQ7Theo" queryTableFieldId="9" dataDxfId="343"/>
    <tableColumn id="10" uniqueName="10" name="AQJ7_Reception" queryTableFieldId="10" dataDxfId="342"/>
    <tableColumn id="11" uniqueName="11" name="AQ_M2_Theo" queryTableFieldId="11" dataDxfId="341"/>
    <tableColumn id="12" uniqueName="12" name="AQM2_Reception" queryTableFieldId="12" dataDxfId="340"/>
    <tableColumn id="13" uniqueName="13" name="VP_Theo" queryTableFieldId="13" dataDxfId="339"/>
    <tableColumn id="14" uniqueName="14" name="PRECOCE_Visite" queryTableFieldId="14" dataDxfId="338"/>
    <tableColumn id="15" uniqueName="15" name="PRECOCE_Reception" queryTableFieldId="15" dataDxfId="337"/>
    <tableColumn id="16" uniqueName="16" name="VT_Theo" queryTableFieldId="16" dataDxfId="336"/>
    <tableColumn id="17" uniqueName="17" name="TARDIF_Visite" queryTableFieldId="17" dataDxfId="335"/>
    <tableColumn id="18" uniqueName="18" name="TARDIF_Reception" queryTableFieldId="18" dataDxfId="334"/>
    <tableColumn id="19" uniqueName="19" name="Onekey" queryTableFieldId="19" dataDxfId="333"/>
    <tableColumn id="20" uniqueName="20" name="Date" queryTableFieldId="20" dataDxfId="332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3" name="Tableau_Lancer_la_requête_à_partir_de_MS_Access_Database4" displayName="Tableau_Lancer_la_requête_à_partir_de_MS_Access_Database4" ref="B9:U14" tableType="queryTable" totalsRowShown="0">
  <autoFilter ref="B9:U14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331"/>
    <tableColumn id="4" uniqueName="4" name="INCLUSION_Visite" queryTableFieldId="4" dataDxfId="330"/>
    <tableColumn id="5" uniqueName="5" name="INCLUSION_Reception" queryTableFieldId="5" dataDxfId="329"/>
    <tableColumn id="6" uniqueName="6" name="AQINCLUSION_Reception" queryTableFieldId="6" dataDxfId="328"/>
    <tableColumn id="7" uniqueName="7" name="CONTACT_Reception" queryTableFieldId="7" dataDxfId="327"/>
    <tableColumn id="8" uniqueName="8" name="TypeRappel" queryTableFieldId="8"/>
    <tableColumn id="9" uniqueName="9" name="AQ7Theo" queryTableFieldId="9" dataDxfId="326"/>
    <tableColumn id="10" uniqueName="10" name="AQJ7_Reception" queryTableFieldId="10" dataDxfId="325"/>
    <tableColumn id="11" uniqueName="11" name="AQ_M2_Theo" queryTableFieldId="11" dataDxfId="324"/>
    <tableColumn id="12" uniqueName="12" name="AQM2_Reception" queryTableFieldId="12" dataDxfId="323"/>
    <tableColumn id="13" uniqueName="13" name="VP_Theo" queryTableFieldId="13" dataDxfId="322"/>
    <tableColumn id="14" uniqueName="14" name="PRECOCE_Visite" queryTableFieldId="14" dataDxfId="321"/>
    <tableColumn id="15" uniqueName="15" name="PRECOCE_Reception" queryTableFieldId="15" dataDxfId="320"/>
    <tableColumn id="16" uniqueName="16" name="VT_Theo" queryTableFieldId="16" dataDxfId="319"/>
    <tableColumn id="17" uniqueName="17" name="TARDIF_Visite" queryTableFieldId="17" dataDxfId="318"/>
    <tableColumn id="18" uniqueName="18" name="TARDIF_Reception" queryTableFieldId="18" dataDxfId="317"/>
    <tableColumn id="19" uniqueName="19" name="Onekey" queryTableFieldId="19"/>
    <tableColumn id="20" uniqueName="20" name="Date" queryTableFieldId="20" dataDxfId="316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8" name="Tableau_Lancer_la_requête_à_partir_de_MS_Access_Database456789" displayName="Tableau_Lancer_la_requête_à_partir_de_MS_Access_Database456789" ref="B9:U14" tableType="queryTable" totalsRowShown="0">
  <autoFilter ref="B9:U14"/>
  <tableColumns count="20">
    <tableColumn id="1" uniqueName="1" name="Num_Centre" queryTableFieldId="1" dataDxfId="315"/>
    <tableColumn id="2" uniqueName="2" name="Investigateur" queryTableFieldId="2" dataDxfId="314"/>
    <tableColumn id="3" uniqueName="3" name="Num_Patient" queryTableFieldId="3" dataDxfId="313"/>
    <tableColumn id="4" uniqueName="4" name="INCLUSION_Visite" queryTableFieldId="4" dataDxfId="312"/>
    <tableColumn id="5" uniqueName="5" name="INCLUSION_Reception" queryTableFieldId="5" dataDxfId="311"/>
    <tableColumn id="6" uniqueName="6" name="AQINCLUSION_Reception" queryTableFieldId="6" dataDxfId="310"/>
    <tableColumn id="7" uniqueName="7" name="CONTACT_Reception" queryTableFieldId="7" dataDxfId="309"/>
    <tableColumn id="8" uniqueName="8" name="TypeRappel" queryTableFieldId="8" dataDxfId="308"/>
    <tableColumn id="9" uniqueName="9" name="AQ7Theo" queryTableFieldId="9" dataDxfId="307"/>
    <tableColumn id="10" uniqueName="10" name="AQJ7_Reception" queryTableFieldId="10" dataDxfId="306"/>
    <tableColumn id="11" uniqueName="11" name="AQ_M2_Theo" queryTableFieldId="11" dataDxfId="305"/>
    <tableColumn id="12" uniqueName="12" name="AQM2_Reception" queryTableFieldId="12" dataDxfId="304"/>
    <tableColumn id="13" uniqueName="13" name="VP_Theo" queryTableFieldId="13" dataDxfId="303"/>
    <tableColumn id="14" uniqueName="14" name="PRECOCE_Visite" queryTableFieldId="14" dataDxfId="302"/>
    <tableColumn id="15" uniqueName="15" name="PRECOCE_Reception" queryTableFieldId="15" dataDxfId="301"/>
    <tableColumn id="16" uniqueName="16" name="VT_Theo" queryTableFieldId="16" dataDxfId="300"/>
    <tableColumn id="17" uniqueName="17" name="TARDIF_Visite" queryTableFieldId="17" dataDxfId="299"/>
    <tableColumn id="18" uniqueName="18" name="TARDIF_Reception" queryTableFieldId="18" dataDxfId="298"/>
    <tableColumn id="19" uniqueName="19" name="Onekey" queryTableFieldId="19" dataDxfId="297"/>
    <tableColumn id="20" uniqueName="20" name="Date" queryTableFieldId="20" dataDxfId="296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16" name="Tableau_Lancer_la_requête_à_partir_de_MS_Access_Database45678917" displayName="Tableau_Lancer_la_requête_à_partir_de_MS_Access_Database45678917" ref="B9:U14" tableType="queryTable" totalsRowShown="0">
  <autoFilter ref="B9:U14"/>
  <tableColumns count="20">
    <tableColumn id="1" uniqueName="1" name="Num_Centre" queryTableFieldId="1" dataDxfId="295"/>
    <tableColumn id="2" uniqueName="2" name="Investigateur" queryTableFieldId="2" dataDxfId="294"/>
    <tableColumn id="3" uniqueName="3" name="Num_Patient" queryTableFieldId="3" dataDxfId="293"/>
    <tableColumn id="4" uniqueName="4" name="INCLUSION_Visite" queryTableFieldId="4" dataDxfId="292"/>
    <tableColumn id="5" uniqueName="5" name="INCLUSION_Reception" queryTableFieldId="5" dataDxfId="291"/>
    <tableColumn id="6" uniqueName="6" name="AQINCLUSION_Reception" queryTableFieldId="6" dataDxfId="290"/>
    <tableColumn id="7" uniqueName="7" name="CONTACT_Reception" queryTableFieldId="7" dataDxfId="289"/>
    <tableColumn id="8" uniqueName="8" name="TypeRappel" queryTableFieldId="8" dataDxfId="288"/>
    <tableColumn id="9" uniqueName="9" name="AQ7Theo" queryTableFieldId="9" dataDxfId="287"/>
    <tableColumn id="10" uniqueName="10" name="AQJ7_Reception" queryTableFieldId="10" dataDxfId="286"/>
    <tableColumn id="11" uniqueName="11" name="AQ_M2_Theo" queryTableFieldId="11" dataDxfId="285"/>
    <tableColumn id="12" uniqueName="12" name="AQM2_Reception" queryTableFieldId="12" dataDxfId="284"/>
    <tableColumn id="13" uniqueName="13" name="VP_Theo" queryTableFieldId="13" dataDxfId="283"/>
    <tableColumn id="14" uniqueName="14" name="PRECOCE_Visite" queryTableFieldId="14" dataDxfId="282"/>
    <tableColumn id="15" uniqueName="15" name="PRECOCE_Reception" queryTableFieldId="15" dataDxfId="281"/>
    <tableColumn id="16" uniqueName="16" name="VT_Theo" queryTableFieldId="16" dataDxfId="280"/>
    <tableColumn id="17" uniqueName="17" name="TARDIF_Visite" queryTableFieldId="17" dataDxfId="279"/>
    <tableColumn id="18" uniqueName="18" name="TARDIF_Reception" queryTableFieldId="18" dataDxfId="278"/>
    <tableColumn id="19" uniqueName="19" name="Onekey" queryTableFieldId="19" dataDxfId="277"/>
    <tableColumn id="20" uniqueName="20" name="Date" queryTableFieldId="20" dataDxfId="276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4" name="Tableau_Lancer_la_requête_à_partir_de_MS_Access_Database45" displayName="Tableau_Lancer_la_requête_à_partir_de_MS_Access_Database45" ref="B9:U16" tableType="queryTable" totalsRowShown="0">
  <autoFilter ref="B9:U16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275"/>
    <tableColumn id="4" uniqueName="4" name="INCLUSION_Visite" queryTableFieldId="4" dataDxfId="274"/>
    <tableColumn id="5" uniqueName="5" name="INCLUSION_Reception" queryTableFieldId="5" dataDxfId="273"/>
    <tableColumn id="6" uniqueName="6" name="AQINCLUSION_Reception" queryTableFieldId="6" dataDxfId="272"/>
    <tableColumn id="7" uniqueName="7" name="CONTACT_Reception" queryTableFieldId="7" dataDxfId="271"/>
    <tableColumn id="8" uniqueName="8" name="TypeRappel" queryTableFieldId="8"/>
    <tableColumn id="9" uniqueName="9" name="AQ7Theo" queryTableFieldId="9" dataDxfId="270"/>
    <tableColumn id="10" uniqueName="10" name="AQJ7_Reception" queryTableFieldId="10" dataDxfId="269"/>
    <tableColumn id="11" uniqueName="11" name="AQ_M2_Theo" queryTableFieldId="11" dataDxfId="268"/>
    <tableColumn id="12" uniqueName="12" name="AQM2_Reception" queryTableFieldId="12" dataDxfId="267"/>
    <tableColumn id="13" uniqueName="13" name="VP_Theo" queryTableFieldId="13" dataDxfId="266"/>
    <tableColumn id="14" uniqueName="14" name="PRECOCE_Visite" queryTableFieldId="14" dataDxfId="265"/>
    <tableColumn id="15" uniqueName="15" name="PRECOCE_Reception" queryTableFieldId="15" dataDxfId="264"/>
    <tableColumn id="16" uniqueName="16" name="VT_Theo" queryTableFieldId="16" dataDxfId="263"/>
    <tableColumn id="17" uniqueName="17" name="TARDIF_Visite" queryTableFieldId="17" dataDxfId="262"/>
    <tableColumn id="18" uniqueName="18" name="TARDIF_Reception" queryTableFieldId="18" dataDxfId="261"/>
    <tableColumn id="19" uniqueName="19" name="Onekey" queryTableFieldId="19"/>
    <tableColumn id="20" uniqueName="20" name="Date" queryTableFieldId="20" dataDxfId="26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5" name="Tableau_Lancer_la_requête_à_partir_de_MS_Access_Database456" displayName="Tableau_Lancer_la_requête_à_partir_de_MS_Access_Database456" ref="B9:U14" tableType="queryTable" totalsRowShown="0">
  <autoFilter ref="B9:U14"/>
  <tableColumns count="20">
    <tableColumn id="1" uniqueName="1" name="Num_Centre" queryTableFieldId="1" dataDxfId="259"/>
    <tableColumn id="2" uniqueName="2" name="Investigateur" queryTableFieldId="2" dataDxfId="258"/>
    <tableColumn id="3" uniqueName="3" name="Num_Patient" queryTableFieldId="3" dataDxfId="257"/>
    <tableColumn id="4" uniqueName="4" name="INCLUSION_Visite" queryTableFieldId="4" dataDxfId="256"/>
    <tableColumn id="5" uniqueName="5" name="INCLUSION_Reception" queryTableFieldId="5" dataDxfId="255"/>
    <tableColumn id="6" uniqueName="6" name="AQINCLUSION_Reception" queryTableFieldId="6" dataDxfId="254"/>
    <tableColumn id="7" uniqueName="7" name="CONTACT_Reception" queryTableFieldId="7" dataDxfId="253"/>
    <tableColumn id="8" uniqueName="8" name="TypeRappel" queryTableFieldId="8" dataDxfId="252"/>
    <tableColumn id="9" uniqueName="9" name="AQ7Theo" queryTableFieldId="9" dataDxfId="251"/>
    <tableColumn id="10" uniqueName="10" name="AQJ7_Reception" queryTableFieldId="10" dataDxfId="250"/>
    <tableColumn id="11" uniqueName="11" name="AQ_M2_Theo" queryTableFieldId="11" dataDxfId="249"/>
    <tableColumn id="12" uniqueName="12" name="AQM2_Reception" queryTableFieldId="12" dataDxfId="248"/>
    <tableColumn id="13" uniqueName="13" name="VP_Theo" queryTableFieldId="13" dataDxfId="247"/>
    <tableColumn id="14" uniqueName="14" name="PRECOCE_Visite" queryTableFieldId="14" dataDxfId="246"/>
    <tableColumn id="15" uniqueName="15" name="PRECOCE_Reception" queryTableFieldId="15" dataDxfId="245"/>
    <tableColumn id="16" uniqueName="16" name="VT_Theo" queryTableFieldId="16" dataDxfId="244"/>
    <tableColumn id="17" uniqueName="17" name="TARDIF_Visite" queryTableFieldId="17" dataDxfId="243"/>
    <tableColumn id="18" uniqueName="18" name="TARDIF_Reception" queryTableFieldId="18" dataDxfId="242"/>
    <tableColumn id="19" uniqueName="19" name="Onekey" queryTableFieldId="19" dataDxfId="241"/>
    <tableColumn id="20" uniqueName="20" name="Date" queryTableFieldId="20" dataDxfId="24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15" name="Tableau_Lancer_la_requête_à_partir_de_MS_Access_Database45616" displayName="Tableau_Lancer_la_requête_à_partir_de_MS_Access_Database45616" ref="B9:U14" tableType="queryTable" totalsRowShown="0">
  <autoFilter ref="B9:U14"/>
  <tableColumns count="20">
    <tableColumn id="1" uniqueName="1" name="Num_Centre" queryTableFieldId="1" dataDxfId="239"/>
    <tableColumn id="2" uniqueName="2" name="Investigateur" queryTableFieldId="2" dataDxfId="238"/>
    <tableColumn id="3" uniqueName="3" name="Num_Patient" queryTableFieldId="3" dataDxfId="237"/>
    <tableColumn id="4" uniqueName="4" name="INCLUSION_Visite" queryTableFieldId="4" dataDxfId="236"/>
    <tableColumn id="5" uniqueName="5" name="INCLUSION_Reception" queryTableFieldId="5" dataDxfId="235"/>
    <tableColumn id="6" uniqueName="6" name="AQINCLUSION_Reception" queryTableFieldId="6" dataDxfId="234"/>
    <tableColumn id="7" uniqueName="7" name="CONTACT_Reception" queryTableFieldId="7" dataDxfId="233"/>
    <tableColumn id="8" uniqueName="8" name="TypeRappel" queryTableFieldId="8" dataDxfId="232"/>
    <tableColumn id="9" uniqueName="9" name="AQ7Theo" queryTableFieldId="9" dataDxfId="231"/>
    <tableColumn id="10" uniqueName="10" name="AQJ7_Reception" queryTableFieldId="10" dataDxfId="230"/>
    <tableColumn id="11" uniqueName="11" name="AQ_M2_Theo" queryTableFieldId="11" dataDxfId="229"/>
    <tableColumn id="12" uniqueName="12" name="AQM2_Reception" queryTableFieldId="12" dataDxfId="228"/>
    <tableColumn id="13" uniqueName="13" name="VP_Theo" queryTableFieldId="13" dataDxfId="227"/>
    <tableColumn id="14" uniqueName="14" name="PRECOCE_Visite" queryTableFieldId="14" dataDxfId="226"/>
    <tableColumn id="15" uniqueName="15" name="PRECOCE_Reception" queryTableFieldId="15" dataDxfId="225"/>
    <tableColumn id="16" uniqueName="16" name="VT_Theo" queryTableFieldId="16" dataDxfId="224"/>
    <tableColumn id="17" uniqueName="17" name="TARDIF_Visite" queryTableFieldId="17" dataDxfId="223"/>
    <tableColumn id="18" uniqueName="18" name="TARDIF_Reception" queryTableFieldId="18" dataDxfId="222"/>
    <tableColumn id="19" uniqueName="19" name="Onekey" queryTableFieldId="19" dataDxfId="221"/>
    <tableColumn id="20" uniqueName="20" name="Date" queryTableFieldId="20" dataDxfId="22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14" name="Tableau_Lancer_la_requête_à_partir_de_MS_Access_Database4561115" displayName="Tableau_Lancer_la_requête_à_partir_de_MS_Access_Database4561115" ref="B9:U16" tableType="queryTable" totalsRowShown="0">
  <autoFilter ref="B9:U16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14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6" tableType="queryTable" totalsRowShown="0">
  <autoFilter ref="B9:U16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15.xml><?xml version="1.0" encoding="utf-8"?>
<table xmlns="http://schemas.openxmlformats.org/spreadsheetml/2006/main" id="11" name="Tableau_Lancer_la_requête_à_partir_de_MS_Access_Database4567812" displayName="Tableau_Lancer_la_requête_à_partir_de_MS_Access_Database4567812" ref="B9:U14" tableType="queryTable" totalsRowShown="0">
  <autoFilter ref="B9:U14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16.xml><?xml version="1.0" encoding="utf-8"?>
<table xmlns="http://schemas.openxmlformats.org/spreadsheetml/2006/main" id="12" name="Tableau_Lancer_la_requête_à_partir_de_MS_Access_Database4567813" displayName="Tableau_Lancer_la_requête_à_partir_de_MS_Access_Database4567813" ref="B9:U14" tableType="queryTable" totalsRowShown="0">
  <autoFilter ref="B9:U14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17.xml><?xml version="1.0" encoding="utf-8"?>
<table xmlns="http://schemas.openxmlformats.org/spreadsheetml/2006/main" id="20" name="Tableau_Lancer_la_requête_à_partir_de_MS_Access_Database45678131921" displayName="Tableau_Lancer_la_requête_à_partir_de_MS_Access_Database45678131921" ref="B9:U12" tableType="queryTable" totalsRowShown="0">
  <autoFilter ref="B9:U12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18.xml><?xml version="1.0" encoding="utf-8"?>
<table xmlns="http://schemas.openxmlformats.org/spreadsheetml/2006/main" id="18" name="Tableau_Lancer_la_requête_à_partir_de_MS_Access_Database456781319" displayName="Tableau_Lancer_la_requête_à_partir_de_MS_Access_Database456781319" ref="B9:U17" tableType="queryTable" totalsRowShown="0">
  <autoFilter ref="B9:U17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19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4" tableType="queryTable" totalsRowShown="0">
  <autoFilter ref="B9:U14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20.xml><?xml version="1.0" encoding="utf-8"?>
<table xmlns="http://schemas.openxmlformats.org/spreadsheetml/2006/main" id="21" name="Tableau_Lancer_la_requête_à_partir_de_MS_Access_Database456101422" displayName="Tableau_Lancer_la_requête_à_partir_de_MS_Access_Database456101422" ref="B9:U12" tableType="queryTable" totalsRowShown="0">
  <autoFilter ref="B9:U12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21.xml><?xml version="1.0" encoding="utf-8"?>
<table xmlns="http://schemas.openxmlformats.org/spreadsheetml/2006/main" id="23" name="Tableau_Lancer_la_requête_à_partir_de_MS_Access_Database456101424" displayName="Tableau_Lancer_la_requête_à_partir_de_MS_Access_Database456101424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22.xml><?xml version="1.0" encoding="utf-8"?>
<table xmlns="http://schemas.openxmlformats.org/spreadsheetml/2006/main" id="13" name="Tableau_Lancer_la_requête_à_partir_de_MS_Access_Database4561014" displayName="Tableau_Lancer_la_requête_à_partir_de_MS_Access_Database4561014" ref="B9:U14" tableType="queryTable" totalsRowShown="0">
  <autoFilter ref="B9:U14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23.xml><?xml version="1.0" encoding="utf-8"?>
<table xmlns="http://schemas.openxmlformats.org/spreadsheetml/2006/main" id="9" name="Tableau_Lancer_la_requête_à_partir_de_MS_Access_Database45610" displayName="Tableau_Lancer_la_requête_à_partir_de_MS_Access_Database45610" ref="B9:U14" tableType="queryTable" totalsRowShown="0">
  <autoFilter ref="B9:U14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32"/>
  <sheetViews>
    <sheetView tabSelected="1" topLeftCell="C4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$A$29</f>
        <v>DE0402</v>
      </c>
      <c r="G2" s="162" t="str">
        <f>$B$29</f>
        <v>YUNG Karine</v>
      </c>
      <c r="H2" s="162"/>
      <c r="I2" s="162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$K$29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132</v>
      </c>
    </row>
    <row r="8" spans="1:17" s="100" customFormat="1">
      <c r="A8" s="100" t="s">
        <v>59</v>
      </c>
      <c r="B8" s="100" t="s">
        <v>60</v>
      </c>
      <c r="C8" s="101" t="s">
        <v>113</v>
      </c>
      <c r="D8" s="99" t="s">
        <v>114</v>
      </c>
      <c r="E8" s="16">
        <v>41920</v>
      </c>
      <c r="F8" s="16">
        <v>41939</v>
      </c>
      <c r="G8" s="16">
        <v>41932</v>
      </c>
      <c r="H8" s="16"/>
      <c r="I8" s="15">
        <v>5</v>
      </c>
      <c r="J8" s="99" t="s">
        <v>119</v>
      </c>
      <c r="K8" s="102">
        <v>42306</v>
      </c>
    </row>
    <row r="9" spans="1:17" s="100" customFormat="1">
      <c r="A9" s="100" t="s">
        <v>59</v>
      </c>
      <c r="B9" s="100" t="s">
        <v>60</v>
      </c>
      <c r="C9" s="101" t="s">
        <v>61</v>
      </c>
      <c r="D9" s="99" t="s">
        <v>62</v>
      </c>
      <c r="E9" s="16">
        <v>41739</v>
      </c>
      <c r="F9" s="16">
        <v>41743</v>
      </c>
      <c r="G9" s="16">
        <v>41739</v>
      </c>
      <c r="H9" s="16"/>
      <c r="I9" s="15">
        <v>1</v>
      </c>
      <c r="J9" s="99" t="s">
        <v>110</v>
      </c>
      <c r="K9" s="102">
        <v>42306</v>
      </c>
    </row>
    <row r="10" spans="1:17" s="100" customFormat="1">
      <c r="A10" s="100" t="s">
        <v>59</v>
      </c>
      <c r="B10" s="100" t="s">
        <v>60</v>
      </c>
      <c r="C10" s="101" t="s">
        <v>78</v>
      </c>
      <c r="D10" s="99" t="s">
        <v>77</v>
      </c>
      <c r="E10" s="16">
        <v>41778</v>
      </c>
      <c r="F10" s="16">
        <v>41820</v>
      </c>
      <c r="G10" s="16">
        <v>41815</v>
      </c>
      <c r="H10" s="16"/>
      <c r="I10" s="15">
        <v>5</v>
      </c>
      <c r="J10" s="99"/>
      <c r="K10" s="102">
        <v>42306</v>
      </c>
    </row>
    <row r="11" spans="1:17" s="154" customFormat="1" ht="45">
      <c r="A11" s="154" t="s">
        <v>59</v>
      </c>
      <c r="B11" s="154" t="s">
        <v>60</v>
      </c>
      <c r="C11" s="155" t="s">
        <v>92</v>
      </c>
      <c r="D11" s="156" t="s">
        <v>93</v>
      </c>
      <c r="E11" s="157">
        <v>41815</v>
      </c>
      <c r="F11" s="157">
        <v>41838</v>
      </c>
      <c r="G11" s="157">
        <v>41836</v>
      </c>
      <c r="H11" s="157"/>
      <c r="I11" s="158">
        <v>3</v>
      </c>
      <c r="J11" s="156"/>
      <c r="K11" s="159">
        <v>42306</v>
      </c>
      <c r="L11" s="160" t="s">
        <v>133</v>
      </c>
    </row>
    <row r="12" spans="1:17" s="100" customFormat="1">
      <c r="A12" s="100" t="s">
        <v>59</v>
      </c>
      <c r="B12" s="100" t="s">
        <v>60</v>
      </c>
      <c r="C12" s="101" t="s">
        <v>123</v>
      </c>
      <c r="D12" s="99" t="s">
        <v>122</v>
      </c>
      <c r="E12" s="16">
        <v>41960</v>
      </c>
      <c r="F12" s="16">
        <v>41967</v>
      </c>
      <c r="G12" s="16">
        <v>41963</v>
      </c>
      <c r="H12" s="16"/>
      <c r="I12" s="15">
        <v>6</v>
      </c>
      <c r="J12" s="99"/>
      <c r="K12" s="102">
        <v>42306</v>
      </c>
    </row>
    <row r="13" spans="1:17" s="100" customFormat="1" ht="30">
      <c r="A13" s="100" t="s">
        <v>59</v>
      </c>
      <c r="B13" s="100" t="s">
        <v>60</v>
      </c>
      <c r="C13" s="101" t="s">
        <v>63</v>
      </c>
      <c r="D13" s="99" t="s">
        <v>64</v>
      </c>
      <c r="E13" s="16">
        <v>41715</v>
      </c>
      <c r="F13" s="16">
        <v>41740</v>
      </c>
      <c r="G13" s="16">
        <v>41738</v>
      </c>
      <c r="H13" s="16"/>
      <c r="I13" s="15">
        <v>5</v>
      </c>
      <c r="J13" s="99" t="s">
        <v>111</v>
      </c>
      <c r="K13" s="102">
        <v>42306</v>
      </c>
    </row>
    <row r="14" spans="1:17" s="100" customFormat="1" ht="30">
      <c r="A14" s="100" t="s">
        <v>59</v>
      </c>
      <c r="B14" s="100" t="s">
        <v>60</v>
      </c>
      <c r="C14" s="101" t="s">
        <v>74</v>
      </c>
      <c r="D14" s="99" t="s">
        <v>73</v>
      </c>
      <c r="E14" s="16">
        <v>41746</v>
      </c>
      <c r="F14" s="16">
        <v>41751</v>
      </c>
      <c r="G14" s="16">
        <v>41746</v>
      </c>
      <c r="H14" s="16"/>
      <c r="I14" s="15">
        <v>5</v>
      </c>
      <c r="J14" s="99" t="s">
        <v>112</v>
      </c>
      <c r="K14" s="102">
        <v>42306</v>
      </c>
    </row>
    <row r="15" spans="1:17" s="100" customFormat="1">
      <c r="A15" s="100" t="s">
        <v>59</v>
      </c>
      <c r="B15" s="100" t="s">
        <v>60</v>
      </c>
      <c r="C15" s="101" t="s">
        <v>85</v>
      </c>
      <c r="D15" s="99" t="s">
        <v>86</v>
      </c>
      <c r="E15" s="16">
        <v>41807</v>
      </c>
      <c r="F15" s="16">
        <v>41884</v>
      </c>
      <c r="G15" s="16">
        <v>41810</v>
      </c>
      <c r="H15" s="16"/>
      <c r="I15" s="15">
        <v>5</v>
      </c>
      <c r="J15" s="99"/>
      <c r="K15" s="102">
        <v>42306</v>
      </c>
    </row>
    <row r="16" spans="1:17" s="100" customFormat="1">
      <c r="A16" s="100" t="s">
        <v>59</v>
      </c>
      <c r="B16" s="100" t="s">
        <v>60</v>
      </c>
      <c r="C16" s="101" t="s">
        <v>65</v>
      </c>
      <c r="D16" s="99" t="s">
        <v>66</v>
      </c>
      <c r="E16" s="16">
        <v>41703</v>
      </c>
      <c r="F16" s="16">
        <v>41740</v>
      </c>
      <c r="G16" s="16">
        <v>41738</v>
      </c>
      <c r="H16" s="16"/>
      <c r="I16" s="15">
        <v>7</v>
      </c>
      <c r="J16" s="99" t="s">
        <v>127</v>
      </c>
      <c r="K16" s="102">
        <v>42306</v>
      </c>
    </row>
    <row r="17" spans="1:12" s="100" customFormat="1" ht="30">
      <c r="A17" s="100" t="s">
        <v>59</v>
      </c>
      <c r="B17" s="100" t="s">
        <v>60</v>
      </c>
      <c r="C17" s="101" t="s">
        <v>67</v>
      </c>
      <c r="D17" s="99" t="s">
        <v>68</v>
      </c>
      <c r="E17" s="16">
        <v>41724</v>
      </c>
      <c r="F17" s="16">
        <v>41761</v>
      </c>
      <c r="G17" s="16">
        <v>41757</v>
      </c>
      <c r="H17" s="16"/>
      <c r="I17" s="15">
        <v>5</v>
      </c>
      <c r="J17" s="99" t="s">
        <v>108</v>
      </c>
      <c r="K17" s="102">
        <v>42306</v>
      </c>
    </row>
    <row r="18" spans="1:12" s="100" customFormat="1">
      <c r="A18" s="100" t="s">
        <v>59</v>
      </c>
      <c r="B18" s="100" t="s">
        <v>60</v>
      </c>
      <c r="C18" s="101" t="s">
        <v>87</v>
      </c>
      <c r="D18" s="99" t="s">
        <v>88</v>
      </c>
      <c r="E18" s="16">
        <v>41806</v>
      </c>
      <c r="F18" s="16">
        <v>41836</v>
      </c>
      <c r="G18" s="16">
        <v>41823</v>
      </c>
      <c r="H18" s="16"/>
      <c r="I18" s="15">
        <v>5</v>
      </c>
      <c r="J18" s="99"/>
      <c r="K18" s="102">
        <v>42306</v>
      </c>
    </row>
    <row r="19" spans="1:12" s="100" customFormat="1">
      <c r="A19" s="100" t="s">
        <v>59</v>
      </c>
      <c r="B19" s="100" t="s">
        <v>60</v>
      </c>
      <c r="C19" s="101" t="s">
        <v>84</v>
      </c>
      <c r="D19" s="99" t="s">
        <v>89</v>
      </c>
      <c r="E19" s="16">
        <v>41800</v>
      </c>
      <c r="F19" s="16">
        <v>41808</v>
      </c>
      <c r="G19" s="16">
        <v>41806</v>
      </c>
      <c r="H19" s="16"/>
      <c r="I19" s="15">
        <v>7</v>
      </c>
      <c r="J19" s="99" t="s">
        <v>128</v>
      </c>
      <c r="K19" s="102">
        <v>42306</v>
      </c>
    </row>
    <row r="20" spans="1:12" s="100" customFormat="1">
      <c r="A20" s="100" t="s">
        <v>59</v>
      </c>
      <c r="B20" s="100" t="s">
        <v>60</v>
      </c>
      <c r="C20" s="101" t="s">
        <v>69</v>
      </c>
      <c r="D20" s="99" t="s">
        <v>70</v>
      </c>
      <c r="E20" s="16">
        <v>41710</v>
      </c>
      <c r="F20" s="16">
        <v>41751</v>
      </c>
      <c r="G20" s="16">
        <v>41745</v>
      </c>
      <c r="H20" s="16"/>
      <c r="I20" s="15">
        <v>7</v>
      </c>
      <c r="J20" s="99" t="s">
        <v>129</v>
      </c>
      <c r="K20" s="102">
        <v>42306</v>
      </c>
    </row>
    <row r="21" spans="1:12">
      <c r="A21" s="100" t="s">
        <v>59</v>
      </c>
      <c r="B21" s="100" t="s">
        <v>60</v>
      </c>
      <c r="C21" s="101" t="s">
        <v>79</v>
      </c>
      <c r="D21" s="99" t="s">
        <v>80</v>
      </c>
      <c r="E21" s="16">
        <v>41779</v>
      </c>
      <c r="F21" s="16">
        <v>41800</v>
      </c>
      <c r="G21" s="16">
        <v>41795</v>
      </c>
      <c r="H21" s="16"/>
      <c r="I21" s="15">
        <v>5</v>
      </c>
      <c r="J21" s="99" t="s">
        <v>109</v>
      </c>
      <c r="K21" s="102">
        <v>42306</v>
      </c>
      <c r="L21" s="100"/>
    </row>
    <row r="22" spans="1:12">
      <c r="A22" s="100" t="s">
        <v>59</v>
      </c>
      <c r="B22" s="100" t="s">
        <v>60</v>
      </c>
      <c r="C22" s="101" t="s">
        <v>81</v>
      </c>
      <c r="D22" s="99" t="s">
        <v>82</v>
      </c>
      <c r="E22" s="16">
        <v>41779</v>
      </c>
      <c r="F22" s="16">
        <v>41796</v>
      </c>
      <c r="G22" s="16">
        <v>41792</v>
      </c>
      <c r="H22" s="16"/>
      <c r="I22" s="15">
        <v>5</v>
      </c>
      <c r="J22" s="99"/>
      <c r="K22" s="102">
        <v>42306</v>
      </c>
      <c r="L22" s="100"/>
    </row>
    <row r="23" spans="1:12">
      <c r="A23" s="100" t="s">
        <v>59</v>
      </c>
      <c r="B23" s="100" t="s">
        <v>60</v>
      </c>
      <c r="C23" s="101" t="s">
        <v>115</v>
      </c>
      <c r="D23" s="99" t="s">
        <v>116</v>
      </c>
      <c r="E23" s="16">
        <v>41929</v>
      </c>
      <c r="F23" s="16">
        <v>41950</v>
      </c>
      <c r="G23" s="16">
        <v>41941</v>
      </c>
      <c r="H23" s="16"/>
      <c r="I23" s="15">
        <v>3</v>
      </c>
      <c r="J23" s="99"/>
      <c r="K23" s="102">
        <v>42306</v>
      </c>
      <c r="L23" s="100"/>
    </row>
    <row r="24" spans="1:12" s="161" customFormat="1" ht="45">
      <c r="A24" s="154" t="s">
        <v>59</v>
      </c>
      <c r="B24" s="154" t="s">
        <v>60</v>
      </c>
      <c r="C24" s="155" t="s">
        <v>95</v>
      </c>
      <c r="D24" s="156" t="s">
        <v>96</v>
      </c>
      <c r="E24" s="157">
        <v>41820</v>
      </c>
      <c r="F24" s="157">
        <v>41830</v>
      </c>
      <c r="G24" s="157">
        <v>41828</v>
      </c>
      <c r="H24" s="157"/>
      <c r="I24" s="158">
        <v>6</v>
      </c>
      <c r="J24" s="156" t="s">
        <v>130</v>
      </c>
      <c r="K24" s="159">
        <v>42306</v>
      </c>
      <c r="L24" s="160" t="s">
        <v>134</v>
      </c>
    </row>
    <row r="25" spans="1:12">
      <c r="A25" s="100" t="s">
        <v>59</v>
      </c>
      <c r="B25" s="100" t="s">
        <v>60</v>
      </c>
      <c r="C25" s="101" t="s">
        <v>71</v>
      </c>
      <c r="D25" s="99" t="s">
        <v>72</v>
      </c>
      <c r="E25" s="16">
        <v>41697</v>
      </c>
      <c r="F25" s="16">
        <v>41751</v>
      </c>
      <c r="G25" s="16">
        <v>41746</v>
      </c>
      <c r="H25" s="16"/>
      <c r="I25" s="15">
        <v>5</v>
      </c>
      <c r="J25" s="99" t="s">
        <v>94</v>
      </c>
      <c r="K25" s="102">
        <v>42306</v>
      </c>
      <c r="L25" s="100"/>
    </row>
    <row r="26" spans="1:12">
      <c r="A26" s="100" t="s">
        <v>59</v>
      </c>
      <c r="B26" s="100" t="s">
        <v>60</v>
      </c>
      <c r="C26" s="101" t="s">
        <v>120</v>
      </c>
      <c r="D26" s="99" t="s">
        <v>121</v>
      </c>
      <c r="E26" s="16">
        <v>41949</v>
      </c>
      <c r="F26" s="16">
        <v>41963</v>
      </c>
      <c r="G26" s="16">
        <v>41957</v>
      </c>
      <c r="H26" s="16"/>
      <c r="I26" s="15">
        <v>3</v>
      </c>
      <c r="J26" s="99"/>
      <c r="K26" s="102">
        <v>42306</v>
      </c>
      <c r="L26" s="100"/>
    </row>
    <row r="27" spans="1:12">
      <c r="A27" s="100" t="s">
        <v>59</v>
      </c>
      <c r="B27" s="100" t="s">
        <v>60</v>
      </c>
      <c r="C27" s="101" t="s">
        <v>124</v>
      </c>
      <c r="D27" s="99" t="s">
        <v>125</v>
      </c>
      <c r="E27" s="16">
        <v>41967</v>
      </c>
      <c r="F27" s="16">
        <v>41974</v>
      </c>
      <c r="G27" s="16">
        <v>41970</v>
      </c>
      <c r="H27" s="16"/>
      <c r="I27" s="15">
        <v>3</v>
      </c>
      <c r="J27" s="99"/>
      <c r="K27" s="102">
        <v>42306</v>
      </c>
      <c r="L27" s="100"/>
    </row>
    <row r="28" spans="1:12">
      <c r="A28" s="100" t="s">
        <v>59</v>
      </c>
      <c r="B28" s="100" t="s">
        <v>60</v>
      </c>
      <c r="C28" s="101" t="s">
        <v>83</v>
      </c>
      <c r="D28" s="99" t="s">
        <v>90</v>
      </c>
      <c r="E28" s="16">
        <v>41792</v>
      </c>
      <c r="F28" s="16">
        <v>41808</v>
      </c>
      <c r="G28" s="16">
        <v>41806</v>
      </c>
      <c r="H28" s="16"/>
      <c r="I28" s="15">
        <v>5</v>
      </c>
      <c r="J28" s="99" t="s">
        <v>131</v>
      </c>
      <c r="K28" s="102">
        <v>42306</v>
      </c>
      <c r="L28" s="100"/>
    </row>
    <row r="29" spans="1:12" ht="30">
      <c r="A29" s="100" t="s">
        <v>59</v>
      </c>
      <c r="B29" s="100" t="s">
        <v>60</v>
      </c>
      <c r="C29" s="101" t="s">
        <v>76</v>
      </c>
      <c r="D29" s="150" t="s">
        <v>75</v>
      </c>
      <c r="E29" s="16">
        <v>41775</v>
      </c>
      <c r="F29" s="16">
        <v>41796</v>
      </c>
      <c r="G29" s="16">
        <v>41793</v>
      </c>
      <c r="H29" s="16"/>
      <c r="I29" s="15">
        <v>5</v>
      </c>
      <c r="J29" s="150" t="s">
        <v>91</v>
      </c>
      <c r="K29" s="102">
        <v>42306</v>
      </c>
      <c r="L29" s="100"/>
    </row>
    <row r="30" spans="1:12">
      <c r="A30" s="28"/>
      <c r="B30" s="28"/>
      <c r="C30" s="27" t="s">
        <v>15</v>
      </c>
      <c r="D30" s="33">
        <f>SUBTOTAL(3,D8:D29)</f>
        <v>22</v>
      </c>
      <c r="E30" s="33">
        <f>SUBTOTAL(3,[Date de réception convention financière])</f>
        <v>22</v>
      </c>
      <c r="F30" s="33">
        <f>SUBTOTAL(3,[Date de réception AR kit])</f>
        <v>22</v>
      </c>
      <c r="G30" s="33">
        <f>SUBTOTAL(3,[Date de MEP])</f>
        <v>22</v>
      </c>
      <c r="H30" s="107">
        <f>SUBTOTAL(3,[Desistement])</f>
        <v>0</v>
      </c>
      <c r="I30" s="27">
        <f>SUBTOTAL(109,I8:I29)</f>
        <v>106</v>
      </c>
      <c r="J30" s="31"/>
      <c r="K30" s="32"/>
    </row>
    <row r="31" spans="1:12">
      <c r="D31" s="10"/>
      <c r="J31" s="10"/>
    </row>
    <row r="32" spans="1:12">
      <c r="C32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12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$U$14</f>
        <v>42306</v>
      </c>
      <c r="G4" s="50"/>
      <c r="H4" s="50"/>
      <c r="I4" s="34"/>
      <c r="J4" s="50"/>
      <c r="K4" s="50"/>
      <c r="L4" s="127" t="s">
        <v>17</v>
      </c>
      <c r="M4" s="63">
        <f>$B$14</f>
        <v>394</v>
      </c>
      <c r="N4" s="176" t="str">
        <f>$C$14</f>
        <v>BARELLI Lydie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29" t="s">
        <v>32</v>
      </c>
      <c r="M8" s="129" t="s">
        <v>31</v>
      </c>
      <c r="N8" s="128" t="s">
        <v>33</v>
      </c>
      <c r="O8" s="128" t="s">
        <v>34</v>
      </c>
      <c r="P8" s="12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394</v>
      </c>
      <c r="C10" s="42" t="s">
        <v>114</v>
      </c>
      <c r="D10" s="19">
        <v>1</v>
      </c>
      <c r="E10" s="25">
        <v>41990</v>
      </c>
      <c r="F10" s="25">
        <v>41996</v>
      </c>
      <c r="G10" s="25">
        <v>41992</v>
      </c>
      <c r="H10" s="25"/>
      <c r="I10" s="123" t="s">
        <v>57</v>
      </c>
      <c r="J10" s="25">
        <v>42002</v>
      </c>
      <c r="K10" s="25">
        <v>41992</v>
      </c>
      <c r="L10" s="25">
        <v>42061</v>
      </c>
      <c r="M10" s="25"/>
      <c r="N10" s="25">
        <v>42110</v>
      </c>
      <c r="O10" s="25"/>
      <c r="P10" s="25"/>
      <c r="Q10" s="25">
        <v>42355</v>
      </c>
      <c r="R10" s="25"/>
      <c r="S10" s="25"/>
      <c r="T10" s="42" t="s">
        <v>113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34">
        <v>394</v>
      </c>
      <c r="C11" s="135" t="s">
        <v>114</v>
      </c>
      <c r="D11" s="19">
        <v>2</v>
      </c>
      <c r="E11" s="25">
        <v>41948</v>
      </c>
      <c r="F11" s="25">
        <v>41949</v>
      </c>
      <c r="H11" s="25">
        <v>41949</v>
      </c>
      <c r="I11" s="123" t="s">
        <v>104</v>
      </c>
      <c r="J11" s="25">
        <v>41960</v>
      </c>
      <c r="L11" s="25">
        <v>42019</v>
      </c>
      <c r="N11" s="25">
        <v>42068</v>
      </c>
      <c r="Q11" s="25">
        <v>42313</v>
      </c>
      <c r="T11" s="135" t="s">
        <v>113</v>
      </c>
      <c r="U11" s="12">
        <v>42306</v>
      </c>
    </row>
    <row r="12" spans="2:48" ht="25.5">
      <c r="B12" s="134">
        <v>394</v>
      </c>
      <c r="C12" s="135" t="s">
        <v>114</v>
      </c>
      <c r="D12" s="19">
        <v>3</v>
      </c>
      <c r="E12" s="25">
        <v>41967</v>
      </c>
      <c r="F12" s="25">
        <v>41969</v>
      </c>
      <c r="H12" s="25">
        <v>42009</v>
      </c>
      <c r="I12" s="123" t="s">
        <v>104</v>
      </c>
      <c r="J12" s="25">
        <v>41979</v>
      </c>
      <c r="K12" s="25">
        <v>42009</v>
      </c>
      <c r="L12" s="25">
        <v>42038</v>
      </c>
      <c r="M12" s="25">
        <v>42062</v>
      </c>
      <c r="N12" s="25">
        <v>42087</v>
      </c>
      <c r="Q12" s="25">
        <v>42332</v>
      </c>
      <c r="T12" s="135" t="s">
        <v>113</v>
      </c>
      <c r="U12" s="12">
        <v>42306</v>
      </c>
    </row>
    <row r="13" spans="2:48" ht="25.5">
      <c r="B13" s="134">
        <v>394</v>
      </c>
      <c r="C13" s="135" t="s">
        <v>114</v>
      </c>
      <c r="D13" s="19">
        <v>4</v>
      </c>
      <c r="E13" s="25">
        <v>41955</v>
      </c>
      <c r="F13" s="25">
        <v>41957</v>
      </c>
      <c r="G13" s="25">
        <v>41967</v>
      </c>
      <c r="H13" s="25">
        <v>41967</v>
      </c>
      <c r="I13" s="123" t="s">
        <v>126</v>
      </c>
      <c r="J13" s="25">
        <v>41967</v>
      </c>
      <c r="K13" s="25">
        <v>41989</v>
      </c>
      <c r="L13" s="25">
        <v>42026</v>
      </c>
      <c r="M13" s="25">
        <v>41989</v>
      </c>
      <c r="N13" s="25">
        <v>42075</v>
      </c>
      <c r="O13" s="25">
        <v>41982</v>
      </c>
      <c r="P13" s="25">
        <v>41984</v>
      </c>
      <c r="Q13" s="25">
        <v>42320</v>
      </c>
      <c r="R13" s="25">
        <v>42086</v>
      </c>
      <c r="S13" s="25">
        <v>42088</v>
      </c>
      <c r="T13" s="135" t="s">
        <v>113</v>
      </c>
      <c r="U13" s="12">
        <v>42306</v>
      </c>
    </row>
    <row r="14" spans="2:48" ht="25.5">
      <c r="B14" s="134">
        <v>394</v>
      </c>
      <c r="C14" s="135" t="s">
        <v>114</v>
      </c>
      <c r="D14" s="19">
        <v>5</v>
      </c>
      <c r="E14" s="25">
        <v>41963</v>
      </c>
      <c r="F14" s="25">
        <v>41964</v>
      </c>
      <c r="H14" s="25">
        <v>41978</v>
      </c>
      <c r="I14" s="123" t="s">
        <v>104</v>
      </c>
      <c r="J14" s="25">
        <v>41975</v>
      </c>
      <c r="L14" s="25">
        <v>42034</v>
      </c>
      <c r="N14" s="25">
        <v>42083</v>
      </c>
      <c r="O14" s="25">
        <v>41977</v>
      </c>
      <c r="P14" s="25">
        <v>41978</v>
      </c>
      <c r="Q14" s="25">
        <v>42328</v>
      </c>
      <c r="T14" s="135" t="s">
        <v>113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$U$10</f>
        <v>42306</v>
      </c>
      <c r="G4" s="50"/>
      <c r="H4" s="50"/>
      <c r="I4" s="34"/>
      <c r="J4" s="50"/>
      <c r="K4" s="50"/>
      <c r="L4" s="57" t="s">
        <v>17</v>
      </c>
      <c r="M4" s="63">
        <f>$B$10</f>
        <v>219</v>
      </c>
      <c r="N4" s="176" t="str">
        <f>$C$10</f>
        <v>BERANGER Philippe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219</v>
      </c>
      <c r="C10" s="42" t="s">
        <v>62</v>
      </c>
      <c r="D10" s="19">
        <v>1</v>
      </c>
      <c r="E10" s="25"/>
      <c r="F10" s="25"/>
      <c r="G10" s="25"/>
      <c r="H10" s="25">
        <v>41775</v>
      </c>
      <c r="I10" s="44" t="s">
        <v>97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219</v>
      </c>
      <c r="C11" t="s">
        <v>62</v>
      </c>
      <c r="D11" s="19">
        <v>2</v>
      </c>
      <c r="I11" t="s">
        <v>57</v>
      </c>
      <c r="T11" t="s">
        <v>61</v>
      </c>
      <c r="U11" s="12">
        <v>42306</v>
      </c>
    </row>
    <row r="12" spans="2:48">
      <c r="B12">
        <v>219</v>
      </c>
      <c r="C12" t="s">
        <v>62</v>
      </c>
      <c r="D12" s="19">
        <v>3</v>
      </c>
      <c r="I12" t="s">
        <v>57</v>
      </c>
      <c r="T12" t="s">
        <v>61</v>
      </c>
      <c r="U12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4"/>
  <sheetViews>
    <sheetView workbookViewId="0">
      <selection activeCell="D7" sqref="D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79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$U$14</f>
        <v>42306</v>
      </c>
      <c r="G4" s="50"/>
      <c r="H4" s="50"/>
      <c r="I4" s="34"/>
      <c r="J4" s="50"/>
      <c r="K4" s="50"/>
      <c r="L4" s="80" t="s">
        <v>17</v>
      </c>
      <c r="M4" s="63">
        <f>$B$14</f>
        <v>325</v>
      </c>
      <c r="N4" s="176" t="str">
        <f>$C$14</f>
        <v>BODOKH Isaac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2" t="s">
        <v>32</v>
      </c>
      <c r="M8" s="82" t="s">
        <v>31</v>
      </c>
      <c r="N8" s="81" t="s">
        <v>33</v>
      </c>
      <c r="O8" s="81" t="s">
        <v>34</v>
      </c>
      <c r="P8" s="8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325</v>
      </c>
      <c r="C10" s="42" t="s">
        <v>77</v>
      </c>
      <c r="D10" s="19">
        <v>1</v>
      </c>
      <c r="E10" s="25">
        <v>41821</v>
      </c>
      <c r="F10" s="25">
        <v>41824</v>
      </c>
      <c r="G10" s="25">
        <v>41824</v>
      </c>
      <c r="H10" s="25">
        <v>41824</v>
      </c>
      <c r="I10" s="89" t="s">
        <v>105</v>
      </c>
      <c r="J10" s="25">
        <v>41833</v>
      </c>
      <c r="K10" s="25">
        <v>41852</v>
      </c>
      <c r="L10" s="25">
        <v>41892</v>
      </c>
      <c r="M10" s="25">
        <v>41904</v>
      </c>
      <c r="N10" s="25">
        <v>41941</v>
      </c>
      <c r="O10" s="25">
        <v>41897</v>
      </c>
      <c r="P10" s="25">
        <v>41900</v>
      </c>
      <c r="Q10" s="25">
        <v>42186</v>
      </c>
      <c r="R10" s="25">
        <v>42102</v>
      </c>
      <c r="S10" s="25">
        <v>42107</v>
      </c>
      <c r="T10" s="42" t="s">
        <v>78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14">
        <v>325</v>
      </c>
      <c r="C11" s="115" t="s">
        <v>77</v>
      </c>
      <c r="D11" s="19">
        <v>2</v>
      </c>
      <c r="E11" s="25">
        <v>41821</v>
      </c>
      <c r="F11" s="25">
        <v>41827</v>
      </c>
      <c r="G11" s="25">
        <v>41827</v>
      </c>
      <c r="H11" s="25">
        <v>41824</v>
      </c>
      <c r="I11" s="89" t="s">
        <v>98</v>
      </c>
      <c r="J11" s="25">
        <v>41833</v>
      </c>
      <c r="K11" s="25">
        <v>41836</v>
      </c>
      <c r="L11" s="25">
        <v>41892</v>
      </c>
      <c r="M11" s="25">
        <v>41904</v>
      </c>
      <c r="N11" s="25">
        <v>41941</v>
      </c>
      <c r="Q11" s="25">
        <v>42186</v>
      </c>
      <c r="R11" s="25">
        <v>42086</v>
      </c>
      <c r="S11" s="25">
        <v>42087</v>
      </c>
      <c r="T11" s="115" t="s">
        <v>78</v>
      </c>
      <c r="U11" s="12">
        <v>42306</v>
      </c>
    </row>
    <row r="12" spans="2:48" ht="25.5">
      <c r="B12" s="114">
        <v>325</v>
      </c>
      <c r="C12" s="115" t="s">
        <v>77</v>
      </c>
      <c r="D12" s="19">
        <v>3</v>
      </c>
      <c r="E12" s="25">
        <v>41841</v>
      </c>
      <c r="F12" s="25">
        <v>41842</v>
      </c>
      <c r="G12" s="25">
        <v>41842</v>
      </c>
      <c r="H12" s="25">
        <v>41842</v>
      </c>
      <c r="I12" s="123" t="s">
        <v>104</v>
      </c>
      <c r="J12" s="25">
        <v>41853</v>
      </c>
      <c r="K12" s="25">
        <v>41859</v>
      </c>
      <c r="L12" s="25">
        <v>41912</v>
      </c>
      <c r="M12" s="25">
        <v>41904</v>
      </c>
      <c r="N12" s="25">
        <v>41961</v>
      </c>
      <c r="Q12" s="25">
        <v>42206</v>
      </c>
      <c r="R12" s="25">
        <v>42083</v>
      </c>
      <c r="S12" s="25">
        <v>42086</v>
      </c>
      <c r="T12" s="115" t="s">
        <v>78</v>
      </c>
      <c r="U12" s="12">
        <v>42306</v>
      </c>
    </row>
    <row r="13" spans="2:48" ht="25.5">
      <c r="B13" s="43">
        <v>325</v>
      </c>
      <c r="C13" s="98" t="s">
        <v>77</v>
      </c>
      <c r="D13" s="19">
        <v>4</v>
      </c>
      <c r="E13" s="25">
        <v>41913</v>
      </c>
      <c r="F13" s="25">
        <v>41914</v>
      </c>
      <c r="G13" s="25">
        <v>41914</v>
      </c>
      <c r="H13" s="25">
        <v>41914</v>
      </c>
      <c r="I13" s="123" t="s">
        <v>106</v>
      </c>
      <c r="J13" s="25">
        <v>41925</v>
      </c>
      <c r="L13" s="25">
        <v>41984</v>
      </c>
      <c r="N13" s="25">
        <v>42033</v>
      </c>
      <c r="Q13" s="25">
        <v>42278</v>
      </c>
      <c r="R13" s="25">
        <v>42081</v>
      </c>
      <c r="S13" s="25">
        <v>42083</v>
      </c>
      <c r="T13" s="98" t="s">
        <v>78</v>
      </c>
      <c r="U13" s="12">
        <v>42306</v>
      </c>
    </row>
    <row r="14" spans="2:48" ht="25.5">
      <c r="B14" s="43">
        <v>325</v>
      </c>
      <c r="C14" s="98" t="s">
        <v>77</v>
      </c>
      <c r="D14" s="19">
        <v>5</v>
      </c>
      <c r="E14" s="25">
        <v>41933</v>
      </c>
      <c r="F14" s="25">
        <v>41935</v>
      </c>
      <c r="G14" s="25">
        <v>41935</v>
      </c>
      <c r="H14" s="25">
        <v>41935</v>
      </c>
      <c r="I14" s="123" t="s">
        <v>104</v>
      </c>
      <c r="J14" s="25">
        <v>41945</v>
      </c>
      <c r="K14" s="25">
        <v>41975</v>
      </c>
      <c r="L14" s="25">
        <v>42004</v>
      </c>
      <c r="M14" s="25">
        <v>42026</v>
      </c>
      <c r="N14" s="25">
        <v>42053</v>
      </c>
      <c r="Q14" s="25">
        <v>42298</v>
      </c>
      <c r="R14" s="25">
        <v>42086</v>
      </c>
      <c r="S14" s="25">
        <v>42087</v>
      </c>
      <c r="T14" s="98" t="s">
        <v>78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11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$U$14</f>
        <v>42306</v>
      </c>
      <c r="G4" s="50"/>
      <c r="H4" s="50"/>
      <c r="I4" s="34"/>
      <c r="J4" s="50"/>
      <c r="K4" s="50"/>
      <c r="L4" s="111" t="s">
        <v>17</v>
      </c>
      <c r="M4" s="63">
        <f>$B$14</f>
        <v>366</v>
      </c>
      <c r="N4" s="176" t="str">
        <f>$C$14</f>
        <v>BRUN Patrick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13" t="s">
        <v>32</v>
      </c>
      <c r="M8" s="113" t="s">
        <v>31</v>
      </c>
      <c r="N8" s="112" t="s">
        <v>33</v>
      </c>
      <c r="O8" s="112" t="s">
        <v>34</v>
      </c>
      <c r="P8" s="11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366</v>
      </c>
      <c r="C10" s="42" t="s">
        <v>93</v>
      </c>
      <c r="D10" s="19">
        <v>1</v>
      </c>
      <c r="E10" s="25">
        <v>41836</v>
      </c>
      <c r="F10" s="25">
        <v>41841</v>
      </c>
      <c r="G10" s="25">
        <v>41841</v>
      </c>
      <c r="H10" s="25">
        <v>41841</v>
      </c>
      <c r="I10" s="122" t="s">
        <v>98</v>
      </c>
      <c r="J10" s="25">
        <v>41848</v>
      </c>
      <c r="K10" s="25">
        <v>41850</v>
      </c>
      <c r="L10" s="25">
        <v>41907</v>
      </c>
      <c r="M10" s="25">
        <v>41908</v>
      </c>
      <c r="N10" s="25">
        <v>41956</v>
      </c>
      <c r="O10" s="25">
        <v>41904</v>
      </c>
      <c r="P10" s="25">
        <v>41906</v>
      </c>
      <c r="Q10" s="25">
        <v>42201</v>
      </c>
      <c r="R10" s="25"/>
      <c r="S10" s="25"/>
      <c r="T10" s="42" t="s">
        <v>92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20">
        <v>366</v>
      </c>
      <c r="C11" s="121" t="s">
        <v>93</v>
      </c>
      <c r="D11" s="19">
        <v>2</v>
      </c>
      <c r="E11" s="25">
        <v>41900</v>
      </c>
      <c r="F11" s="25">
        <v>41901</v>
      </c>
      <c r="H11" s="25">
        <v>41901</v>
      </c>
      <c r="I11" s="123" t="s">
        <v>105</v>
      </c>
      <c r="J11" s="25">
        <v>41912</v>
      </c>
      <c r="L11" s="25">
        <v>41971</v>
      </c>
      <c r="N11" s="25">
        <v>42020</v>
      </c>
      <c r="Q11" s="25">
        <v>42265</v>
      </c>
      <c r="T11" s="121" t="s">
        <v>92</v>
      </c>
      <c r="U11" s="12">
        <v>42306</v>
      </c>
    </row>
    <row r="12" spans="2:48" ht="25.5">
      <c r="B12" s="120">
        <v>366</v>
      </c>
      <c r="C12" s="121" t="s">
        <v>93</v>
      </c>
      <c r="D12" s="19">
        <v>3</v>
      </c>
      <c r="H12" s="25">
        <v>41912</v>
      </c>
      <c r="I12" s="123" t="s">
        <v>105</v>
      </c>
      <c r="T12" s="121" t="s">
        <v>92</v>
      </c>
      <c r="U12" s="12">
        <v>42306</v>
      </c>
    </row>
    <row r="13" spans="2:48" ht="25.5">
      <c r="B13" s="124">
        <v>366</v>
      </c>
      <c r="C13" s="125" t="s">
        <v>93</v>
      </c>
      <c r="D13" s="19">
        <v>4</v>
      </c>
      <c r="I13" s="123" t="s">
        <v>57</v>
      </c>
      <c r="T13" s="125" t="s">
        <v>92</v>
      </c>
      <c r="U13" s="12">
        <v>42306</v>
      </c>
    </row>
    <row r="14" spans="2:48" ht="25.5">
      <c r="B14" s="124">
        <v>366</v>
      </c>
      <c r="C14" s="125" t="s">
        <v>93</v>
      </c>
      <c r="D14" s="19">
        <v>5</v>
      </c>
      <c r="I14" s="123" t="s">
        <v>57</v>
      </c>
      <c r="T14" s="125" t="s">
        <v>92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22"/>
  <dimension ref="B1:AV15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14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$U$15</f>
        <v>42306</v>
      </c>
      <c r="G4" s="50"/>
      <c r="H4" s="50"/>
      <c r="I4" s="34"/>
      <c r="J4" s="50"/>
      <c r="K4" s="50"/>
      <c r="L4" s="145" t="s">
        <v>17</v>
      </c>
      <c r="M4" s="63">
        <f>$B$15</f>
        <v>442</v>
      </c>
      <c r="N4" s="176" t="str">
        <f>$C$15</f>
        <v>CAUJOLLE Isabelle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43" t="s">
        <v>32</v>
      </c>
      <c r="M8" s="143" t="s">
        <v>31</v>
      </c>
      <c r="N8" s="142" t="s">
        <v>33</v>
      </c>
      <c r="O8" s="142" t="s">
        <v>34</v>
      </c>
      <c r="P8" s="14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442</v>
      </c>
      <c r="C10" s="42" t="s">
        <v>122</v>
      </c>
      <c r="D10" s="19">
        <v>4</v>
      </c>
      <c r="E10" s="25">
        <v>41991</v>
      </c>
      <c r="F10" s="25">
        <v>42012</v>
      </c>
      <c r="G10" s="25">
        <v>42012</v>
      </c>
      <c r="H10" s="25">
        <v>42012</v>
      </c>
      <c r="I10" s="123" t="s">
        <v>98</v>
      </c>
      <c r="J10" s="25">
        <v>42003</v>
      </c>
      <c r="K10" s="25">
        <v>42018</v>
      </c>
      <c r="L10" s="25">
        <v>42062</v>
      </c>
      <c r="M10" s="25">
        <v>42075</v>
      </c>
      <c r="N10" s="25">
        <v>42111</v>
      </c>
      <c r="O10" s="25">
        <v>42016</v>
      </c>
      <c r="P10" s="25">
        <v>42018</v>
      </c>
      <c r="Q10" s="25">
        <v>42356</v>
      </c>
      <c r="R10" s="25">
        <v>42072</v>
      </c>
      <c r="S10" s="25">
        <v>42075</v>
      </c>
      <c r="T10" s="42" t="s">
        <v>123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40">
        <v>442</v>
      </c>
      <c r="C11" s="141" t="s">
        <v>122</v>
      </c>
      <c r="D11" s="19">
        <v>5</v>
      </c>
      <c r="E11" s="25">
        <v>42009</v>
      </c>
      <c r="F11" s="25">
        <v>42012</v>
      </c>
      <c r="G11" s="25">
        <v>42023</v>
      </c>
      <c r="H11" s="25">
        <v>42012</v>
      </c>
      <c r="I11" s="151" t="s">
        <v>135</v>
      </c>
      <c r="J11" s="25">
        <v>42021</v>
      </c>
      <c r="K11" s="25">
        <v>42023</v>
      </c>
      <c r="L11" s="25">
        <v>42080</v>
      </c>
      <c r="M11" s="25">
        <v>42093</v>
      </c>
      <c r="N11" s="25">
        <v>42129</v>
      </c>
      <c r="O11" s="25">
        <v>42019</v>
      </c>
      <c r="P11" s="25">
        <v>42023</v>
      </c>
      <c r="Q11" s="25">
        <v>42374</v>
      </c>
      <c r="R11" s="25">
        <v>42090</v>
      </c>
      <c r="S11" s="25">
        <v>42093</v>
      </c>
      <c r="T11" s="141" t="s">
        <v>123</v>
      </c>
      <c r="U11" s="12">
        <v>42306</v>
      </c>
    </row>
    <row r="12" spans="2:48" ht="25.5">
      <c r="B12" s="140">
        <v>442</v>
      </c>
      <c r="C12" s="141" t="s">
        <v>122</v>
      </c>
      <c r="D12" s="19">
        <v>6</v>
      </c>
      <c r="E12" s="25">
        <v>42013</v>
      </c>
      <c r="F12" s="25">
        <v>42018</v>
      </c>
      <c r="G12" s="25">
        <v>42018</v>
      </c>
      <c r="H12" s="25">
        <v>42018</v>
      </c>
      <c r="I12" s="151" t="s">
        <v>98</v>
      </c>
      <c r="J12" s="25">
        <v>42025</v>
      </c>
      <c r="K12" s="25">
        <v>42023</v>
      </c>
      <c r="L12" s="25">
        <v>42084</v>
      </c>
      <c r="M12" s="25">
        <v>42081</v>
      </c>
      <c r="N12" s="25">
        <v>42133</v>
      </c>
      <c r="O12" s="25">
        <v>42019</v>
      </c>
      <c r="P12" s="25">
        <v>42023</v>
      </c>
      <c r="Q12" s="25">
        <v>42378</v>
      </c>
      <c r="R12" s="25">
        <v>42079</v>
      </c>
      <c r="S12" s="25">
        <v>42081</v>
      </c>
      <c r="T12" s="141" t="s">
        <v>123</v>
      </c>
      <c r="U12" s="12">
        <v>42306</v>
      </c>
    </row>
    <row r="13" spans="2:48" ht="25.5">
      <c r="B13" s="152">
        <v>442</v>
      </c>
      <c r="C13" s="153" t="s">
        <v>122</v>
      </c>
      <c r="D13" s="19">
        <v>1</v>
      </c>
      <c r="E13" s="25">
        <v>41964</v>
      </c>
      <c r="F13" s="25">
        <v>41967</v>
      </c>
      <c r="G13" s="25">
        <v>41967</v>
      </c>
      <c r="H13" s="25">
        <v>41967</v>
      </c>
      <c r="I13" s="151" t="s">
        <v>98</v>
      </c>
      <c r="J13" s="25">
        <v>41976</v>
      </c>
      <c r="K13" s="25">
        <v>41974</v>
      </c>
      <c r="L13" s="25">
        <v>42035</v>
      </c>
      <c r="M13" s="25">
        <v>42037</v>
      </c>
      <c r="N13" s="25">
        <v>42084</v>
      </c>
      <c r="O13" s="25">
        <v>41970</v>
      </c>
      <c r="P13" s="25">
        <v>41974</v>
      </c>
      <c r="Q13" s="25">
        <v>42329</v>
      </c>
      <c r="R13" s="25">
        <v>42024</v>
      </c>
      <c r="S13" s="25">
        <v>42037</v>
      </c>
      <c r="T13" s="153" t="s">
        <v>123</v>
      </c>
      <c r="U13" s="12">
        <v>42306</v>
      </c>
    </row>
    <row r="14" spans="2:48" ht="25.5">
      <c r="B14" s="152">
        <v>442</v>
      </c>
      <c r="C14" s="153" t="s">
        <v>122</v>
      </c>
      <c r="D14" s="19">
        <v>2</v>
      </c>
      <c r="E14" s="25">
        <v>41963</v>
      </c>
      <c r="F14" s="25">
        <v>41967</v>
      </c>
      <c r="G14" s="25">
        <v>41967</v>
      </c>
      <c r="H14" s="25">
        <v>41967</v>
      </c>
      <c r="I14" s="151" t="s">
        <v>98</v>
      </c>
      <c r="J14" s="25">
        <v>41975</v>
      </c>
      <c r="K14" s="25">
        <v>41976</v>
      </c>
      <c r="L14" s="25">
        <v>42034</v>
      </c>
      <c r="M14" s="25">
        <v>42027</v>
      </c>
      <c r="N14" s="25">
        <v>42083</v>
      </c>
      <c r="O14" s="25">
        <v>41974</v>
      </c>
      <c r="P14" s="25">
        <v>41976</v>
      </c>
      <c r="Q14" s="25">
        <v>42328</v>
      </c>
      <c r="R14" s="25">
        <v>42024</v>
      </c>
      <c r="S14" s="25">
        <v>42027</v>
      </c>
      <c r="T14" s="153" t="s">
        <v>123</v>
      </c>
      <c r="U14" s="12">
        <v>42306</v>
      </c>
    </row>
    <row r="15" spans="2:48" ht="25.5">
      <c r="B15" s="43">
        <v>442</v>
      </c>
      <c r="C15" s="98" t="s">
        <v>122</v>
      </c>
      <c r="D15" s="19">
        <v>3</v>
      </c>
      <c r="E15" s="25">
        <v>41964</v>
      </c>
      <c r="F15" s="25">
        <v>41968</v>
      </c>
      <c r="G15" s="25">
        <v>41968</v>
      </c>
      <c r="H15" s="25">
        <v>41968</v>
      </c>
      <c r="I15" s="151" t="s">
        <v>98</v>
      </c>
      <c r="J15" s="25">
        <v>41976</v>
      </c>
      <c r="K15" s="25">
        <v>41978</v>
      </c>
      <c r="L15" s="25">
        <v>42035</v>
      </c>
      <c r="M15" s="25">
        <v>42027</v>
      </c>
      <c r="N15" s="25">
        <v>42084</v>
      </c>
      <c r="O15" s="25">
        <v>41976</v>
      </c>
      <c r="P15" s="25">
        <v>41978</v>
      </c>
      <c r="Q15" s="25">
        <v>42329</v>
      </c>
      <c r="R15" s="25">
        <v>42025</v>
      </c>
      <c r="S15" s="25">
        <v>42027</v>
      </c>
      <c r="T15" s="98" t="s">
        <v>123</v>
      </c>
      <c r="U15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6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$U$10</f>
        <v>42306</v>
      </c>
      <c r="G4" s="50"/>
      <c r="H4" s="50"/>
      <c r="I4" s="34"/>
      <c r="J4" s="50"/>
      <c r="K4" s="50"/>
      <c r="L4" s="65" t="s">
        <v>17</v>
      </c>
      <c r="M4" s="63">
        <f>$B$10</f>
        <v>217</v>
      </c>
      <c r="N4" s="176" t="str">
        <f>$C$10</f>
        <v>DESRUELLES François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217</v>
      </c>
      <c r="C10" s="42" t="s">
        <v>64</v>
      </c>
      <c r="D10" s="19">
        <v>1</v>
      </c>
      <c r="E10" s="25">
        <v>41747</v>
      </c>
      <c r="F10" s="25">
        <v>41774</v>
      </c>
      <c r="G10" s="25"/>
      <c r="H10" s="25">
        <v>41752</v>
      </c>
      <c r="I10" s="44" t="s">
        <v>98</v>
      </c>
      <c r="J10" s="25">
        <v>41759</v>
      </c>
      <c r="K10" s="25">
        <v>41802</v>
      </c>
      <c r="L10" s="25">
        <v>41818</v>
      </c>
      <c r="M10" s="25">
        <v>41802</v>
      </c>
      <c r="N10" s="25">
        <v>41867</v>
      </c>
      <c r="O10" s="25">
        <v>41759</v>
      </c>
      <c r="P10" s="25">
        <v>41802</v>
      </c>
      <c r="Q10" s="25">
        <v>42112</v>
      </c>
      <c r="R10" s="25"/>
      <c r="S10" s="25"/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217</v>
      </c>
      <c r="C11" t="s">
        <v>64</v>
      </c>
      <c r="D11" s="19">
        <v>2</v>
      </c>
      <c r="E11" s="25">
        <v>41759</v>
      </c>
      <c r="F11" s="25">
        <v>41771</v>
      </c>
      <c r="H11" s="25">
        <v>41771</v>
      </c>
      <c r="I11" t="s">
        <v>98</v>
      </c>
      <c r="J11" s="25">
        <v>41771</v>
      </c>
      <c r="K11" s="25">
        <v>41801</v>
      </c>
      <c r="L11" s="25">
        <v>41830</v>
      </c>
      <c r="N11" s="25">
        <v>41879</v>
      </c>
      <c r="O11" s="25">
        <v>41800</v>
      </c>
      <c r="P11" s="25">
        <v>41806</v>
      </c>
      <c r="Q11" s="25">
        <v>42124</v>
      </c>
      <c r="T11" t="s">
        <v>63</v>
      </c>
      <c r="U11" s="12">
        <v>42306</v>
      </c>
    </row>
    <row r="12" spans="2:48">
      <c r="B12">
        <v>217</v>
      </c>
      <c r="C12" t="s">
        <v>64</v>
      </c>
      <c r="D12" s="19">
        <v>3</v>
      </c>
      <c r="E12" s="25">
        <v>41772</v>
      </c>
      <c r="F12" s="25">
        <v>41774</v>
      </c>
      <c r="H12" s="25">
        <v>41774</v>
      </c>
      <c r="I12" t="s">
        <v>98</v>
      </c>
      <c r="J12" s="25">
        <v>41784</v>
      </c>
      <c r="K12" s="25">
        <v>41810</v>
      </c>
      <c r="L12" s="25">
        <v>41843</v>
      </c>
      <c r="M12" s="25">
        <v>41810</v>
      </c>
      <c r="N12" s="25">
        <v>41892</v>
      </c>
      <c r="O12" s="25">
        <v>41807</v>
      </c>
      <c r="P12" s="25">
        <v>41809</v>
      </c>
      <c r="Q12" s="25">
        <v>42137</v>
      </c>
      <c r="T12" t="s">
        <v>63</v>
      </c>
      <c r="U12" s="12">
        <v>42306</v>
      </c>
    </row>
    <row r="13" spans="2:48">
      <c r="B13">
        <v>217</v>
      </c>
      <c r="C13" t="s">
        <v>64</v>
      </c>
      <c r="D13" s="19">
        <v>4</v>
      </c>
      <c r="E13" s="25">
        <v>41782</v>
      </c>
      <c r="F13" s="25">
        <v>41785</v>
      </c>
      <c r="H13" s="25">
        <v>41785</v>
      </c>
      <c r="I13" t="s">
        <v>98</v>
      </c>
      <c r="J13" s="25">
        <v>41794</v>
      </c>
      <c r="L13" s="25">
        <v>41853</v>
      </c>
      <c r="N13" s="25">
        <v>41902</v>
      </c>
      <c r="Q13" s="25">
        <v>42147</v>
      </c>
      <c r="T13" t="s">
        <v>63</v>
      </c>
      <c r="U13" s="12">
        <v>42306</v>
      </c>
    </row>
    <row r="14" spans="2:48">
      <c r="B14">
        <v>217</v>
      </c>
      <c r="C14" t="s">
        <v>64</v>
      </c>
      <c r="D14" s="19">
        <v>5</v>
      </c>
      <c r="E14" s="25">
        <v>41787</v>
      </c>
      <c r="F14" s="25">
        <v>41794</v>
      </c>
      <c r="H14" s="25">
        <v>41794</v>
      </c>
      <c r="I14" t="s">
        <v>98</v>
      </c>
      <c r="J14" s="25">
        <v>41799</v>
      </c>
      <c r="K14" s="25">
        <v>41800</v>
      </c>
      <c r="L14" s="25">
        <v>41858</v>
      </c>
      <c r="M14" s="25">
        <v>41862</v>
      </c>
      <c r="N14" s="25">
        <v>41907</v>
      </c>
      <c r="O14" s="25">
        <v>41821</v>
      </c>
      <c r="P14" s="25">
        <v>41824</v>
      </c>
      <c r="Q14" s="25">
        <v>42152</v>
      </c>
      <c r="T14" t="s">
        <v>63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7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$U$14</f>
        <v>42306</v>
      </c>
      <c r="G4" s="50"/>
      <c r="H4" s="50"/>
      <c r="I4" s="34"/>
      <c r="J4" s="50"/>
      <c r="K4" s="50"/>
      <c r="L4" s="69" t="s">
        <v>17</v>
      </c>
      <c r="M4" s="63">
        <f>$B$14</f>
        <v>262</v>
      </c>
      <c r="N4" s="176" t="str">
        <f>$C$14</f>
        <v>DRAPPIER Jean-Christophe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262</v>
      </c>
      <c r="C10" s="42" t="s">
        <v>73</v>
      </c>
      <c r="D10" s="19">
        <v>1</v>
      </c>
      <c r="E10" s="25">
        <v>41747</v>
      </c>
      <c r="F10" s="25">
        <v>41751</v>
      </c>
      <c r="G10" s="25">
        <v>41751</v>
      </c>
      <c r="H10" s="25">
        <v>41751</v>
      </c>
      <c r="I10" s="44" t="s">
        <v>98</v>
      </c>
      <c r="J10" s="25">
        <v>41759</v>
      </c>
      <c r="K10" s="25">
        <v>41759</v>
      </c>
      <c r="L10" s="25">
        <v>41818</v>
      </c>
      <c r="M10" s="25"/>
      <c r="N10" s="25">
        <v>41867</v>
      </c>
      <c r="O10" s="25">
        <v>41820</v>
      </c>
      <c r="P10" s="25">
        <v>41821</v>
      </c>
      <c r="Q10" s="25">
        <v>42112</v>
      </c>
      <c r="R10" s="25">
        <v>41982</v>
      </c>
      <c r="S10" s="25">
        <v>41984</v>
      </c>
      <c r="T10" s="42" t="s">
        <v>74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6">
        <v>262</v>
      </c>
      <c r="C11" s="77" t="s">
        <v>73</v>
      </c>
      <c r="D11" s="19">
        <v>2</v>
      </c>
      <c r="E11" s="25">
        <v>41752</v>
      </c>
      <c r="F11" s="25">
        <v>41754</v>
      </c>
      <c r="G11" s="25">
        <v>41754</v>
      </c>
      <c r="H11" s="25">
        <v>41754</v>
      </c>
      <c r="I11" s="44" t="s">
        <v>99</v>
      </c>
      <c r="J11" s="25">
        <v>41764</v>
      </c>
      <c r="K11" s="25">
        <v>41764</v>
      </c>
      <c r="L11" s="25">
        <v>41823</v>
      </c>
      <c r="M11" s="25">
        <v>41815</v>
      </c>
      <c r="N11" s="25">
        <v>41872</v>
      </c>
      <c r="O11" s="25">
        <v>41813</v>
      </c>
      <c r="P11" s="25">
        <v>41815</v>
      </c>
      <c r="Q11" s="25">
        <v>42117</v>
      </c>
      <c r="R11" s="25">
        <v>41974</v>
      </c>
      <c r="S11" s="25">
        <v>41976</v>
      </c>
      <c r="T11" s="77" t="s">
        <v>74</v>
      </c>
      <c r="U11" s="12">
        <v>42306</v>
      </c>
    </row>
    <row r="12" spans="2:48" ht="25.5">
      <c r="B12" s="76">
        <v>262</v>
      </c>
      <c r="C12" s="77" t="s">
        <v>73</v>
      </c>
      <c r="D12" s="19">
        <v>3</v>
      </c>
      <c r="E12" s="25">
        <v>41774</v>
      </c>
      <c r="F12" s="25">
        <v>41778</v>
      </c>
      <c r="G12" s="25">
        <v>41778</v>
      </c>
      <c r="H12" s="25">
        <v>41778</v>
      </c>
      <c r="I12" s="44" t="s">
        <v>100</v>
      </c>
      <c r="J12" s="25">
        <v>41786</v>
      </c>
      <c r="K12" s="25">
        <v>41794</v>
      </c>
      <c r="L12" s="25">
        <v>41845</v>
      </c>
      <c r="M12" s="25">
        <v>41857</v>
      </c>
      <c r="N12" s="25">
        <v>41894</v>
      </c>
      <c r="O12" s="25">
        <v>41845</v>
      </c>
      <c r="P12" s="25">
        <v>41848</v>
      </c>
      <c r="Q12" s="25">
        <v>42139</v>
      </c>
      <c r="R12" s="25">
        <v>41981</v>
      </c>
      <c r="S12" s="25">
        <v>41983</v>
      </c>
      <c r="T12" s="77" t="s">
        <v>74</v>
      </c>
      <c r="U12" s="12">
        <v>42306</v>
      </c>
    </row>
    <row r="13" spans="2:48" ht="25.5">
      <c r="B13" s="76">
        <v>262</v>
      </c>
      <c r="C13" s="77" t="s">
        <v>73</v>
      </c>
      <c r="D13" s="19">
        <v>4</v>
      </c>
      <c r="E13" s="25">
        <v>41792</v>
      </c>
      <c r="F13" s="25">
        <v>41794</v>
      </c>
      <c r="G13" s="25">
        <v>41794</v>
      </c>
      <c r="H13" s="25">
        <v>41794</v>
      </c>
      <c r="I13" s="44" t="s">
        <v>101</v>
      </c>
      <c r="J13" s="25">
        <v>41804</v>
      </c>
      <c r="K13" s="25">
        <v>41806</v>
      </c>
      <c r="L13" s="25">
        <v>41863</v>
      </c>
      <c r="N13" s="25">
        <v>41912</v>
      </c>
      <c r="O13" s="25">
        <v>41844</v>
      </c>
      <c r="P13" s="25">
        <v>41848</v>
      </c>
      <c r="Q13" s="25">
        <v>42157</v>
      </c>
      <c r="T13" s="77" t="s">
        <v>74</v>
      </c>
      <c r="U13" s="12">
        <v>42306</v>
      </c>
    </row>
    <row r="14" spans="2:48" ht="25.5">
      <c r="B14" s="76">
        <v>262</v>
      </c>
      <c r="C14" s="77" t="s">
        <v>73</v>
      </c>
      <c r="D14" s="19">
        <v>5</v>
      </c>
      <c r="E14" s="25">
        <v>41787</v>
      </c>
      <c r="F14" s="25">
        <v>41792</v>
      </c>
      <c r="G14" s="25">
        <v>41803</v>
      </c>
      <c r="H14" s="25">
        <v>41792</v>
      </c>
      <c r="I14" s="44" t="s">
        <v>98</v>
      </c>
      <c r="J14" s="25">
        <v>41799</v>
      </c>
      <c r="K14" s="25">
        <v>41822</v>
      </c>
      <c r="L14" s="25">
        <v>41858</v>
      </c>
      <c r="N14" s="25">
        <v>41907</v>
      </c>
      <c r="O14" s="25">
        <v>41835</v>
      </c>
      <c r="P14" s="25">
        <v>41838</v>
      </c>
      <c r="Q14" s="25">
        <v>42152</v>
      </c>
      <c r="R14" s="25">
        <v>41974</v>
      </c>
      <c r="S14" s="25">
        <v>41976</v>
      </c>
      <c r="T14" s="77" t="s">
        <v>74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8"/>
  <dimension ref="B1:AV14"/>
  <sheetViews>
    <sheetView workbookViewId="0">
      <selection activeCell="G3" sqref="G3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103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$U$14</f>
        <v>42306</v>
      </c>
      <c r="G4" s="50"/>
      <c r="H4" s="50"/>
      <c r="I4" s="34"/>
      <c r="J4" s="50"/>
      <c r="K4" s="50"/>
      <c r="L4" s="104" t="s">
        <v>17</v>
      </c>
      <c r="M4" s="63">
        <f>$B$14</f>
        <v>353</v>
      </c>
      <c r="N4" s="176" t="str">
        <f>$C$14</f>
        <v>DURAND Jean-Marc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06" t="s">
        <v>32</v>
      </c>
      <c r="M8" s="106" t="s">
        <v>31</v>
      </c>
      <c r="N8" s="105" t="s">
        <v>33</v>
      </c>
      <c r="O8" s="105" t="s">
        <v>34</v>
      </c>
      <c r="P8" s="105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353</v>
      </c>
      <c r="C10" s="42" t="s">
        <v>86</v>
      </c>
      <c r="D10" s="19">
        <v>1</v>
      </c>
      <c r="E10" s="25">
        <v>41869</v>
      </c>
      <c r="F10" s="25">
        <v>41872</v>
      </c>
      <c r="G10" s="25">
        <v>41872</v>
      </c>
      <c r="H10" s="25"/>
      <c r="I10" s="123" t="s">
        <v>57</v>
      </c>
      <c r="J10" s="25">
        <v>41881</v>
      </c>
      <c r="K10" s="25"/>
      <c r="L10" s="25">
        <v>41940</v>
      </c>
      <c r="M10" s="25"/>
      <c r="N10" s="25">
        <v>41989</v>
      </c>
      <c r="O10" s="25"/>
      <c r="P10" s="25"/>
      <c r="Q10" s="25">
        <v>42234</v>
      </c>
      <c r="R10" s="25"/>
      <c r="S10" s="25"/>
      <c r="T10" s="42" t="s">
        <v>85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353</v>
      </c>
      <c r="C11" s="98" t="s">
        <v>86</v>
      </c>
      <c r="D11" s="19">
        <v>2</v>
      </c>
      <c r="E11" s="25">
        <v>41886</v>
      </c>
      <c r="F11" s="25">
        <v>41891</v>
      </c>
      <c r="G11" s="25">
        <v>41891</v>
      </c>
      <c r="I11" s="123" t="s">
        <v>57</v>
      </c>
      <c r="J11" s="25">
        <v>41898</v>
      </c>
      <c r="L11" s="25">
        <v>41957</v>
      </c>
      <c r="N11" s="25">
        <v>42006</v>
      </c>
      <c r="Q11" s="25">
        <v>42251</v>
      </c>
      <c r="T11" s="98" t="s">
        <v>85</v>
      </c>
      <c r="U11" s="12">
        <v>42306</v>
      </c>
    </row>
    <row r="12" spans="2:48" ht="25.5">
      <c r="B12" s="43">
        <v>353</v>
      </c>
      <c r="C12" s="98" t="s">
        <v>86</v>
      </c>
      <c r="D12" s="19">
        <v>3</v>
      </c>
      <c r="E12" s="25">
        <v>41906</v>
      </c>
      <c r="F12" s="25">
        <v>41912</v>
      </c>
      <c r="G12" s="25">
        <v>41912</v>
      </c>
      <c r="H12" s="25">
        <v>41964</v>
      </c>
      <c r="I12" s="123" t="s">
        <v>98</v>
      </c>
      <c r="J12" s="25">
        <v>41918</v>
      </c>
      <c r="K12" s="25">
        <v>41918</v>
      </c>
      <c r="L12" s="25">
        <v>41977</v>
      </c>
      <c r="M12" s="25">
        <v>41964</v>
      </c>
      <c r="N12" s="25">
        <v>42026</v>
      </c>
      <c r="O12" s="25">
        <v>41946</v>
      </c>
      <c r="P12" s="25">
        <v>41955</v>
      </c>
      <c r="Q12" s="25">
        <v>42271</v>
      </c>
      <c r="T12" s="98" t="s">
        <v>85</v>
      </c>
      <c r="U12" s="12">
        <v>42306</v>
      </c>
    </row>
    <row r="13" spans="2:48" ht="25.5">
      <c r="B13" s="124">
        <v>353</v>
      </c>
      <c r="C13" s="125" t="s">
        <v>86</v>
      </c>
      <c r="D13" s="19">
        <v>4</v>
      </c>
      <c r="E13" s="25">
        <v>41941</v>
      </c>
      <c r="F13" s="25">
        <v>41946</v>
      </c>
      <c r="G13" s="25">
        <v>41946</v>
      </c>
      <c r="H13" s="25">
        <v>42011</v>
      </c>
      <c r="I13" s="123" t="s">
        <v>117</v>
      </c>
      <c r="J13" s="25">
        <v>41953</v>
      </c>
      <c r="K13" s="25">
        <v>41955</v>
      </c>
      <c r="L13" s="25">
        <v>42012</v>
      </c>
      <c r="M13" s="25">
        <v>42011</v>
      </c>
      <c r="N13" s="25">
        <v>42061</v>
      </c>
      <c r="O13" s="25">
        <v>41981</v>
      </c>
      <c r="P13" s="25">
        <v>41984</v>
      </c>
      <c r="Q13" s="25">
        <v>42306</v>
      </c>
      <c r="T13" s="125" t="s">
        <v>85</v>
      </c>
      <c r="U13" s="12">
        <v>42306</v>
      </c>
    </row>
    <row r="14" spans="2:48" ht="25.5">
      <c r="B14" s="124">
        <v>353</v>
      </c>
      <c r="C14" s="125" t="s">
        <v>86</v>
      </c>
      <c r="D14" s="19">
        <v>5</v>
      </c>
      <c r="E14" s="25">
        <v>41950</v>
      </c>
      <c r="F14" s="25">
        <v>41955</v>
      </c>
      <c r="G14" s="25">
        <v>41955</v>
      </c>
      <c r="H14" s="25">
        <v>42012</v>
      </c>
      <c r="I14" s="123" t="s">
        <v>126</v>
      </c>
      <c r="J14" s="25">
        <v>41962</v>
      </c>
      <c r="K14" s="25">
        <v>41962</v>
      </c>
      <c r="L14" s="25">
        <v>42021</v>
      </c>
      <c r="M14" s="25">
        <v>42012</v>
      </c>
      <c r="N14" s="25">
        <v>42070</v>
      </c>
      <c r="O14" s="25">
        <v>41981</v>
      </c>
      <c r="P14" s="25">
        <v>41984</v>
      </c>
      <c r="Q14" s="25">
        <v>42315</v>
      </c>
      <c r="R14" s="25">
        <v>42205</v>
      </c>
      <c r="S14" s="25">
        <v>42208</v>
      </c>
      <c r="T14" s="125" t="s">
        <v>85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9"/>
  <dimension ref="B1:AV16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$U$10</f>
        <v>42306</v>
      </c>
      <c r="G4" s="50"/>
      <c r="H4" s="50"/>
      <c r="I4" s="34"/>
      <c r="J4" s="50"/>
      <c r="K4" s="50"/>
      <c r="L4" s="65" t="s">
        <v>17</v>
      </c>
      <c r="M4" s="63">
        <f>$B$10</f>
        <v>218</v>
      </c>
      <c r="N4" s="176" t="str">
        <f>$C$10</f>
        <v>EL BAZE Philip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218</v>
      </c>
      <c r="C10" s="42" t="s">
        <v>66</v>
      </c>
      <c r="D10" s="19">
        <v>1</v>
      </c>
      <c r="E10" s="25">
        <v>41771</v>
      </c>
      <c r="F10" s="25">
        <v>41809</v>
      </c>
      <c r="G10" s="25"/>
      <c r="H10" s="25">
        <v>41808</v>
      </c>
      <c r="I10" s="44" t="s">
        <v>98</v>
      </c>
      <c r="J10" s="25">
        <v>41783</v>
      </c>
      <c r="K10" s="25">
        <v>41808</v>
      </c>
      <c r="L10" s="25">
        <v>41842</v>
      </c>
      <c r="M10" s="25">
        <v>41850</v>
      </c>
      <c r="N10" s="25">
        <v>41891</v>
      </c>
      <c r="O10" s="25">
        <v>41802</v>
      </c>
      <c r="P10" s="25">
        <v>41808</v>
      </c>
      <c r="Q10" s="25">
        <v>42136</v>
      </c>
      <c r="R10" s="25">
        <v>41956</v>
      </c>
      <c r="S10" s="25">
        <v>41960</v>
      </c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218</v>
      </c>
      <c r="C11" t="s">
        <v>66</v>
      </c>
      <c r="D11" s="19">
        <v>2</v>
      </c>
      <c r="E11" s="25">
        <v>41743</v>
      </c>
      <c r="F11" s="25">
        <v>41809</v>
      </c>
      <c r="H11" s="25">
        <v>41808</v>
      </c>
      <c r="I11" t="s">
        <v>98</v>
      </c>
      <c r="J11" s="25">
        <v>41755</v>
      </c>
      <c r="K11" s="25">
        <v>41808</v>
      </c>
      <c r="L11" s="25">
        <v>41814</v>
      </c>
      <c r="M11" s="25">
        <v>41814</v>
      </c>
      <c r="N11" s="25">
        <v>41863</v>
      </c>
      <c r="O11" s="25">
        <v>41807</v>
      </c>
      <c r="P11" s="25">
        <v>41809</v>
      </c>
      <c r="Q11" s="25">
        <v>42108</v>
      </c>
      <c r="T11" t="s">
        <v>65</v>
      </c>
      <c r="U11" s="12">
        <v>42306</v>
      </c>
    </row>
    <row r="12" spans="2:48">
      <c r="B12">
        <v>218</v>
      </c>
      <c r="C12" t="s">
        <v>66</v>
      </c>
      <c r="D12" s="19">
        <v>3</v>
      </c>
      <c r="E12" s="25">
        <v>41771</v>
      </c>
      <c r="F12" s="25">
        <v>41813</v>
      </c>
      <c r="G12" s="25">
        <v>41813</v>
      </c>
      <c r="H12" s="25">
        <v>41813</v>
      </c>
      <c r="I12" t="s">
        <v>98</v>
      </c>
      <c r="J12" s="25">
        <v>41783</v>
      </c>
      <c r="L12" s="25">
        <v>41842</v>
      </c>
      <c r="M12" s="25">
        <v>41841</v>
      </c>
      <c r="N12" s="25">
        <v>41891</v>
      </c>
      <c r="O12" s="25">
        <v>41809</v>
      </c>
      <c r="P12" s="25">
        <v>41813</v>
      </c>
      <c r="Q12" s="25">
        <v>42136</v>
      </c>
      <c r="R12" s="25">
        <v>41981</v>
      </c>
      <c r="S12" s="25">
        <v>41989</v>
      </c>
      <c r="T12" t="s">
        <v>65</v>
      </c>
      <c r="U12" s="12">
        <v>42306</v>
      </c>
    </row>
    <row r="13" spans="2:48">
      <c r="B13">
        <v>218</v>
      </c>
      <c r="C13" t="s">
        <v>66</v>
      </c>
      <c r="D13" s="19">
        <v>4</v>
      </c>
      <c r="E13" s="25">
        <v>41835</v>
      </c>
      <c r="F13" s="25">
        <v>41906</v>
      </c>
      <c r="G13" s="25">
        <v>41933</v>
      </c>
      <c r="H13" s="25">
        <v>41841</v>
      </c>
      <c r="I13" t="s">
        <v>98</v>
      </c>
      <c r="J13" s="25">
        <v>41847</v>
      </c>
      <c r="K13" s="25">
        <v>41870</v>
      </c>
      <c r="L13" s="25">
        <v>41906</v>
      </c>
      <c r="M13" s="25">
        <v>41933</v>
      </c>
      <c r="N13" s="25">
        <v>41955</v>
      </c>
      <c r="O13" s="25">
        <v>41842</v>
      </c>
      <c r="P13" s="25">
        <v>41904</v>
      </c>
      <c r="Q13" s="25">
        <v>42200</v>
      </c>
      <c r="R13" s="25">
        <v>42051</v>
      </c>
      <c r="S13" s="25">
        <v>42068</v>
      </c>
      <c r="T13" t="s">
        <v>65</v>
      </c>
      <c r="U13" s="12">
        <v>42306</v>
      </c>
    </row>
    <row r="14" spans="2:48">
      <c r="B14">
        <v>218</v>
      </c>
      <c r="C14" t="s">
        <v>66</v>
      </c>
      <c r="D14" s="19">
        <v>5</v>
      </c>
      <c r="E14" s="25">
        <v>41907</v>
      </c>
      <c r="F14" s="25">
        <v>41914</v>
      </c>
      <c r="G14" s="25">
        <v>41914</v>
      </c>
      <c r="H14" s="25">
        <v>41914</v>
      </c>
      <c r="I14" t="s">
        <v>98</v>
      </c>
      <c r="J14" s="25">
        <v>41919</v>
      </c>
      <c r="K14" s="25">
        <v>41915</v>
      </c>
      <c r="L14" s="25">
        <v>41978</v>
      </c>
      <c r="M14" s="25">
        <v>41964</v>
      </c>
      <c r="N14" s="25">
        <v>42027</v>
      </c>
      <c r="O14" s="25">
        <v>41984</v>
      </c>
      <c r="P14" s="25">
        <v>41989</v>
      </c>
      <c r="Q14" s="25">
        <v>42272</v>
      </c>
      <c r="R14" s="25">
        <v>42066</v>
      </c>
      <c r="S14" s="25">
        <v>42068</v>
      </c>
      <c r="T14" t="s">
        <v>65</v>
      </c>
      <c r="U14" s="12">
        <v>42306</v>
      </c>
    </row>
    <row r="15" spans="2:48">
      <c r="B15">
        <v>218</v>
      </c>
      <c r="C15" t="s">
        <v>66</v>
      </c>
      <c r="D15" s="19">
        <v>6</v>
      </c>
      <c r="E15" s="25">
        <v>41953</v>
      </c>
      <c r="F15" s="25">
        <v>42002</v>
      </c>
      <c r="G15" s="25">
        <v>41992</v>
      </c>
      <c r="H15" s="25">
        <v>41989</v>
      </c>
      <c r="I15" t="s">
        <v>98</v>
      </c>
      <c r="J15" s="25">
        <v>41965</v>
      </c>
      <c r="K15" s="25">
        <v>42002</v>
      </c>
      <c r="L15" s="25">
        <v>42024</v>
      </c>
      <c r="M15" s="25">
        <v>42067</v>
      </c>
      <c r="N15" s="25">
        <v>42073</v>
      </c>
      <c r="O15" s="25">
        <v>41983</v>
      </c>
      <c r="P15" s="25">
        <v>41989</v>
      </c>
      <c r="Q15" s="25">
        <v>42318</v>
      </c>
      <c r="T15" t="s">
        <v>65</v>
      </c>
      <c r="U15" s="12">
        <v>42306</v>
      </c>
    </row>
    <row r="16" spans="2:48">
      <c r="B16">
        <v>218</v>
      </c>
      <c r="C16" t="s">
        <v>66</v>
      </c>
      <c r="D16" s="19">
        <v>7</v>
      </c>
      <c r="E16" s="25">
        <v>42011</v>
      </c>
      <c r="F16" s="25">
        <v>42023</v>
      </c>
      <c r="H16" s="25">
        <v>42023</v>
      </c>
      <c r="I16" t="s">
        <v>98</v>
      </c>
      <c r="J16" s="25">
        <v>42023</v>
      </c>
      <c r="L16" s="25">
        <v>42082</v>
      </c>
      <c r="N16" s="25">
        <v>42131</v>
      </c>
      <c r="Q16" s="25">
        <v>42376</v>
      </c>
      <c r="T16" t="s">
        <v>65</v>
      </c>
      <c r="U16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10"/>
  <dimension ref="B1:AV14"/>
  <sheetViews>
    <sheetView workbookViewId="0">
      <selection activeCell="M5" sqref="M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272</v>
      </c>
      <c r="N4" s="176" t="str">
        <f>$C$14</f>
        <v>GENOLIER WEILLER Annick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272</v>
      </c>
      <c r="C10" s="42" t="s">
        <v>68</v>
      </c>
      <c r="D10" s="19">
        <v>1</v>
      </c>
      <c r="E10" s="25">
        <v>41757</v>
      </c>
      <c r="F10" s="25">
        <v>41764</v>
      </c>
      <c r="G10" s="25">
        <v>41764</v>
      </c>
      <c r="H10" s="25">
        <v>41764</v>
      </c>
      <c r="I10" s="78" t="s">
        <v>98</v>
      </c>
      <c r="J10" s="25">
        <v>41769</v>
      </c>
      <c r="K10" s="25">
        <v>41773</v>
      </c>
      <c r="L10" s="25">
        <v>41828</v>
      </c>
      <c r="M10" s="25">
        <v>41865</v>
      </c>
      <c r="N10" s="25">
        <v>41877</v>
      </c>
      <c r="O10" s="25">
        <v>41764</v>
      </c>
      <c r="P10" s="25">
        <v>41775</v>
      </c>
      <c r="Q10" s="25">
        <v>42122</v>
      </c>
      <c r="R10" s="25">
        <v>41918</v>
      </c>
      <c r="S10" s="25">
        <v>41989</v>
      </c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7">
        <v>272</v>
      </c>
      <c r="C11" s="88" t="s">
        <v>68</v>
      </c>
      <c r="D11" s="19">
        <v>2</v>
      </c>
      <c r="E11" s="25">
        <v>41757</v>
      </c>
      <c r="F11" s="25">
        <v>41764</v>
      </c>
      <c r="G11" s="25">
        <v>41764</v>
      </c>
      <c r="H11" s="25">
        <v>41764</v>
      </c>
      <c r="I11" s="78" t="s">
        <v>98</v>
      </c>
      <c r="J11" s="25">
        <v>41769</v>
      </c>
      <c r="K11" s="25">
        <v>41780</v>
      </c>
      <c r="L11" s="25">
        <v>41828</v>
      </c>
      <c r="M11" s="25">
        <v>41900</v>
      </c>
      <c r="N11" s="25">
        <v>41877</v>
      </c>
      <c r="O11" s="25">
        <v>41778</v>
      </c>
      <c r="P11" s="25">
        <v>41780</v>
      </c>
      <c r="Q11" s="25">
        <v>42122</v>
      </c>
      <c r="R11" s="25">
        <v>41977</v>
      </c>
      <c r="S11" s="25">
        <v>41989</v>
      </c>
      <c r="T11" s="88" t="s">
        <v>67</v>
      </c>
      <c r="U11" s="12">
        <v>42306</v>
      </c>
    </row>
    <row r="12" spans="2:48" ht="25.5">
      <c r="B12" s="87">
        <v>272</v>
      </c>
      <c r="C12" s="88" t="s">
        <v>68</v>
      </c>
      <c r="D12" s="19">
        <v>3</v>
      </c>
      <c r="E12" s="25">
        <v>41757</v>
      </c>
      <c r="F12" s="25">
        <v>41774</v>
      </c>
      <c r="G12" s="25">
        <v>41774</v>
      </c>
      <c r="H12" s="25">
        <v>41774</v>
      </c>
      <c r="I12" s="78" t="s">
        <v>98</v>
      </c>
      <c r="J12" s="25">
        <v>41769</v>
      </c>
      <c r="K12" s="25">
        <v>41822</v>
      </c>
      <c r="L12" s="25">
        <v>41828</v>
      </c>
      <c r="M12" s="25">
        <v>41828</v>
      </c>
      <c r="N12" s="25">
        <v>41877</v>
      </c>
      <c r="O12" s="25">
        <v>41771</v>
      </c>
      <c r="P12" s="25">
        <v>41775</v>
      </c>
      <c r="Q12" s="25">
        <v>42122</v>
      </c>
      <c r="R12" s="25">
        <v>41971</v>
      </c>
      <c r="S12" s="25">
        <v>41989</v>
      </c>
      <c r="T12" s="88" t="s">
        <v>67</v>
      </c>
      <c r="U12" s="12">
        <v>42306</v>
      </c>
    </row>
    <row r="13" spans="2:48" ht="25.5">
      <c r="B13" s="87">
        <v>272</v>
      </c>
      <c r="C13" s="88" t="s">
        <v>68</v>
      </c>
      <c r="D13" s="19">
        <v>4</v>
      </c>
      <c r="E13" s="25">
        <v>41771</v>
      </c>
      <c r="F13" s="25">
        <v>41775</v>
      </c>
      <c r="G13" s="25">
        <v>41780</v>
      </c>
      <c r="H13" s="25">
        <v>41775</v>
      </c>
      <c r="I13" s="78" t="s">
        <v>98</v>
      </c>
      <c r="J13" s="25">
        <v>41783</v>
      </c>
      <c r="K13" s="25">
        <v>41780</v>
      </c>
      <c r="L13" s="25">
        <v>41842</v>
      </c>
      <c r="M13" s="25">
        <v>41864</v>
      </c>
      <c r="N13" s="25">
        <v>41891</v>
      </c>
      <c r="O13" s="25">
        <v>41778</v>
      </c>
      <c r="P13" s="25">
        <v>41780</v>
      </c>
      <c r="Q13" s="25">
        <v>42136</v>
      </c>
      <c r="R13" s="25">
        <v>41984</v>
      </c>
      <c r="S13" s="25">
        <v>41989</v>
      </c>
      <c r="T13" s="88" t="s">
        <v>67</v>
      </c>
      <c r="U13" s="12">
        <v>42306</v>
      </c>
    </row>
    <row r="14" spans="2:48" ht="25.5">
      <c r="B14" s="87">
        <v>272</v>
      </c>
      <c r="C14" s="88" t="s">
        <v>68</v>
      </c>
      <c r="D14" s="19">
        <v>5</v>
      </c>
      <c r="E14" s="25">
        <v>41771</v>
      </c>
      <c r="F14" s="25">
        <v>41778</v>
      </c>
      <c r="G14" s="25">
        <v>41778</v>
      </c>
      <c r="H14" s="25">
        <v>41778</v>
      </c>
      <c r="I14" s="78" t="s">
        <v>98</v>
      </c>
      <c r="J14" s="25">
        <v>41783</v>
      </c>
      <c r="K14" s="25">
        <v>41780</v>
      </c>
      <c r="L14" s="25">
        <v>41842</v>
      </c>
      <c r="M14" s="25">
        <v>41855</v>
      </c>
      <c r="N14" s="25">
        <v>41891</v>
      </c>
      <c r="O14" s="25">
        <v>41778</v>
      </c>
      <c r="P14" s="25">
        <v>41780</v>
      </c>
      <c r="Q14" s="25">
        <v>42136</v>
      </c>
      <c r="R14" s="25">
        <v>41988</v>
      </c>
      <c r="S14" s="25">
        <v>41990</v>
      </c>
      <c r="T14" s="88" t="s">
        <v>67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1"/>
  <dimension ref="B1:AV14"/>
  <sheetViews>
    <sheetView workbookViewId="0">
      <selection activeCell="H22" sqref="H2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103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$U$14</f>
        <v>42306</v>
      </c>
      <c r="G4" s="50"/>
      <c r="H4" s="50"/>
      <c r="I4" s="34"/>
      <c r="J4" s="50"/>
      <c r="K4" s="50"/>
      <c r="L4" s="104" t="s">
        <v>17</v>
      </c>
      <c r="M4" s="63">
        <f>$B$14</f>
        <v>351</v>
      </c>
      <c r="N4" s="176" t="str">
        <f>$C$14</f>
        <v>GORLIER Céline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06" t="s">
        <v>32</v>
      </c>
      <c r="M8" s="106" t="s">
        <v>31</v>
      </c>
      <c r="N8" s="105" t="s">
        <v>33</v>
      </c>
      <c r="O8" s="105" t="s">
        <v>34</v>
      </c>
      <c r="P8" s="105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351</v>
      </c>
      <c r="C10" s="42" t="s">
        <v>88</v>
      </c>
      <c r="D10" s="19">
        <v>1</v>
      </c>
      <c r="E10" s="25">
        <v>41827</v>
      </c>
      <c r="F10" s="25">
        <v>41829</v>
      </c>
      <c r="G10" s="25">
        <v>41829</v>
      </c>
      <c r="H10" s="25">
        <v>41829</v>
      </c>
      <c r="I10" s="89" t="s">
        <v>98</v>
      </c>
      <c r="J10" s="25">
        <v>41839</v>
      </c>
      <c r="K10" s="25"/>
      <c r="L10" s="25">
        <v>41898</v>
      </c>
      <c r="M10" s="25">
        <v>41949</v>
      </c>
      <c r="N10" s="25">
        <v>41947</v>
      </c>
      <c r="O10" s="25"/>
      <c r="P10" s="25">
        <v>41886</v>
      </c>
      <c r="Q10" s="25">
        <v>42192</v>
      </c>
      <c r="R10" s="25"/>
      <c r="S10" s="25"/>
      <c r="T10" s="42" t="s">
        <v>87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20">
        <v>351</v>
      </c>
      <c r="C11" s="121" t="s">
        <v>88</v>
      </c>
      <c r="D11" s="19">
        <v>2</v>
      </c>
      <c r="E11" s="25">
        <v>41827</v>
      </c>
      <c r="F11" s="25">
        <v>41829</v>
      </c>
      <c r="G11" s="25">
        <v>41829</v>
      </c>
      <c r="H11" s="25">
        <v>41829</v>
      </c>
      <c r="I11" s="122" t="s">
        <v>98</v>
      </c>
      <c r="J11" s="25">
        <v>41839</v>
      </c>
      <c r="K11" s="25">
        <v>41836</v>
      </c>
      <c r="L11" s="25">
        <v>41898</v>
      </c>
      <c r="M11" s="25">
        <v>41884</v>
      </c>
      <c r="N11" s="25">
        <v>41947</v>
      </c>
      <c r="O11" s="25">
        <v>41872</v>
      </c>
      <c r="P11" s="25">
        <v>41876</v>
      </c>
      <c r="Q11" s="25">
        <v>42192</v>
      </c>
      <c r="T11" s="121" t="s">
        <v>87</v>
      </c>
      <c r="U11" s="12">
        <v>42306</v>
      </c>
    </row>
    <row r="12" spans="2:48" ht="25.5">
      <c r="B12" s="120">
        <v>351</v>
      </c>
      <c r="C12" s="121" t="s">
        <v>88</v>
      </c>
      <c r="D12" s="19">
        <v>3</v>
      </c>
      <c r="E12" s="25">
        <v>41830</v>
      </c>
      <c r="F12" s="25">
        <v>41835</v>
      </c>
      <c r="G12" s="25">
        <v>41835</v>
      </c>
      <c r="H12" s="25">
        <v>41835</v>
      </c>
      <c r="I12" s="123" t="s">
        <v>98</v>
      </c>
      <c r="J12" s="25">
        <v>41842</v>
      </c>
      <c r="L12" s="25">
        <v>41901</v>
      </c>
      <c r="M12" s="25">
        <v>41897</v>
      </c>
      <c r="N12" s="25">
        <v>41950</v>
      </c>
      <c r="O12" s="25">
        <v>41891</v>
      </c>
      <c r="P12" s="25">
        <v>41897</v>
      </c>
      <c r="Q12" s="25">
        <v>42195</v>
      </c>
      <c r="T12" s="121" t="s">
        <v>87</v>
      </c>
      <c r="U12" s="12">
        <v>42306</v>
      </c>
    </row>
    <row r="13" spans="2:48" ht="25.5">
      <c r="B13" s="43">
        <v>351</v>
      </c>
      <c r="C13" s="98" t="s">
        <v>88</v>
      </c>
      <c r="D13" s="19">
        <v>4</v>
      </c>
      <c r="E13" s="25">
        <v>41897</v>
      </c>
      <c r="F13" s="25">
        <v>41899</v>
      </c>
      <c r="G13" s="25">
        <v>41899</v>
      </c>
      <c r="H13" s="25">
        <v>41899</v>
      </c>
      <c r="I13" s="123" t="s">
        <v>98</v>
      </c>
      <c r="J13" s="25">
        <v>41909</v>
      </c>
      <c r="L13" s="25">
        <v>41968</v>
      </c>
      <c r="M13" s="25">
        <v>41963</v>
      </c>
      <c r="N13" s="25">
        <v>42017</v>
      </c>
      <c r="O13" s="25">
        <v>41960</v>
      </c>
      <c r="P13" s="25">
        <v>41963</v>
      </c>
      <c r="Q13" s="25">
        <v>42262</v>
      </c>
      <c r="R13" s="25">
        <v>42079</v>
      </c>
      <c r="S13" s="25">
        <v>42081</v>
      </c>
      <c r="T13" s="98" t="s">
        <v>87</v>
      </c>
      <c r="U13" s="12">
        <v>42306</v>
      </c>
    </row>
    <row r="14" spans="2:48" ht="25.5">
      <c r="B14" s="43">
        <v>351</v>
      </c>
      <c r="C14" s="98" t="s">
        <v>88</v>
      </c>
      <c r="D14" s="19">
        <v>5</v>
      </c>
      <c r="F14" s="25">
        <v>41899</v>
      </c>
      <c r="G14" s="25">
        <v>41899</v>
      </c>
      <c r="H14" s="25">
        <v>41899</v>
      </c>
      <c r="I14" s="123" t="s">
        <v>98</v>
      </c>
      <c r="M14" s="25">
        <v>41978</v>
      </c>
      <c r="O14" s="25">
        <v>41975</v>
      </c>
      <c r="P14" s="25">
        <v>41978</v>
      </c>
      <c r="T14" s="98" t="s">
        <v>87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12"/>
  <dimension ref="B1:AV16"/>
  <sheetViews>
    <sheetView workbookViewId="0">
      <selection activeCell="L15" sqref="L1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9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$U$16</f>
        <v>42306</v>
      </c>
      <c r="G4" s="50"/>
      <c r="H4" s="50"/>
      <c r="I4" s="34"/>
      <c r="J4" s="50"/>
      <c r="K4" s="50"/>
      <c r="L4" s="95" t="s">
        <v>17</v>
      </c>
      <c r="M4" s="63">
        <f>$B$16</f>
        <v>345</v>
      </c>
      <c r="N4" s="176" t="str">
        <f>$C$16</f>
        <v>GRISONI-FRANCE Patricia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7" t="s">
        <v>32</v>
      </c>
      <c r="M8" s="97" t="s">
        <v>31</v>
      </c>
      <c r="N8" s="96" t="s">
        <v>33</v>
      </c>
      <c r="O8" s="96" t="s">
        <v>34</v>
      </c>
      <c r="P8" s="9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345</v>
      </c>
      <c r="C10" s="42" t="s">
        <v>89</v>
      </c>
      <c r="D10" s="19">
        <v>1</v>
      </c>
      <c r="E10" s="25">
        <v>41806</v>
      </c>
      <c r="F10" s="25">
        <v>41830</v>
      </c>
      <c r="G10" s="25">
        <v>41830</v>
      </c>
      <c r="H10" s="25">
        <v>41830</v>
      </c>
      <c r="I10" s="89" t="s">
        <v>98</v>
      </c>
      <c r="J10" s="25">
        <v>41818</v>
      </c>
      <c r="K10" s="25">
        <v>41830</v>
      </c>
      <c r="L10" s="25">
        <v>41877</v>
      </c>
      <c r="M10" s="25">
        <v>41885</v>
      </c>
      <c r="N10" s="25">
        <v>41926</v>
      </c>
      <c r="O10" s="25">
        <v>41841</v>
      </c>
      <c r="P10" s="25">
        <v>41845</v>
      </c>
      <c r="Q10" s="25">
        <v>42171</v>
      </c>
      <c r="R10" s="25">
        <v>42107</v>
      </c>
      <c r="S10" s="25">
        <v>42111</v>
      </c>
      <c r="T10" s="42" t="s">
        <v>84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08">
        <v>345</v>
      </c>
      <c r="C11" s="109" t="s">
        <v>89</v>
      </c>
      <c r="D11" s="19">
        <v>2</v>
      </c>
      <c r="E11" s="25">
        <v>41828</v>
      </c>
      <c r="F11" s="25">
        <v>41830</v>
      </c>
      <c r="G11" s="25">
        <v>41830</v>
      </c>
      <c r="H11" s="25">
        <v>41830</v>
      </c>
      <c r="I11" s="89" t="s">
        <v>98</v>
      </c>
      <c r="J11" s="25">
        <v>41840</v>
      </c>
      <c r="K11" s="25">
        <v>41856</v>
      </c>
      <c r="L11" s="25">
        <v>41899</v>
      </c>
      <c r="M11" s="25">
        <v>41911</v>
      </c>
      <c r="N11" s="25">
        <v>41948</v>
      </c>
      <c r="O11" s="25">
        <v>41880</v>
      </c>
      <c r="P11" s="25">
        <v>41885</v>
      </c>
      <c r="Q11" s="25">
        <v>42193</v>
      </c>
      <c r="R11" s="25">
        <v>41981</v>
      </c>
      <c r="S11" s="25">
        <v>41989</v>
      </c>
      <c r="T11" s="109" t="s">
        <v>84</v>
      </c>
      <c r="U11" s="12">
        <v>42306</v>
      </c>
    </row>
    <row r="12" spans="2:48" ht="25.5">
      <c r="B12" s="108">
        <v>345</v>
      </c>
      <c r="C12" s="109" t="s">
        <v>89</v>
      </c>
      <c r="D12" s="19">
        <v>3</v>
      </c>
      <c r="E12" s="25">
        <v>41841</v>
      </c>
      <c r="F12" s="25">
        <v>41845</v>
      </c>
      <c r="G12" s="25">
        <v>41844</v>
      </c>
      <c r="H12" s="25">
        <v>41844</v>
      </c>
      <c r="I12" s="123" t="s">
        <v>98</v>
      </c>
      <c r="J12" s="25">
        <v>41853</v>
      </c>
      <c r="K12" s="25">
        <v>41911</v>
      </c>
      <c r="L12" s="25">
        <v>41912</v>
      </c>
      <c r="M12" s="25">
        <v>41955</v>
      </c>
      <c r="N12" s="25">
        <v>41961</v>
      </c>
      <c r="O12" s="25">
        <v>41887</v>
      </c>
      <c r="P12" s="25">
        <v>41907</v>
      </c>
      <c r="Q12" s="25">
        <v>42206</v>
      </c>
      <c r="R12" s="25">
        <v>42101</v>
      </c>
      <c r="S12" s="25">
        <v>42103</v>
      </c>
      <c r="T12" s="109" t="s">
        <v>84</v>
      </c>
      <c r="U12" s="12">
        <v>42306</v>
      </c>
    </row>
    <row r="13" spans="2:48" ht="25.5">
      <c r="B13" s="124">
        <v>345</v>
      </c>
      <c r="C13" s="125" t="s">
        <v>89</v>
      </c>
      <c r="D13" s="19">
        <v>4</v>
      </c>
      <c r="E13" s="25">
        <v>41905</v>
      </c>
      <c r="F13" s="25">
        <v>41907</v>
      </c>
      <c r="G13" s="25">
        <v>41911</v>
      </c>
      <c r="H13" s="25">
        <v>41921</v>
      </c>
      <c r="I13" s="123" t="s">
        <v>99</v>
      </c>
      <c r="J13" s="25">
        <v>41917</v>
      </c>
      <c r="K13" s="25">
        <v>41921</v>
      </c>
      <c r="L13" s="25">
        <v>41976</v>
      </c>
      <c r="N13" s="25">
        <v>42025</v>
      </c>
      <c r="O13" s="25">
        <v>41925</v>
      </c>
      <c r="P13" s="25">
        <v>41955</v>
      </c>
      <c r="Q13" s="25">
        <v>42270</v>
      </c>
      <c r="R13" s="25">
        <v>41981</v>
      </c>
      <c r="S13" s="25">
        <v>41989</v>
      </c>
      <c r="T13" s="125" t="s">
        <v>84</v>
      </c>
      <c r="U13" s="12">
        <v>42306</v>
      </c>
    </row>
    <row r="14" spans="2:48" ht="25.5">
      <c r="B14" s="124">
        <v>345</v>
      </c>
      <c r="C14" s="125" t="s">
        <v>89</v>
      </c>
      <c r="D14" s="19">
        <v>5</v>
      </c>
      <c r="E14" s="25">
        <v>41921</v>
      </c>
      <c r="F14" s="25">
        <v>41926</v>
      </c>
      <c r="G14" s="25">
        <v>41955</v>
      </c>
      <c r="H14" s="25">
        <v>41926</v>
      </c>
      <c r="I14" s="123" t="s">
        <v>98</v>
      </c>
      <c r="J14" s="25">
        <v>41933</v>
      </c>
      <c r="K14" s="25">
        <v>41955</v>
      </c>
      <c r="L14" s="25">
        <v>41992</v>
      </c>
      <c r="M14" s="25">
        <v>42011</v>
      </c>
      <c r="N14" s="25">
        <v>42041</v>
      </c>
      <c r="O14" s="25">
        <v>41932</v>
      </c>
      <c r="P14" s="25">
        <v>41950</v>
      </c>
      <c r="Q14" s="25">
        <v>42286</v>
      </c>
      <c r="T14" s="125" t="s">
        <v>84</v>
      </c>
      <c r="U14" s="12">
        <v>42306</v>
      </c>
    </row>
    <row r="15" spans="2:48" ht="25.5">
      <c r="B15" s="140">
        <v>345</v>
      </c>
      <c r="C15" s="141" t="s">
        <v>89</v>
      </c>
      <c r="D15" s="19">
        <v>6</v>
      </c>
      <c r="E15" s="25">
        <v>41967</v>
      </c>
      <c r="F15" s="25">
        <v>41971</v>
      </c>
      <c r="G15" s="25">
        <v>41971</v>
      </c>
      <c r="H15" s="25">
        <v>41971</v>
      </c>
      <c r="I15" s="123" t="s">
        <v>98</v>
      </c>
      <c r="J15" s="25">
        <v>41979</v>
      </c>
      <c r="K15" s="25">
        <v>41989</v>
      </c>
      <c r="L15" s="25">
        <v>42038</v>
      </c>
      <c r="M15" s="25">
        <v>42032</v>
      </c>
      <c r="N15" s="25">
        <v>42087</v>
      </c>
      <c r="O15" s="25">
        <v>41984</v>
      </c>
      <c r="P15" s="25">
        <v>41989</v>
      </c>
      <c r="Q15" s="25">
        <v>42332</v>
      </c>
      <c r="T15" s="141" t="s">
        <v>84</v>
      </c>
      <c r="U15" s="12">
        <v>42306</v>
      </c>
    </row>
    <row r="16" spans="2:48" ht="25.5">
      <c r="B16" s="140">
        <v>345</v>
      </c>
      <c r="C16" s="141" t="s">
        <v>89</v>
      </c>
      <c r="D16" s="19">
        <v>7</v>
      </c>
      <c r="E16" s="25">
        <v>41976</v>
      </c>
      <c r="F16" s="25">
        <v>41989</v>
      </c>
      <c r="G16" s="25">
        <v>41989</v>
      </c>
      <c r="H16" s="25">
        <v>42052</v>
      </c>
      <c r="I16" s="123" t="s">
        <v>98</v>
      </c>
      <c r="J16" s="25">
        <v>41988</v>
      </c>
      <c r="K16" s="25">
        <v>42053</v>
      </c>
      <c r="L16" s="25">
        <v>42047</v>
      </c>
      <c r="M16" s="25">
        <v>42052</v>
      </c>
      <c r="N16" s="25">
        <v>42096</v>
      </c>
      <c r="O16" s="25">
        <v>42023</v>
      </c>
      <c r="P16" s="25">
        <v>42052</v>
      </c>
      <c r="Q16" s="25">
        <v>42341</v>
      </c>
      <c r="T16" s="141" t="s">
        <v>84</v>
      </c>
      <c r="U16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Feuil13"/>
  <dimension ref="B1:AV16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$U$16</f>
        <v>42306</v>
      </c>
      <c r="G4" s="50"/>
      <c r="H4" s="50"/>
      <c r="I4" s="34"/>
      <c r="J4" s="50"/>
      <c r="K4" s="50"/>
      <c r="L4" s="65" t="s">
        <v>17</v>
      </c>
      <c r="M4" s="63">
        <f>$B$16</f>
        <v>215</v>
      </c>
      <c r="N4" s="176" t="str">
        <f>$C$16</f>
        <v>ILLY Geneviève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215</v>
      </c>
      <c r="C10" s="42" t="s">
        <v>70</v>
      </c>
      <c r="D10" s="19">
        <v>1</v>
      </c>
      <c r="E10" s="25">
        <v>41764</v>
      </c>
      <c r="F10" s="25">
        <v>41771</v>
      </c>
      <c r="G10" s="25">
        <v>41771</v>
      </c>
      <c r="H10" s="25">
        <v>41771</v>
      </c>
      <c r="I10" s="44" t="s">
        <v>102</v>
      </c>
      <c r="J10" s="25">
        <v>41776</v>
      </c>
      <c r="K10" s="25">
        <v>41778</v>
      </c>
      <c r="L10" s="25">
        <v>41835</v>
      </c>
      <c r="M10" s="25"/>
      <c r="N10" s="25">
        <v>41884</v>
      </c>
      <c r="O10" s="25">
        <v>41796</v>
      </c>
      <c r="P10" s="25">
        <v>41800</v>
      </c>
      <c r="Q10" s="25">
        <v>42129</v>
      </c>
      <c r="R10" s="25">
        <v>41938</v>
      </c>
      <c r="S10" s="25">
        <v>41941</v>
      </c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6">
        <v>215</v>
      </c>
      <c r="C11" s="77" t="s">
        <v>70</v>
      </c>
      <c r="D11" s="19">
        <v>2</v>
      </c>
      <c r="E11" s="25">
        <v>41764</v>
      </c>
      <c r="F11" s="25">
        <v>41771</v>
      </c>
      <c r="G11" s="25">
        <v>41771</v>
      </c>
      <c r="H11" s="25">
        <v>41771</v>
      </c>
      <c r="I11" s="78" t="s">
        <v>103</v>
      </c>
      <c r="J11" s="25">
        <v>41776</v>
      </c>
      <c r="K11" s="25">
        <v>41775</v>
      </c>
      <c r="L11" s="25">
        <v>41835</v>
      </c>
      <c r="M11" s="25">
        <v>41879</v>
      </c>
      <c r="N11" s="25">
        <v>41884</v>
      </c>
      <c r="O11" s="25">
        <v>41779</v>
      </c>
      <c r="P11" s="25">
        <v>41782</v>
      </c>
      <c r="Q11" s="25">
        <v>42129</v>
      </c>
      <c r="R11" s="25">
        <v>41940</v>
      </c>
      <c r="S11" s="25">
        <v>41941</v>
      </c>
      <c r="T11" s="77" t="s">
        <v>69</v>
      </c>
      <c r="U11" s="12">
        <v>42306</v>
      </c>
    </row>
    <row r="12" spans="2:48" ht="25.5">
      <c r="B12" s="76">
        <v>215</v>
      </c>
      <c r="C12" s="77" t="s">
        <v>70</v>
      </c>
      <c r="D12" s="19">
        <v>3</v>
      </c>
      <c r="E12" s="25">
        <v>41765</v>
      </c>
      <c r="F12" s="25">
        <v>41771</v>
      </c>
      <c r="G12" s="25">
        <v>41771</v>
      </c>
      <c r="H12" s="25">
        <v>41771</v>
      </c>
      <c r="I12" s="78" t="s">
        <v>104</v>
      </c>
      <c r="J12" s="25">
        <v>41777</v>
      </c>
      <c r="K12" s="25">
        <v>41774</v>
      </c>
      <c r="L12" s="25">
        <v>41836</v>
      </c>
      <c r="M12" s="25">
        <v>41841</v>
      </c>
      <c r="N12" s="25">
        <v>41885</v>
      </c>
      <c r="O12" s="25">
        <v>41779</v>
      </c>
      <c r="P12" s="25">
        <v>41782</v>
      </c>
      <c r="Q12" s="25">
        <v>42130</v>
      </c>
      <c r="R12" s="25">
        <v>41940</v>
      </c>
      <c r="S12" s="25">
        <v>41941</v>
      </c>
      <c r="T12" s="77" t="s">
        <v>69</v>
      </c>
      <c r="U12" s="12">
        <v>42306</v>
      </c>
    </row>
    <row r="13" spans="2:48" ht="25.5">
      <c r="B13" s="87">
        <v>215</v>
      </c>
      <c r="C13" s="88" t="s">
        <v>70</v>
      </c>
      <c r="D13" s="19">
        <v>4</v>
      </c>
      <c r="E13" s="25">
        <v>41908</v>
      </c>
      <c r="F13" s="25">
        <v>41911</v>
      </c>
      <c r="G13" s="25">
        <v>41911</v>
      </c>
      <c r="H13" s="25">
        <v>41911</v>
      </c>
      <c r="I13" s="89" t="s">
        <v>105</v>
      </c>
      <c r="J13" s="25">
        <v>41920</v>
      </c>
      <c r="K13" s="25">
        <v>41919</v>
      </c>
      <c r="L13" s="25">
        <v>41979</v>
      </c>
      <c r="M13" s="25">
        <v>41974</v>
      </c>
      <c r="N13" s="25">
        <v>42028</v>
      </c>
      <c r="Q13" s="25">
        <v>42273</v>
      </c>
      <c r="R13" s="25">
        <v>41969</v>
      </c>
      <c r="S13" s="25">
        <v>41974</v>
      </c>
      <c r="T13" s="88" t="s">
        <v>69</v>
      </c>
      <c r="U13" s="12">
        <v>42306</v>
      </c>
    </row>
    <row r="14" spans="2:48" ht="25.5">
      <c r="B14" s="87">
        <v>215</v>
      </c>
      <c r="C14" s="88" t="s">
        <v>70</v>
      </c>
      <c r="D14" s="19">
        <v>5</v>
      </c>
      <c r="E14" s="25">
        <v>41940</v>
      </c>
      <c r="F14" s="25">
        <v>41941</v>
      </c>
      <c r="H14" s="25">
        <v>41941</v>
      </c>
      <c r="I14" s="123" t="s">
        <v>98</v>
      </c>
      <c r="J14" s="25">
        <v>41952</v>
      </c>
      <c r="K14" s="25">
        <v>41949</v>
      </c>
      <c r="L14" s="25">
        <v>42011</v>
      </c>
      <c r="M14" s="25">
        <v>42013</v>
      </c>
      <c r="N14" s="25">
        <v>42060</v>
      </c>
      <c r="Q14" s="25">
        <v>42305</v>
      </c>
      <c r="R14" s="25">
        <v>42144</v>
      </c>
      <c r="S14" s="25">
        <v>42150</v>
      </c>
      <c r="T14" s="88" t="s">
        <v>69</v>
      </c>
      <c r="U14" s="12">
        <v>42306</v>
      </c>
    </row>
    <row r="15" spans="2:48" ht="25.5">
      <c r="B15" s="140">
        <v>215</v>
      </c>
      <c r="C15" s="141" t="s">
        <v>70</v>
      </c>
      <c r="D15" s="19">
        <v>6</v>
      </c>
      <c r="E15" s="25">
        <v>41967</v>
      </c>
      <c r="F15" s="25">
        <v>41974</v>
      </c>
      <c r="G15" s="25">
        <v>41974</v>
      </c>
      <c r="H15" s="25">
        <v>41974</v>
      </c>
      <c r="I15" s="123" t="s">
        <v>98</v>
      </c>
      <c r="J15" s="25">
        <v>41979</v>
      </c>
      <c r="K15" s="25">
        <v>41990</v>
      </c>
      <c r="L15" s="25">
        <v>42038</v>
      </c>
      <c r="M15" s="25">
        <v>42059</v>
      </c>
      <c r="N15" s="25">
        <v>42087</v>
      </c>
      <c r="O15" s="25">
        <v>41988</v>
      </c>
      <c r="P15" s="25">
        <v>41990</v>
      </c>
      <c r="Q15" s="25">
        <v>42332</v>
      </c>
      <c r="R15" s="25">
        <v>42145</v>
      </c>
      <c r="S15" s="25">
        <v>42150</v>
      </c>
      <c r="T15" s="141" t="s">
        <v>69</v>
      </c>
      <c r="U15" s="12">
        <v>42306</v>
      </c>
    </row>
    <row r="16" spans="2:48" ht="25.5">
      <c r="B16" s="140">
        <v>215</v>
      </c>
      <c r="C16" s="141" t="s">
        <v>70</v>
      </c>
      <c r="D16" s="19">
        <v>7</v>
      </c>
      <c r="E16" s="25">
        <v>41981</v>
      </c>
      <c r="F16" s="25">
        <v>41983</v>
      </c>
      <c r="H16" s="25">
        <v>41983</v>
      </c>
      <c r="I16" s="123" t="s">
        <v>98</v>
      </c>
      <c r="J16" s="25">
        <v>41993</v>
      </c>
      <c r="K16" s="25">
        <v>41990</v>
      </c>
      <c r="L16" s="25">
        <v>42052</v>
      </c>
      <c r="M16" s="25">
        <v>42059</v>
      </c>
      <c r="N16" s="25">
        <v>42101</v>
      </c>
      <c r="O16" s="25">
        <v>41988</v>
      </c>
      <c r="P16" s="25">
        <v>41990</v>
      </c>
      <c r="Q16" s="25">
        <v>42346</v>
      </c>
      <c r="R16" s="25">
        <v>42146</v>
      </c>
      <c r="S16" s="25">
        <v>42150</v>
      </c>
      <c r="T16" s="141" t="s">
        <v>69</v>
      </c>
      <c r="U16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Feuil14"/>
  <dimension ref="B1:AV14"/>
  <sheetViews>
    <sheetView workbookViewId="0">
      <selection activeCell="K20" sqref="K2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83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$U$14</f>
        <v>42306</v>
      </c>
      <c r="G4" s="50"/>
      <c r="H4" s="50"/>
      <c r="I4" s="34"/>
      <c r="J4" s="50"/>
      <c r="K4" s="50"/>
      <c r="L4" s="84" t="s">
        <v>17</v>
      </c>
      <c r="M4" s="63">
        <f>$B$14</f>
        <v>302</v>
      </c>
      <c r="N4" s="176" t="str">
        <f>$C$14</f>
        <v>LASZLO Daniela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6" t="s">
        <v>32</v>
      </c>
      <c r="M8" s="86" t="s">
        <v>31</v>
      </c>
      <c r="N8" s="85" t="s">
        <v>33</v>
      </c>
      <c r="O8" s="85" t="s">
        <v>34</v>
      </c>
      <c r="P8" s="85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302</v>
      </c>
      <c r="C10" s="42" t="s">
        <v>80</v>
      </c>
      <c r="D10" s="19">
        <v>1</v>
      </c>
      <c r="E10" s="25">
        <v>41813</v>
      </c>
      <c r="F10" s="25">
        <v>41815</v>
      </c>
      <c r="G10" s="25">
        <v>41824</v>
      </c>
      <c r="H10" s="25"/>
      <c r="I10" s="78" t="s">
        <v>57</v>
      </c>
      <c r="J10" s="25">
        <v>41825</v>
      </c>
      <c r="K10" s="25">
        <v>41820</v>
      </c>
      <c r="L10" s="25">
        <v>41884</v>
      </c>
      <c r="M10" s="25">
        <v>41820</v>
      </c>
      <c r="N10" s="25">
        <v>41933</v>
      </c>
      <c r="O10" s="25"/>
      <c r="P10" s="25"/>
      <c r="Q10" s="25">
        <v>42178</v>
      </c>
      <c r="R10" s="25"/>
      <c r="S10" s="25"/>
      <c r="T10" s="42" t="s">
        <v>79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302</v>
      </c>
      <c r="C11" s="98" t="s">
        <v>80</v>
      </c>
      <c r="D11" s="19">
        <v>2</v>
      </c>
      <c r="E11" s="25">
        <v>41820</v>
      </c>
      <c r="F11" s="25">
        <v>41823</v>
      </c>
      <c r="G11" s="25">
        <v>41823</v>
      </c>
      <c r="I11" s="78" t="s">
        <v>57</v>
      </c>
      <c r="J11" s="25">
        <v>41832</v>
      </c>
      <c r="K11" s="25">
        <v>41848</v>
      </c>
      <c r="L11" s="25">
        <v>41891</v>
      </c>
      <c r="M11" s="25">
        <v>41919</v>
      </c>
      <c r="N11" s="25">
        <v>41940</v>
      </c>
      <c r="O11" s="25">
        <v>41876</v>
      </c>
      <c r="P11" s="25">
        <v>41878</v>
      </c>
      <c r="Q11" s="25">
        <v>42185</v>
      </c>
      <c r="T11" s="98" t="s">
        <v>79</v>
      </c>
      <c r="U11" s="12">
        <v>42306</v>
      </c>
    </row>
    <row r="12" spans="2:48" ht="25.5">
      <c r="B12" s="43">
        <v>302</v>
      </c>
      <c r="C12" s="98" t="s">
        <v>80</v>
      </c>
      <c r="D12" s="19">
        <v>3</v>
      </c>
      <c r="E12" s="25">
        <v>41827</v>
      </c>
      <c r="F12" s="25">
        <v>41829</v>
      </c>
      <c r="G12" s="25">
        <v>41829</v>
      </c>
      <c r="I12" s="89" t="s">
        <v>57</v>
      </c>
      <c r="J12" s="25">
        <v>41839</v>
      </c>
      <c r="K12" s="25">
        <v>42023</v>
      </c>
      <c r="L12" s="25">
        <v>41898</v>
      </c>
      <c r="M12" s="25">
        <v>42080</v>
      </c>
      <c r="N12" s="25">
        <v>41947</v>
      </c>
      <c r="O12" s="25">
        <v>42068</v>
      </c>
      <c r="P12" s="25">
        <v>42072</v>
      </c>
      <c r="Q12" s="25">
        <v>42192</v>
      </c>
      <c r="T12" s="98" t="s">
        <v>79</v>
      </c>
      <c r="U12" s="12">
        <v>42306</v>
      </c>
    </row>
    <row r="13" spans="2:48" ht="25.5">
      <c r="B13" s="120">
        <v>302</v>
      </c>
      <c r="C13" s="121" t="s">
        <v>80</v>
      </c>
      <c r="D13" s="19">
        <v>4</v>
      </c>
      <c r="E13" s="25">
        <v>41835</v>
      </c>
      <c r="F13" s="25">
        <v>41841</v>
      </c>
      <c r="G13" s="25">
        <v>41841</v>
      </c>
      <c r="I13" s="122" t="s">
        <v>57</v>
      </c>
      <c r="J13" s="25">
        <v>41847</v>
      </c>
      <c r="K13" s="25">
        <v>41941</v>
      </c>
      <c r="L13" s="25">
        <v>41906</v>
      </c>
      <c r="M13" s="25">
        <v>41992</v>
      </c>
      <c r="N13" s="25">
        <v>41955</v>
      </c>
      <c r="Q13" s="25">
        <v>42200</v>
      </c>
      <c r="T13" s="121" t="s">
        <v>79</v>
      </c>
      <c r="U13" s="12">
        <v>42306</v>
      </c>
    </row>
    <row r="14" spans="2:48" ht="25.5">
      <c r="B14" s="120">
        <v>302</v>
      </c>
      <c r="C14" s="121" t="s">
        <v>80</v>
      </c>
      <c r="D14" s="19">
        <v>5</v>
      </c>
      <c r="E14" s="25">
        <v>41974</v>
      </c>
      <c r="F14" s="25">
        <v>41982</v>
      </c>
      <c r="G14" s="25">
        <v>41982</v>
      </c>
      <c r="I14" s="122" t="s">
        <v>57</v>
      </c>
      <c r="J14" s="25">
        <v>41986</v>
      </c>
      <c r="K14" s="25">
        <v>42016</v>
      </c>
      <c r="L14" s="25">
        <v>42045</v>
      </c>
      <c r="M14" s="25">
        <v>42066</v>
      </c>
      <c r="N14" s="25">
        <v>42094</v>
      </c>
      <c r="O14" s="25">
        <v>42065</v>
      </c>
      <c r="P14" s="25">
        <v>42068</v>
      </c>
      <c r="Q14" s="25">
        <v>42339</v>
      </c>
      <c r="T14" s="121" t="s">
        <v>79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Feuil15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83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$U$14</f>
        <v>42306</v>
      </c>
      <c r="G4" s="50"/>
      <c r="H4" s="50"/>
      <c r="I4" s="34"/>
      <c r="J4" s="50"/>
      <c r="K4" s="50"/>
      <c r="L4" s="84" t="s">
        <v>17</v>
      </c>
      <c r="M4" s="63">
        <f>$B$14</f>
        <v>301</v>
      </c>
      <c r="N4" s="176" t="str">
        <f>$C$14</f>
        <v>MARTINOT-AARRAS Cécile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6" t="s">
        <v>32</v>
      </c>
      <c r="M8" s="86" t="s">
        <v>31</v>
      </c>
      <c r="N8" s="85" t="s">
        <v>33</v>
      </c>
      <c r="O8" s="85" t="s">
        <v>34</v>
      </c>
      <c r="P8" s="85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301</v>
      </c>
      <c r="C10" s="42" t="s">
        <v>82</v>
      </c>
      <c r="D10" s="19">
        <v>1</v>
      </c>
      <c r="E10" s="25">
        <v>41795</v>
      </c>
      <c r="F10" s="25">
        <v>41806</v>
      </c>
      <c r="G10" s="25">
        <v>41806</v>
      </c>
      <c r="H10" s="25">
        <v>41806</v>
      </c>
      <c r="I10" s="78" t="s">
        <v>98</v>
      </c>
      <c r="J10" s="25">
        <v>41807</v>
      </c>
      <c r="K10" s="25">
        <v>41817</v>
      </c>
      <c r="L10" s="25">
        <v>41866</v>
      </c>
      <c r="M10" s="25">
        <v>41864</v>
      </c>
      <c r="N10" s="25">
        <v>41915</v>
      </c>
      <c r="O10" s="25">
        <v>41807</v>
      </c>
      <c r="P10" s="25">
        <v>41817</v>
      </c>
      <c r="Q10" s="25">
        <v>42160</v>
      </c>
      <c r="R10" s="25">
        <v>41984</v>
      </c>
      <c r="S10" s="25">
        <v>41989</v>
      </c>
      <c r="T10" s="42" t="s">
        <v>81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301</v>
      </c>
      <c r="C11" s="98" t="s">
        <v>82</v>
      </c>
      <c r="D11" s="19">
        <v>2</v>
      </c>
      <c r="E11" s="25">
        <v>41792</v>
      </c>
      <c r="F11" s="25">
        <v>41822</v>
      </c>
      <c r="G11" s="25">
        <v>41822</v>
      </c>
      <c r="H11" s="25">
        <v>41822</v>
      </c>
      <c r="I11" s="78" t="s">
        <v>98</v>
      </c>
      <c r="J11" s="25">
        <v>41804</v>
      </c>
      <c r="K11" s="25">
        <v>41822</v>
      </c>
      <c r="L11" s="25">
        <v>41863</v>
      </c>
      <c r="M11" s="25">
        <v>41891</v>
      </c>
      <c r="N11" s="25">
        <v>41912</v>
      </c>
      <c r="O11" s="25">
        <v>41807</v>
      </c>
      <c r="P11" s="25">
        <v>41822</v>
      </c>
      <c r="Q11" s="25">
        <v>42157</v>
      </c>
      <c r="R11" s="25">
        <v>41864</v>
      </c>
      <c r="S11" s="25">
        <v>41899</v>
      </c>
      <c r="T11" s="98" t="s">
        <v>81</v>
      </c>
      <c r="U11" s="12">
        <v>42306</v>
      </c>
    </row>
    <row r="12" spans="2:48" ht="25.5">
      <c r="B12" s="43">
        <v>301</v>
      </c>
      <c r="C12" s="98" t="s">
        <v>82</v>
      </c>
      <c r="D12" s="19">
        <v>3</v>
      </c>
      <c r="E12" s="25">
        <v>41794</v>
      </c>
      <c r="F12" s="25">
        <v>41823</v>
      </c>
      <c r="G12" s="25">
        <v>41823</v>
      </c>
      <c r="H12" s="25">
        <v>41822</v>
      </c>
      <c r="I12" s="89" t="s">
        <v>98</v>
      </c>
      <c r="J12" s="25">
        <v>41806</v>
      </c>
      <c r="K12" s="25">
        <v>41822</v>
      </c>
      <c r="L12" s="25">
        <v>41865</v>
      </c>
      <c r="M12" s="25">
        <v>41915</v>
      </c>
      <c r="N12" s="25">
        <v>41914</v>
      </c>
      <c r="O12" s="25">
        <v>41808</v>
      </c>
      <c r="P12" s="25">
        <v>41822</v>
      </c>
      <c r="Q12" s="25">
        <v>42159</v>
      </c>
      <c r="R12" s="25">
        <v>41982</v>
      </c>
      <c r="S12" s="25">
        <v>41989</v>
      </c>
      <c r="T12" s="98" t="s">
        <v>81</v>
      </c>
      <c r="U12" s="12">
        <v>42306</v>
      </c>
    </row>
    <row r="13" spans="2:48" ht="25.5">
      <c r="B13" s="114">
        <v>301</v>
      </c>
      <c r="C13" s="115" t="s">
        <v>82</v>
      </c>
      <c r="D13" s="19">
        <v>4</v>
      </c>
      <c r="E13" s="25">
        <v>41806</v>
      </c>
      <c r="F13" s="25">
        <v>41829</v>
      </c>
      <c r="G13" s="25">
        <v>41829</v>
      </c>
      <c r="H13" s="25">
        <v>41829</v>
      </c>
      <c r="I13" s="89" t="s">
        <v>98</v>
      </c>
      <c r="J13" s="25">
        <v>41818</v>
      </c>
      <c r="K13" s="25">
        <v>41849</v>
      </c>
      <c r="L13" s="25">
        <v>41877</v>
      </c>
      <c r="M13" s="25">
        <v>41900</v>
      </c>
      <c r="N13" s="25">
        <v>41926</v>
      </c>
      <c r="O13" s="25">
        <v>41813</v>
      </c>
      <c r="P13" s="25">
        <v>41849</v>
      </c>
      <c r="Q13" s="25">
        <v>42171</v>
      </c>
      <c r="R13" s="25">
        <v>42012</v>
      </c>
      <c r="S13" s="25">
        <v>42065</v>
      </c>
      <c r="T13" s="115" t="s">
        <v>81</v>
      </c>
      <c r="U13" s="12">
        <v>42306</v>
      </c>
    </row>
    <row r="14" spans="2:48" ht="25.5">
      <c r="B14" s="114">
        <v>301</v>
      </c>
      <c r="C14" s="115" t="s">
        <v>82</v>
      </c>
      <c r="D14" s="19">
        <v>5</v>
      </c>
      <c r="E14" s="25">
        <v>41806</v>
      </c>
      <c r="F14" s="25">
        <v>41829</v>
      </c>
      <c r="G14" s="25">
        <v>41829</v>
      </c>
      <c r="H14" s="25">
        <v>41829</v>
      </c>
      <c r="I14" s="151" t="s">
        <v>98</v>
      </c>
      <c r="J14" s="25">
        <v>41818</v>
      </c>
      <c r="K14" s="25">
        <v>41849</v>
      </c>
      <c r="L14" s="25">
        <v>41877</v>
      </c>
      <c r="M14" s="25">
        <v>41900</v>
      </c>
      <c r="N14" s="25">
        <v>41926</v>
      </c>
      <c r="O14" s="25">
        <v>41813</v>
      </c>
      <c r="P14" s="25">
        <v>41849</v>
      </c>
      <c r="Q14" s="25">
        <v>42171</v>
      </c>
      <c r="R14" s="25">
        <v>42012</v>
      </c>
      <c r="S14" s="25">
        <v>42065</v>
      </c>
      <c r="T14" s="115" t="s">
        <v>81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Feuil20"/>
  <dimension ref="B1:AV12"/>
  <sheetViews>
    <sheetView workbookViewId="0">
      <selection activeCell="L21" sqref="L2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132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$U$12</f>
        <v>42306</v>
      </c>
      <c r="G4" s="50"/>
      <c r="H4" s="50"/>
      <c r="I4" s="34"/>
      <c r="J4" s="50"/>
      <c r="K4" s="50"/>
      <c r="L4" s="133" t="s">
        <v>17</v>
      </c>
      <c r="M4" s="63">
        <f>$B$12</f>
        <v>422</v>
      </c>
      <c r="N4" s="176" t="str">
        <f>$C$12</f>
        <v>PASSERON Alain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31" t="s">
        <v>32</v>
      </c>
      <c r="M8" s="131" t="s">
        <v>31</v>
      </c>
      <c r="N8" s="130" t="s">
        <v>33</v>
      </c>
      <c r="O8" s="130" t="s">
        <v>34</v>
      </c>
      <c r="P8" s="13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422</v>
      </c>
      <c r="C10" s="42" t="s">
        <v>116</v>
      </c>
      <c r="D10" s="19">
        <v>1</v>
      </c>
      <c r="E10" s="25">
        <v>41948</v>
      </c>
      <c r="F10" s="25">
        <v>41950</v>
      </c>
      <c r="G10" s="25">
        <v>41950</v>
      </c>
      <c r="H10" s="25">
        <v>41957</v>
      </c>
      <c r="I10" s="123" t="s">
        <v>106</v>
      </c>
      <c r="J10" s="25">
        <v>41960</v>
      </c>
      <c r="K10" s="25">
        <v>41963</v>
      </c>
      <c r="L10" s="25">
        <v>42019</v>
      </c>
      <c r="M10" s="25">
        <v>42033</v>
      </c>
      <c r="N10" s="25">
        <v>42068</v>
      </c>
      <c r="O10" s="25"/>
      <c r="P10" s="25"/>
      <c r="Q10" s="25">
        <v>42313</v>
      </c>
      <c r="R10" s="25">
        <v>42108</v>
      </c>
      <c r="S10" s="25">
        <v>42110</v>
      </c>
      <c r="T10" s="42" t="s">
        <v>115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40">
        <v>422</v>
      </c>
      <c r="C11" s="141" t="s">
        <v>116</v>
      </c>
      <c r="D11" s="19">
        <v>2</v>
      </c>
      <c r="E11" s="25">
        <v>42011</v>
      </c>
      <c r="F11" s="25">
        <v>42013</v>
      </c>
      <c r="H11" s="25">
        <v>42013</v>
      </c>
      <c r="I11" s="123" t="s">
        <v>104</v>
      </c>
      <c r="J11" s="25">
        <v>42023</v>
      </c>
      <c r="K11" s="25">
        <v>42024</v>
      </c>
      <c r="L11" s="25">
        <v>42082</v>
      </c>
      <c r="M11" s="25">
        <v>42073</v>
      </c>
      <c r="N11" s="25">
        <v>42131</v>
      </c>
      <c r="Q11" s="25">
        <v>42376</v>
      </c>
      <c r="T11" s="141" t="s">
        <v>115</v>
      </c>
      <c r="U11" s="12">
        <v>42306</v>
      </c>
    </row>
    <row r="12" spans="2:48" ht="25.5">
      <c r="B12" s="140">
        <v>422</v>
      </c>
      <c r="C12" s="141" t="s">
        <v>116</v>
      </c>
      <c r="D12" s="19">
        <v>3</v>
      </c>
      <c r="E12" s="25">
        <v>42012</v>
      </c>
      <c r="F12" s="25">
        <v>42016</v>
      </c>
      <c r="I12" s="123" t="s">
        <v>57</v>
      </c>
      <c r="J12" s="25">
        <v>42024</v>
      </c>
      <c r="K12" s="25">
        <v>42034</v>
      </c>
      <c r="L12" s="25">
        <v>42083</v>
      </c>
      <c r="N12" s="25">
        <v>42132</v>
      </c>
      <c r="Q12" s="25">
        <v>42377</v>
      </c>
      <c r="T12" s="141" t="s">
        <v>115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Feuil16"/>
  <dimension ref="B1:AV17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11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$U$17</f>
        <v>42306</v>
      </c>
      <c r="G4" s="50"/>
      <c r="H4" s="50"/>
      <c r="I4" s="34"/>
      <c r="J4" s="50"/>
      <c r="K4" s="50"/>
      <c r="L4" s="117" t="s">
        <v>17</v>
      </c>
      <c r="M4" s="63">
        <f>$B$17</f>
        <v>373</v>
      </c>
      <c r="N4" s="176" t="str">
        <f>$C$17</f>
        <v>POIRIER Jean-Paul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19" t="s">
        <v>32</v>
      </c>
      <c r="M8" s="119" t="s">
        <v>31</v>
      </c>
      <c r="N8" s="118" t="s">
        <v>33</v>
      </c>
      <c r="O8" s="118" t="s">
        <v>34</v>
      </c>
      <c r="P8" s="11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373</v>
      </c>
      <c r="C10" s="42" t="s">
        <v>96</v>
      </c>
      <c r="D10" s="19">
        <v>1</v>
      </c>
      <c r="E10" s="25">
        <v>41929</v>
      </c>
      <c r="F10" s="25">
        <v>41940</v>
      </c>
      <c r="G10" s="25">
        <v>41940</v>
      </c>
      <c r="H10" s="25">
        <v>41941</v>
      </c>
      <c r="I10" s="122" t="s">
        <v>118</v>
      </c>
      <c r="J10" s="25">
        <v>41941</v>
      </c>
      <c r="K10" s="25">
        <v>41941</v>
      </c>
      <c r="L10" s="25">
        <v>42000</v>
      </c>
      <c r="M10" s="25">
        <v>42003</v>
      </c>
      <c r="N10" s="25">
        <v>42049</v>
      </c>
      <c r="O10" s="25"/>
      <c r="P10" s="25"/>
      <c r="Q10" s="25">
        <v>42294</v>
      </c>
      <c r="R10" s="25"/>
      <c r="S10" s="25"/>
      <c r="T10" s="42" t="s">
        <v>95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20">
        <v>373</v>
      </c>
      <c r="C11" s="121" t="s">
        <v>96</v>
      </c>
      <c r="D11" s="19">
        <v>2</v>
      </c>
      <c r="E11" s="25">
        <v>41933</v>
      </c>
      <c r="F11" s="25">
        <v>41940</v>
      </c>
      <c r="G11" s="25">
        <v>41940</v>
      </c>
      <c r="H11" s="25">
        <v>41940</v>
      </c>
      <c r="I11" s="123" t="s">
        <v>117</v>
      </c>
      <c r="J11" s="25">
        <v>41945</v>
      </c>
      <c r="K11" s="25">
        <v>41955</v>
      </c>
      <c r="L11" s="25">
        <v>42004</v>
      </c>
      <c r="M11" s="25">
        <v>42009</v>
      </c>
      <c r="N11" s="25">
        <v>42053</v>
      </c>
      <c r="O11" s="25">
        <v>41939</v>
      </c>
      <c r="P11" s="25">
        <v>41942</v>
      </c>
      <c r="Q11" s="25">
        <v>42298</v>
      </c>
      <c r="T11" s="121" t="s">
        <v>95</v>
      </c>
      <c r="U11" s="12">
        <v>42306</v>
      </c>
    </row>
    <row r="12" spans="2:48" ht="25.5">
      <c r="B12" s="120">
        <v>373</v>
      </c>
      <c r="C12" s="121" t="s">
        <v>96</v>
      </c>
      <c r="D12" s="19">
        <v>3</v>
      </c>
      <c r="E12" s="25">
        <v>41934</v>
      </c>
      <c r="F12" s="25">
        <v>41940</v>
      </c>
      <c r="G12" s="25">
        <v>41940</v>
      </c>
      <c r="H12" s="25">
        <v>41940</v>
      </c>
      <c r="I12" s="123" t="s">
        <v>104</v>
      </c>
      <c r="J12" s="25">
        <v>41946</v>
      </c>
      <c r="L12" s="25">
        <v>42005</v>
      </c>
      <c r="N12" s="25">
        <v>42054</v>
      </c>
      <c r="Q12" s="25">
        <v>42299</v>
      </c>
      <c r="T12" s="121" t="s">
        <v>95</v>
      </c>
      <c r="U12" s="12">
        <v>42306</v>
      </c>
    </row>
    <row r="13" spans="2:48" ht="25.5">
      <c r="B13" s="140">
        <v>373</v>
      </c>
      <c r="C13" s="141" t="s">
        <v>96</v>
      </c>
      <c r="D13" s="19">
        <v>4</v>
      </c>
      <c r="E13" s="25">
        <v>41961</v>
      </c>
      <c r="F13" s="25">
        <v>42032</v>
      </c>
      <c r="G13" s="25">
        <v>42034</v>
      </c>
      <c r="H13" s="25">
        <v>41967</v>
      </c>
      <c r="I13" s="123" t="s">
        <v>105</v>
      </c>
      <c r="J13" s="25">
        <v>41973</v>
      </c>
      <c r="K13" s="25">
        <v>41971</v>
      </c>
      <c r="L13" s="25">
        <v>42032</v>
      </c>
      <c r="M13" s="25">
        <v>42037</v>
      </c>
      <c r="N13" s="25">
        <v>42081</v>
      </c>
      <c r="Q13" s="25">
        <v>42326</v>
      </c>
      <c r="T13" s="141" t="s">
        <v>95</v>
      </c>
      <c r="U13" s="12">
        <v>42306</v>
      </c>
    </row>
    <row r="14" spans="2:48" ht="25.5">
      <c r="B14" s="140">
        <v>373</v>
      </c>
      <c r="C14" s="141" t="s">
        <v>96</v>
      </c>
      <c r="D14" s="19">
        <v>5</v>
      </c>
      <c r="I14" s="123" t="s">
        <v>57</v>
      </c>
      <c r="T14" s="141" t="s">
        <v>95</v>
      </c>
      <c r="U14" s="12">
        <v>42306</v>
      </c>
    </row>
    <row r="15" spans="2:48" ht="25.5">
      <c r="B15" s="140">
        <v>373</v>
      </c>
      <c r="C15" s="141" t="s">
        <v>96</v>
      </c>
      <c r="D15" s="19">
        <v>6</v>
      </c>
      <c r="E15" s="25">
        <v>42023</v>
      </c>
      <c r="F15" s="25">
        <v>42027</v>
      </c>
      <c r="G15" s="25">
        <v>42027</v>
      </c>
      <c r="H15" s="25">
        <v>42027</v>
      </c>
      <c r="I15" s="123" t="s">
        <v>136</v>
      </c>
      <c r="J15" s="25">
        <v>42035</v>
      </c>
      <c r="K15" s="25">
        <v>42034</v>
      </c>
      <c r="L15" s="25">
        <v>42094</v>
      </c>
      <c r="M15" s="25">
        <v>42086</v>
      </c>
      <c r="N15" s="25">
        <v>42143</v>
      </c>
      <c r="Q15" s="25">
        <v>42388</v>
      </c>
      <c r="T15" s="141" t="s">
        <v>95</v>
      </c>
      <c r="U15" s="12">
        <v>42306</v>
      </c>
    </row>
    <row r="16" spans="2:48" ht="25.5">
      <c r="B16" s="140">
        <v>373</v>
      </c>
      <c r="C16" s="141" t="s">
        <v>96</v>
      </c>
      <c r="D16" s="19">
        <v>7</v>
      </c>
      <c r="I16" s="123" t="s">
        <v>57</v>
      </c>
      <c r="T16" s="141" t="s">
        <v>95</v>
      </c>
      <c r="U16" s="12">
        <v>42306</v>
      </c>
    </row>
    <row r="17" spans="2:21" ht="25.5">
      <c r="B17" s="140">
        <v>373</v>
      </c>
      <c r="C17" s="141" t="s">
        <v>96</v>
      </c>
      <c r="D17" s="19">
        <v>8</v>
      </c>
      <c r="E17" s="25">
        <v>42025</v>
      </c>
      <c r="F17" s="25">
        <v>42027</v>
      </c>
      <c r="G17" s="25">
        <v>42027</v>
      </c>
      <c r="H17" s="25">
        <v>42027</v>
      </c>
      <c r="I17" s="123" t="s">
        <v>104</v>
      </c>
      <c r="J17" s="25">
        <v>42037</v>
      </c>
      <c r="L17" s="25">
        <v>42096</v>
      </c>
      <c r="N17" s="25">
        <v>42145</v>
      </c>
      <c r="Q17" s="25">
        <v>42390</v>
      </c>
      <c r="T17" s="141" t="s">
        <v>95</v>
      </c>
      <c r="U17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Feuil17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263</v>
      </c>
      <c r="N4" s="176" t="str">
        <f>$C$14</f>
        <v>REVERTE Marc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263</v>
      </c>
      <c r="C10" s="42" t="s">
        <v>72</v>
      </c>
      <c r="D10" s="19">
        <v>1</v>
      </c>
      <c r="E10" s="25">
        <v>41757</v>
      </c>
      <c r="F10" s="25">
        <v>41758</v>
      </c>
      <c r="G10" s="25">
        <v>41758</v>
      </c>
      <c r="H10" s="25"/>
      <c r="I10" s="44" t="s">
        <v>57</v>
      </c>
      <c r="J10" s="25">
        <v>41769</v>
      </c>
      <c r="K10" s="25">
        <v>41765</v>
      </c>
      <c r="L10" s="25">
        <v>41828</v>
      </c>
      <c r="M10" s="25">
        <v>41814</v>
      </c>
      <c r="N10" s="25">
        <v>41877</v>
      </c>
      <c r="O10" s="25">
        <v>41813</v>
      </c>
      <c r="P10" s="25">
        <v>41814</v>
      </c>
      <c r="Q10" s="25">
        <v>42122</v>
      </c>
      <c r="R10" s="25">
        <v>41939</v>
      </c>
      <c r="S10" s="25">
        <v>41940</v>
      </c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6">
        <v>263</v>
      </c>
      <c r="C11" s="77" t="s">
        <v>72</v>
      </c>
      <c r="D11" s="19">
        <v>2</v>
      </c>
      <c r="E11" s="25">
        <v>41757</v>
      </c>
      <c r="F11" s="25">
        <v>41758</v>
      </c>
      <c r="G11" s="25">
        <v>41758</v>
      </c>
      <c r="I11" s="78" t="s">
        <v>57</v>
      </c>
      <c r="J11" s="25">
        <v>41769</v>
      </c>
      <c r="K11" s="25">
        <v>41765</v>
      </c>
      <c r="L11" s="25">
        <v>41828</v>
      </c>
      <c r="M11" s="25">
        <v>41814</v>
      </c>
      <c r="N11" s="25">
        <v>41877</v>
      </c>
      <c r="O11" s="25">
        <v>41813</v>
      </c>
      <c r="P11" s="25">
        <v>41814</v>
      </c>
      <c r="Q11" s="25">
        <v>42122</v>
      </c>
      <c r="R11" s="25">
        <v>41939</v>
      </c>
      <c r="S11" s="25">
        <v>41940</v>
      </c>
      <c r="T11" s="77" t="s">
        <v>71</v>
      </c>
      <c r="U11" s="12">
        <v>42306</v>
      </c>
    </row>
    <row r="12" spans="2:48" ht="25.5">
      <c r="B12" s="76">
        <v>263</v>
      </c>
      <c r="C12" s="77" t="s">
        <v>72</v>
      </c>
      <c r="D12" s="19">
        <v>3</v>
      </c>
      <c r="E12" s="25">
        <v>41758</v>
      </c>
      <c r="F12" s="25">
        <v>41759</v>
      </c>
      <c r="G12" s="25">
        <v>41759</v>
      </c>
      <c r="I12" s="89" t="s">
        <v>57</v>
      </c>
      <c r="J12" s="25">
        <v>41770</v>
      </c>
      <c r="K12" s="25">
        <v>41766</v>
      </c>
      <c r="L12" s="25">
        <v>41829</v>
      </c>
      <c r="M12" s="25">
        <v>41815</v>
      </c>
      <c r="N12" s="25">
        <v>41878</v>
      </c>
      <c r="O12" s="25">
        <v>41814</v>
      </c>
      <c r="P12" s="25">
        <v>41815</v>
      </c>
      <c r="Q12" s="25">
        <v>42123</v>
      </c>
      <c r="R12" s="25">
        <v>41940</v>
      </c>
      <c r="S12" s="25">
        <v>41941</v>
      </c>
      <c r="T12" s="77" t="s">
        <v>71</v>
      </c>
      <c r="U12" s="12">
        <v>42306</v>
      </c>
    </row>
    <row r="13" spans="2:48" ht="25.5">
      <c r="B13" s="114">
        <v>263</v>
      </c>
      <c r="C13" s="115" t="s">
        <v>72</v>
      </c>
      <c r="D13" s="19">
        <v>4</v>
      </c>
      <c r="E13" s="25">
        <v>41823</v>
      </c>
      <c r="F13" s="25">
        <v>41824</v>
      </c>
      <c r="I13" s="89" t="s">
        <v>57</v>
      </c>
      <c r="J13" s="25">
        <v>41835</v>
      </c>
      <c r="K13" s="25">
        <v>41831</v>
      </c>
      <c r="L13" s="25">
        <v>41894</v>
      </c>
      <c r="M13" s="25">
        <v>41893</v>
      </c>
      <c r="N13" s="25">
        <v>41943</v>
      </c>
      <c r="O13" s="25">
        <v>41892</v>
      </c>
      <c r="P13" s="25">
        <v>41893</v>
      </c>
      <c r="Q13" s="25">
        <v>42188</v>
      </c>
      <c r="R13" s="25">
        <v>41988</v>
      </c>
      <c r="S13" s="25">
        <v>41990</v>
      </c>
      <c r="T13" s="115" t="s">
        <v>71</v>
      </c>
      <c r="U13" s="12">
        <v>42306</v>
      </c>
    </row>
    <row r="14" spans="2:48" ht="25.5">
      <c r="B14" s="114">
        <v>263</v>
      </c>
      <c r="C14" s="115" t="s">
        <v>72</v>
      </c>
      <c r="D14" s="19">
        <v>5</v>
      </c>
      <c r="E14" s="25">
        <v>41823</v>
      </c>
      <c r="F14" s="25">
        <v>41824</v>
      </c>
      <c r="I14" s="89" t="s">
        <v>57</v>
      </c>
      <c r="J14" s="25">
        <v>41835</v>
      </c>
      <c r="K14" s="25">
        <v>41831</v>
      </c>
      <c r="L14" s="25">
        <v>41894</v>
      </c>
      <c r="M14" s="25">
        <v>41893</v>
      </c>
      <c r="N14" s="25">
        <v>41943</v>
      </c>
      <c r="O14" s="25">
        <v>41892</v>
      </c>
      <c r="P14" s="25">
        <v>41893</v>
      </c>
      <c r="Q14" s="25">
        <v>42188</v>
      </c>
      <c r="R14" s="25">
        <v>41988</v>
      </c>
      <c r="S14" s="25">
        <v>41990</v>
      </c>
      <c r="T14" s="115" t="s">
        <v>71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Feuil21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13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$U$12</f>
        <v>42306</v>
      </c>
      <c r="G4" s="50"/>
      <c r="H4" s="50"/>
      <c r="I4" s="34"/>
      <c r="J4" s="50"/>
      <c r="K4" s="50"/>
      <c r="L4" s="137" t="s">
        <v>17</v>
      </c>
      <c r="M4" s="63">
        <f>$B$12</f>
        <v>439</v>
      </c>
      <c r="N4" s="176" t="str">
        <f>$C$12</f>
        <v>RODOT VAN ELSLANDE Sylvie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39" t="s">
        <v>32</v>
      </c>
      <c r="M8" s="139" t="s">
        <v>31</v>
      </c>
      <c r="N8" s="138" t="s">
        <v>33</v>
      </c>
      <c r="O8" s="138" t="s">
        <v>34</v>
      </c>
      <c r="P8" s="13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439</v>
      </c>
      <c r="C10" s="42" t="s">
        <v>121</v>
      </c>
      <c r="D10" s="19">
        <v>1</v>
      </c>
      <c r="E10" s="25">
        <v>41967</v>
      </c>
      <c r="F10" s="25">
        <v>41985</v>
      </c>
      <c r="G10" s="25">
        <v>41984</v>
      </c>
      <c r="H10" s="25">
        <v>41984</v>
      </c>
      <c r="I10" s="123" t="s">
        <v>98</v>
      </c>
      <c r="J10" s="25">
        <v>41979</v>
      </c>
      <c r="K10" s="25">
        <v>41984</v>
      </c>
      <c r="L10" s="25">
        <v>42038</v>
      </c>
      <c r="M10" s="25">
        <v>42037</v>
      </c>
      <c r="N10" s="25">
        <v>42087</v>
      </c>
      <c r="O10" s="25"/>
      <c r="P10" s="25"/>
      <c r="Q10" s="25">
        <v>42332</v>
      </c>
      <c r="R10" s="25"/>
      <c r="S10" s="25"/>
      <c r="T10" s="42" t="s">
        <v>120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40">
        <v>439</v>
      </c>
      <c r="C11" s="141" t="s">
        <v>121</v>
      </c>
      <c r="D11" s="19">
        <v>2</v>
      </c>
      <c r="E11" s="25">
        <v>41968</v>
      </c>
      <c r="F11" s="25">
        <v>41989</v>
      </c>
      <c r="G11" s="25">
        <v>41985</v>
      </c>
      <c r="H11" s="25">
        <v>41985</v>
      </c>
      <c r="I11" s="123" t="s">
        <v>98</v>
      </c>
      <c r="J11" s="25">
        <v>41980</v>
      </c>
      <c r="K11" s="25">
        <v>41984</v>
      </c>
      <c r="L11" s="25">
        <v>42039</v>
      </c>
      <c r="M11" s="25">
        <v>42037</v>
      </c>
      <c r="N11" s="25">
        <v>42088</v>
      </c>
      <c r="Q11" s="25">
        <v>42333</v>
      </c>
      <c r="T11" s="141" t="s">
        <v>120</v>
      </c>
      <c r="U11" s="12">
        <v>42306</v>
      </c>
    </row>
    <row r="12" spans="2:48" ht="25.5">
      <c r="B12" s="140">
        <v>439</v>
      </c>
      <c r="C12" s="141" t="s">
        <v>121</v>
      </c>
      <c r="D12" s="19">
        <v>3</v>
      </c>
      <c r="E12" s="25">
        <v>41982</v>
      </c>
      <c r="F12" s="25">
        <v>41996</v>
      </c>
      <c r="G12" s="25">
        <v>41996</v>
      </c>
      <c r="H12" s="25">
        <v>41996</v>
      </c>
      <c r="I12" s="123" t="s">
        <v>98</v>
      </c>
      <c r="J12" s="25">
        <v>41994</v>
      </c>
      <c r="K12" s="25">
        <v>41996</v>
      </c>
      <c r="L12" s="25">
        <v>42053</v>
      </c>
      <c r="M12" s="25">
        <v>42058</v>
      </c>
      <c r="N12" s="25">
        <v>42102</v>
      </c>
      <c r="O12" s="25">
        <v>41991</v>
      </c>
      <c r="P12" s="25">
        <v>42010</v>
      </c>
      <c r="Q12" s="25">
        <v>42347</v>
      </c>
      <c r="T12" s="141" t="s">
        <v>120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Feuil23"/>
  <dimension ref="B1:AV12"/>
  <sheetViews>
    <sheetView workbookViewId="0">
      <selection activeCell="N21" sqref="N2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14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$U$12</f>
        <v>42306</v>
      </c>
      <c r="G4" s="50"/>
      <c r="H4" s="50"/>
      <c r="I4" s="34"/>
      <c r="J4" s="50"/>
      <c r="K4" s="50"/>
      <c r="L4" s="147" t="s">
        <v>17</v>
      </c>
      <c r="M4" s="63">
        <f>$B$12</f>
        <v>444</v>
      </c>
      <c r="N4" s="176" t="str">
        <f>$C$12</f>
        <v>ROSTAIN Gilles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49" t="s">
        <v>32</v>
      </c>
      <c r="M8" s="149" t="s">
        <v>31</v>
      </c>
      <c r="N8" s="148" t="s">
        <v>33</v>
      </c>
      <c r="O8" s="148" t="s">
        <v>34</v>
      </c>
      <c r="P8" s="14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444</v>
      </c>
      <c r="C10" s="42" t="s">
        <v>125</v>
      </c>
      <c r="D10" s="19">
        <v>1</v>
      </c>
      <c r="E10" s="25">
        <v>41984</v>
      </c>
      <c r="F10" s="25">
        <v>41989</v>
      </c>
      <c r="G10" s="25"/>
      <c r="H10" s="25">
        <v>41989</v>
      </c>
      <c r="I10" s="151" t="s">
        <v>104</v>
      </c>
      <c r="J10" s="25">
        <v>41996</v>
      </c>
      <c r="K10" s="25">
        <v>42011</v>
      </c>
      <c r="L10" s="25">
        <v>42055</v>
      </c>
      <c r="M10" s="25">
        <v>42069</v>
      </c>
      <c r="N10" s="25">
        <v>42104</v>
      </c>
      <c r="O10" s="25">
        <v>42018</v>
      </c>
      <c r="P10" s="25">
        <v>42023</v>
      </c>
      <c r="Q10" s="25">
        <v>42349</v>
      </c>
      <c r="R10" s="25"/>
      <c r="S10" s="25"/>
      <c r="T10" s="42" t="s">
        <v>124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52">
        <v>444</v>
      </c>
      <c r="C11" s="153" t="s">
        <v>125</v>
      </c>
      <c r="D11" s="19">
        <v>2</v>
      </c>
      <c r="E11" s="25">
        <v>41988</v>
      </c>
      <c r="F11" s="25">
        <v>41991</v>
      </c>
      <c r="H11" s="25">
        <v>41991</v>
      </c>
      <c r="I11" s="151" t="s">
        <v>137</v>
      </c>
      <c r="J11" s="25">
        <v>42000</v>
      </c>
      <c r="K11" s="25">
        <v>41997</v>
      </c>
      <c r="L11" s="25">
        <v>42059</v>
      </c>
      <c r="N11" s="25">
        <v>42108</v>
      </c>
      <c r="Q11" s="25">
        <v>42353</v>
      </c>
      <c r="T11" s="153" t="s">
        <v>124</v>
      </c>
      <c r="U11" s="12">
        <v>42306</v>
      </c>
    </row>
    <row r="12" spans="2:48" ht="25.5">
      <c r="B12" s="152">
        <v>444</v>
      </c>
      <c r="C12" s="153" t="s">
        <v>125</v>
      </c>
      <c r="D12" s="19">
        <v>3</v>
      </c>
      <c r="E12" s="25">
        <v>41991</v>
      </c>
      <c r="F12" s="25">
        <v>42048</v>
      </c>
      <c r="I12" s="151" t="s">
        <v>57</v>
      </c>
      <c r="J12" s="25">
        <v>42003</v>
      </c>
      <c r="K12" s="25">
        <v>42006</v>
      </c>
      <c r="L12" s="25">
        <v>42062</v>
      </c>
      <c r="N12" s="25">
        <v>42111</v>
      </c>
      <c r="Q12" s="25">
        <v>42356</v>
      </c>
      <c r="T12" s="153" t="s">
        <v>124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Feuil18"/>
  <dimension ref="B1:AV14"/>
  <sheetViews>
    <sheetView workbookViewId="0">
      <selection activeCell="K23" sqref="K23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9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$U$14</f>
        <v>42306</v>
      </c>
      <c r="G4" s="50"/>
      <c r="H4" s="50"/>
      <c r="I4" s="34"/>
      <c r="J4" s="50"/>
      <c r="K4" s="50"/>
      <c r="L4" s="91" t="s">
        <v>17</v>
      </c>
      <c r="M4" s="63">
        <f>$B$14</f>
        <v>337</v>
      </c>
      <c r="N4" s="176" t="str">
        <f>$C$14</f>
        <v>SQUARCIONI Paule-Jeanne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3" t="s">
        <v>32</v>
      </c>
      <c r="M8" s="93" t="s">
        <v>31</v>
      </c>
      <c r="N8" s="92" t="s">
        <v>33</v>
      </c>
      <c r="O8" s="92" t="s">
        <v>34</v>
      </c>
      <c r="P8" s="9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337</v>
      </c>
      <c r="C10" s="42" t="s">
        <v>90</v>
      </c>
      <c r="D10" s="19">
        <v>1</v>
      </c>
      <c r="E10" s="25">
        <v>41822</v>
      </c>
      <c r="F10" s="25">
        <v>41824</v>
      </c>
      <c r="G10" s="25">
        <v>41911</v>
      </c>
      <c r="H10" s="25">
        <v>41824</v>
      </c>
      <c r="I10" s="89" t="s">
        <v>98</v>
      </c>
      <c r="J10" s="25">
        <v>41834</v>
      </c>
      <c r="K10" s="25">
        <v>41830</v>
      </c>
      <c r="L10" s="25">
        <v>41893</v>
      </c>
      <c r="M10" s="25">
        <v>41897</v>
      </c>
      <c r="N10" s="25">
        <v>41942</v>
      </c>
      <c r="O10" s="25">
        <v>41892</v>
      </c>
      <c r="P10" s="25">
        <v>41897</v>
      </c>
      <c r="Q10" s="25">
        <v>42187</v>
      </c>
      <c r="R10" s="25">
        <v>42020</v>
      </c>
      <c r="S10" s="25">
        <v>42025</v>
      </c>
      <c r="T10" s="42" t="s">
        <v>83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08">
        <v>337</v>
      </c>
      <c r="C11" s="109" t="s">
        <v>90</v>
      </c>
      <c r="D11" s="19">
        <v>2</v>
      </c>
      <c r="E11" s="25">
        <v>41901</v>
      </c>
      <c r="F11" s="25">
        <v>41905</v>
      </c>
      <c r="G11" s="25">
        <v>41905</v>
      </c>
      <c r="H11" s="25">
        <v>41904</v>
      </c>
      <c r="I11" s="89" t="s">
        <v>104</v>
      </c>
      <c r="J11" s="25">
        <v>41913</v>
      </c>
      <c r="K11" s="25">
        <v>41969</v>
      </c>
      <c r="L11" s="25">
        <v>41972</v>
      </c>
      <c r="M11" s="25">
        <v>42025</v>
      </c>
      <c r="N11" s="25">
        <v>42021</v>
      </c>
      <c r="O11" s="25">
        <v>42013</v>
      </c>
      <c r="P11" s="25">
        <v>42023</v>
      </c>
      <c r="Q11" s="25">
        <v>42266</v>
      </c>
      <c r="T11" s="109" t="s">
        <v>83</v>
      </c>
      <c r="U11" s="12">
        <v>42306</v>
      </c>
    </row>
    <row r="12" spans="2:48" ht="25.5">
      <c r="B12" s="108">
        <v>337</v>
      </c>
      <c r="C12" s="109" t="s">
        <v>90</v>
      </c>
      <c r="D12" s="19">
        <v>3</v>
      </c>
      <c r="E12" s="25">
        <v>41913</v>
      </c>
      <c r="F12" s="25">
        <v>41918</v>
      </c>
      <c r="G12" s="25">
        <v>41918</v>
      </c>
      <c r="H12" s="25">
        <v>41918</v>
      </c>
      <c r="I12" s="123" t="s">
        <v>98</v>
      </c>
      <c r="J12" s="25">
        <v>41925</v>
      </c>
      <c r="K12" s="25">
        <v>41941</v>
      </c>
      <c r="L12" s="25">
        <v>41984</v>
      </c>
      <c r="M12" s="25">
        <v>41992</v>
      </c>
      <c r="N12" s="25">
        <v>42033</v>
      </c>
      <c r="O12" s="25">
        <v>42055</v>
      </c>
      <c r="P12" s="25">
        <v>42061</v>
      </c>
      <c r="Q12" s="25">
        <v>42278</v>
      </c>
      <c r="R12" s="25">
        <v>42213</v>
      </c>
      <c r="S12" s="25">
        <v>42214</v>
      </c>
      <c r="T12" s="109" t="s">
        <v>83</v>
      </c>
      <c r="U12" s="12">
        <v>42306</v>
      </c>
    </row>
    <row r="13" spans="2:48" ht="25.5">
      <c r="B13" s="124">
        <v>337</v>
      </c>
      <c r="C13" s="125" t="s">
        <v>90</v>
      </c>
      <c r="D13" s="19">
        <v>4</v>
      </c>
      <c r="E13" s="25">
        <v>41929</v>
      </c>
      <c r="F13" s="25">
        <v>41940</v>
      </c>
      <c r="G13" s="25">
        <v>41940</v>
      </c>
      <c r="H13" s="25">
        <v>41940</v>
      </c>
      <c r="I13" s="123" t="s">
        <v>98</v>
      </c>
      <c r="J13" s="25">
        <v>41941</v>
      </c>
      <c r="K13" s="25">
        <v>41955</v>
      </c>
      <c r="L13" s="25">
        <v>42000</v>
      </c>
      <c r="M13" s="25">
        <v>42006</v>
      </c>
      <c r="N13" s="25">
        <v>42049</v>
      </c>
      <c r="O13" s="25">
        <v>42009</v>
      </c>
      <c r="P13" s="25">
        <v>42037</v>
      </c>
      <c r="Q13" s="25">
        <v>42294</v>
      </c>
      <c r="T13" s="125" t="s">
        <v>83</v>
      </c>
      <c r="U13" s="12">
        <v>42306</v>
      </c>
    </row>
    <row r="14" spans="2:48" ht="25.5">
      <c r="B14" s="124">
        <v>337</v>
      </c>
      <c r="C14" s="125" t="s">
        <v>90</v>
      </c>
      <c r="D14" s="19">
        <v>5</v>
      </c>
      <c r="E14" s="25">
        <v>41947</v>
      </c>
      <c r="F14" s="25">
        <v>41949</v>
      </c>
      <c r="G14" s="25">
        <v>41949</v>
      </c>
      <c r="H14" s="25">
        <v>41949</v>
      </c>
      <c r="I14" s="123" t="s">
        <v>104</v>
      </c>
      <c r="J14" s="25">
        <v>41959</v>
      </c>
      <c r="K14" s="25">
        <v>41962</v>
      </c>
      <c r="L14" s="25">
        <v>42018</v>
      </c>
      <c r="M14" s="25">
        <v>42023</v>
      </c>
      <c r="N14" s="25">
        <v>42067</v>
      </c>
      <c r="O14" s="25">
        <v>42019</v>
      </c>
      <c r="P14" s="25">
        <v>42023</v>
      </c>
      <c r="Q14" s="25">
        <v>42312</v>
      </c>
      <c r="T14" s="125" t="s">
        <v>83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Feuil19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72" t="s">
        <v>16</v>
      </c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74"/>
      <c r="M3" s="174"/>
      <c r="N3" s="174"/>
      <c r="O3" s="72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75" t="s">
        <v>58</v>
      </c>
      <c r="E4" s="175"/>
      <c r="F4" s="53">
        <f>$U$14</f>
        <v>42306</v>
      </c>
      <c r="G4" s="50"/>
      <c r="H4" s="50"/>
      <c r="I4" s="34"/>
      <c r="J4" s="50"/>
      <c r="K4" s="50"/>
      <c r="L4" s="73" t="s">
        <v>17</v>
      </c>
      <c r="M4" s="63">
        <f>$B$14</f>
        <v>324</v>
      </c>
      <c r="N4" s="176" t="str">
        <f>$C$14</f>
        <v>WEILLER Michel</v>
      </c>
      <c r="O4" s="176"/>
      <c r="P4" s="176"/>
      <c r="Q4" s="176"/>
      <c r="R4" s="17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77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63" t="s">
        <v>19</v>
      </c>
      <c r="F7" s="164"/>
      <c r="G7" s="164"/>
      <c r="H7" s="164"/>
      <c r="I7" s="164"/>
      <c r="J7" s="165" t="s">
        <v>20</v>
      </c>
      <c r="K7" s="166"/>
      <c r="L7" s="167" t="s">
        <v>21</v>
      </c>
      <c r="M7" s="167"/>
      <c r="N7" s="168" t="s">
        <v>22</v>
      </c>
      <c r="O7" s="169"/>
      <c r="P7" s="170"/>
      <c r="Q7" s="171" t="s">
        <v>23</v>
      </c>
      <c r="R7" s="169"/>
      <c r="S7" s="17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5" t="s">
        <v>32</v>
      </c>
      <c r="M8" s="75" t="s">
        <v>31</v>
      </c>
      <c r="N8" s="74" t="s">
        <v>33</v>
      </c>
      <c r="O8" s="74" t="s">
        <v>34</v>
      </c>
      <c r="P8" s="74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324</v>
      </c>
      <c r="C10" s="42" t="s">
        <v>75</v>
      </c>
      <c r="D10" s="19">
        <v>1</v>
      </c>
      <c r="E10" s="25">
        <v>41814</v>
      </c>
      <c r="F10" s="25">
        <v>41842</v>
      </c>
      <c r="G10" s="25">
        <v>41828</v>
      </c>
      <c r="H10" s="25">
        <v>41827</v>
      </c>
      <c r="I10" s="78" t="s">
        <v>104</v>
      </c>
      <c r="J10" s="25">
        <v>41826</v>
      </c>
      <c r="K10" s="25">
        <v>41827</v>
      </c>
      <c r="L10" s="25">
        <v>41885</v>
      </c>
      <c r="M10" s="25">
        <v>41892</v>
      </c>
      <c r="N10" s="25">
        <v>41934</v>
      </c>
      <c r="O10" s="25">
        <v>41892</v>
      </c>
      <c r="P10" s="25">
        <v>42009</v>
      </c>
      <c r="Q10" s="25">
        <v>42179</v>
      </c>
      <c r="R10" s="25">
        <v>41989</v>
      </c>
      <c r="S10" s="25">
        <v>42009</v>
      </c>
      <c r="T10" s="42" t="s">
        <v>76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324</v>
      </c>
      <c r="C11" s="98" t="s">
        <v>75</v>
      </c>
      <c r="D11" s="19">
        <v>2</v>
      </c>
      <c r="E11" s="25">
        <v>41814</v>
      </c>
      <c r="F11" s="25">
        <v>41843</v>
      </c>
      <c r="G11" s="25">
        <v>41828</v>
      </c>
      <c r="H11" s="25">
        <v>42047</v>
      </c>
      <c r="I11" s="78" t="s">
        <v>104</v>
      </c>
      <c r="J11" s="25">
        <v>41826</v>
      </c>
      <c r="K11" s="25">
        <v>42048</v>
      </c>
      <c r="L11" s="25">
        <v>41885</v>
      </c>
      <c r="N11" s="25">
        <v>41934</v>
      </c>
      <c r="O11" s="25">
        <v>41897</v>
      </c>
      <c r="P11" s="25">
        <v>42009</v>
      </c>
      <c r="Q11" s="25">
        <v>42179</v>
      </c>
      <c r="R11" s="25">
        <v>41983</v>
      </c>
      <c r="S11" s="25">
        <v>42009</v>
      </c>
      <c r="T11" s="98" t="s">
        <v>76</v>
      </c>
      <c r="U11" s="12">
        <v>42306</v>
      </c>
    </row>
    <row r="12" spans="2:48" ht="25.5">
      <c r="B12" s="43">
        <v>324</v>
      </c>
      <c r="C12" s="98" t="s">
        <v>75</v>
      </c>
      <c r="D12" s="19">
        <v>3</v>
      </c>
      <c r="E12" s="25">
        <v>41824</v>
      </c>
      <c r="F12" s="25">
        <v>41843</v>
      </c>
      <c r="G12" s="25">
        <v>41828</v>
      </c>
      <c r="H12" s="25">
        <v>41828</v>
      </c>
      <c r="I12" s="89" t="s">
        <v>106</v>
      </c>
      <c r="J12" s="25">
        <v>41836</v>
      </c>
      <c r="K12" s="25">
        <v>41836</v>
      </c>
      <c r="L12" s="25">
        <v>41895</v>
      </c>
      <c r="M12" s="25">
        <v>41891</v>
      </c>
      <c r="N12" s="25">
        <v>41944</v>
      </c>
      <c r="O12" s="25">
        <v>41915</v>
      </c>
      <c r="P12" s="25">
        <v>42009</v>
      </c>
      <c r="Q12" s="25">
        <v>42189</v>
      </c>
      <c r="R12" s="25">
        <v>41989</v>
      </c>
      <c r="S12" s="25">
        <v>42009</v>
      </c>
      <c r="T12" s="98" t="s">
        <v>76</v>
      </c>
      <c r="U12" s="12">
        <v>42306</v>
      </c>
    </row>
    <row r="13" spans="2:48" ht="25.5">
      <c r="B13" s="43">
        <v>324</v>
      </c>
      <c r="C13" s="98" t="s">
        <v>75</v>
      </c>
      <c r="D13" s="19">
        <v>4</v>
      </c>
      <c r="E13" s="25">
        <v>41821</v>
      </c>
      <c r="F13" s="25">
        <v>41842</v>
      </c>
      <c r="G13" s="25">
        <v>41828</v>
      </c>
      <c r="H13" s="25">
        <v>41828</v>
      </c>
      <c r="I13" s="89" t="s">
        <v>107</v>
      </c>
      <c r="J13" s="25">
        <v>41833</v>
      </c>
      <c r="K13" s="25">
        <v>42009</v>
      </c>
      <c r="L13" s="25">
        <v>41892</v>
      </c>
      <c r="M13" s="25">
        <v>42009</v>
      </c>
      <c r="N13" s="25">
        <v>41941</v>
      </c>
      <c r="O13" s="25">
        <v>41912</v>
      </c>
      <c r="P13" s="25">
        <v>42009</v>
      </c>
      <c r="Q13" s="25">
        <v>42186</v>
      </c>
      <c r="R13" s="25">
        <v>41990</v>
      </c>
      <c r="S13" s="25">
        <v>42009</v>
      </c>
      <c r="T13" s="98" t="s">
        <v>76</v>
      </c>
      <c r="U13" s="12">
        <v>42306</v>
      </c>
    </row>
    <row r="14" spans="2:48" ht="25.5">
      <c r="B14" s="43">
        <v>324</v>
      </c>
      <c r="C14" s="98" t="s">
        <v>75</v>
      </c>
      <c r="D14" s="19">
        <v>5</v>
      </c>
      <c r="E14" s="25">
        <v>41827</v>
      </c>
      <c r="F14" s="25">
        <v>41842</v>
      </c>
      <c r="G14" s="25">
        <v>41842</v>
      </c>
      <c r="I14" s="89" t="s">
        <v>57</v>
      </c>
      <c r="J14" s="25">
        <v>41839</v>
      </c>
      <c r="K14" s="25">
        <v>41837</v>
      </c>
      <c r="L14" s="25">
        <v>41898</v>
      </c>
      <c r="M14" s="25">
        <v>41891</v>
      </c>
      <c r="N14" s="25">
        <v>41947</v>
      </c>
      <c r="Q14" s="25">
        <v>42192</v>
      </c>
      <c r="T14" s="98" t="s">
        <v>76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23</vt:i4>
      </vt:variant>
    </vt:vector>
  </HeadingPairs>
  <TitlesOfParts>
    <vt:vector size="23" baseType="lpstr">
      <vt:lpstr>Secteur DE0402</vt:lpstr>
      <vt:lpstr>00503125</vt:lpstr>
      <vt:lpstr>00730196</vt:lpstr>
      <vt:lpstr>01019367</vt:lpstr>
      <vt:lpstr>01441790</vt:lpstr>
      <vt:lpstr>01728213</vt:lpstr>
      <vt:lpstr>02193645</vt:lpstr>
      <vt:lpstr>02497142</vt:lpstr>
      <vt:lpstr>03182615</vt:lpstr>
      <vt:lpstr>00044948</vt:lpstr>
      <vt:lpstr>09361520</vt:lpstr>
      <vt:lpstr>03503245</vt:lpstr>
      <vt:lpstr>04249765</vt:lpstr>
      <vt:lpstr>04715322</vt:lpstr>
      <vt:lpstr>05822780</vt:lpstr>
      <vt:lpstr>06195928</vt:lpstr>
      <vt:lpstr>07075335</vt:lpstr>
      <vt:lpstr>07424138</vt:lpstr>
      <vt:lpstr>07884619</vt:lpstr>
      <vt:lpstr>08102898</vt:lpstr>
      <vt:lpstr>08035908</vt:lpstr>
      <vt:lpstr>08601940</vt:lpstr>
      <vt:lpstr>09361310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2014-06-17T13:35:47Z</cp:lastPrinted>
  <dcterms:created xsi:type="dcterms:W3CDTF">2014-04-10T15:52:05Z</dcterms:created>
  <dcterms:modified xsi:type="dcterms:W3CDTF">2015-10-29T22:02:58Z</dcterms:modified>
</cp:coreProperties>
</file>