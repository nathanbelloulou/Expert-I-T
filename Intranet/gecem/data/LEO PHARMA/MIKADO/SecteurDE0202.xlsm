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202" sheetId="1" r:id="rId1"/>
    <sheet name="00284997" sheetId="2" r:id="rId2"/>
    <sheet name="01209225" sheetId="9" r:id="rId3"/>
    <sheet name="04147920" sheetId="3" r:id="rId4"/>
    <sheet name="04661527" sheetId="8" r:id="rId5"/>
    <sheet name="05572088" sheetId="10" r:id="rId6"/>
    <sheet name="06970888" sheetId="11" r:id="rId7"/>
    <sheet name="07268753" sheetId="4" r:id="rId8"/>
    <sheet name="07518244" sheetId="5" r:id="rId9"/>
    <sheet name="08357270" sheetId="6" r:id="rId10"/>
    <sheet name="08772222" sheetId="7" r:id="rId11"/>
  </sheets>
  <definedNames>
    <definedName name="Lancer_la_requête_à_partir_de_MS_Access_Database" localSheetId="1" hidden="1">'00284997'!$B$9:$U$12</definedName>
    <definedName name="Lancer_la_requête_à_partir_de_MS_Access_Database" localSheetId="2" hidden="1">'01209225'!$B$9:$U$12</definedName>
    <definedName name="Lancer_la_requête_à_partir_de_MS_Access_Database" localSheetId="3" hidden="1">'04147920'!$B$9:$U$17</definedName>
    <definedName name="Lancer_la_requête_à_partir_de_MS_Access_Database" localSheetId="4" hidden="1">'04661527'!$B$9:$U$14</definedName>
    <definedName name="Lancer_la_requête_à_partir_de_MS_Access_Database" localSheetId="5" hidden="1">'05572088'!$B$9:$U$12</definedName>
    <definedName name="Lancer_la_requête_à_partir_de_MS_Access_Database" localSheetId="6" hidden="1">'06970888'!$B$9:$U$12</definedName>
    <definedName name="Lancer_la_requête_à_partir_de_MS_Access_Database" localSheetId="7" hidden="1">'07268753'!$B$9:$U$19</definedName>
    <definedName name="Lancer_la_requête_à_partir_de_MS_Access_Database" localSheetId="8" hidden="1">'07518244'!$B$9:$U$12</definedName>
    <definedName name="Lancer_la_requête_à_partir_de_MS_Access_Database" localSheetId="9" hidden="1">'08357270'!$B$9:$U$12</definedName>
    <definedName name="Lancer_la_requête_à_partir_de_MS_Access_Database" localSheetId="10" hidden="1">'08772222'!$B$9:$U$12</definedName>
    <definedName name="Lancer_la_requête_à_partir_de_MS_Access_Database_1" localSheetId="0" hidden="1">'Secteur DE0202'!$A$7:$K$17</definedName>
  </definedNames>
  <calcPr calcId="125725"/>
</workbook>
</file>

<file path=xl/calcChain.xml><?xml version="1.0" encoding="utf-8"?>
<calcChain xmlns="http://schemas.openxmlformats.org/spreadsheetml/2006/main">
  <c r="D18" i="1"/>
  <c r="E18"/>
  <c r="F18"/>
  <c r="G18"/>
  <c r="H18"/>
  <c r="I18"/>
  <c r="N4" i="11"/>
  <c r="M4"/>
  <c r="F4"/>
  <c r="N4" i="10"/>
  <c r="M4"/>
  <c r="F4"/>
  <c r="N4" i="9"/>
  <c r="M4"/>
  <c r="F4"/>
  <c r="N4" i="8" l="1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202')_x000d__x000a_ORDER BY Req_REPORT_SECTEURS_GLOBAL.Medecin"/>
  </connection>
  <connection id="2" name="Lancer la requête à partir de MS Access Database0028499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284997')"/>
  </connection>
  <connection id="3" name="Lancer la requête à partir de MS Access Database0120922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209225')"/>
  </connection>
  <connection id="4" name="Lancer la requête à partir de MS Access Database0414792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147920')"/>
  </connection>
  <connection id="5" name="Lancer la requête à partir de MS Access Database0466152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661527')"/>
  </connection>
  <connection id="6" name="Lancer la requête à partir de MS Access Database0557208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572088')"/>
  </connection>
  <connection id="7" name="Lancer la requête à partir de MS Access Database0697088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970888')"/>
  </connection>
  <connection id="8" name="Lancer la requête à partir de MS Access Database0726875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268753')"/>
  </connection>
  <connection id="9" name="Lancer la requête à partir de MS Access Database0751824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518244')"/>
  </connection>
  <connection id="10" name="Lancer la requête à partir de MS Access Database0835727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357270')"/>
  </connection>
  <connection id="11" name="Lancer la requête à partir de MS Access Database0877222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772222')"/>
  </connection>
</connections>
</file>

<file path=xl/sharedStrings.xml><?xml version="1.0" encoding="utf-8"?>
<sst xmlns="http://schemas.openxmlformats.org/spreadsheetml/2006/main" count="655" uniqueCount="103">
  <si>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</si>
  <si>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</si>
  <si>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</si>
  <si>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</si>
  <si>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</si>
  <si>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</si>
  <si>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</si>
  <si>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</si>
  <si>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</si>
  <si>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</si>
  <si>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</si>
  <si>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</si>
  <si>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</si>
  <si>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</si>
  <si>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</si>
  <si>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</si>
  <si>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</si>
  <si>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</si>
  <si>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</si>
  <si>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</si>
  <si>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</si>
  <si>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</si>
  <si>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</si>
  <si>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</si>
  <si>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</si>
  <si>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</si>
  <si>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</si>
  <si>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</si>
  <si>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</si>
  <si>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</si>
  <si>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</si>
  <si>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</si>
  <si>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</si>
  <si>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</si>
  <si>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</si>
  <si>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</si>
  <si>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</si>
  <si>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</si>
  <si>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</si>
  <si>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</si>
  <si>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</si>
  <si>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</si>
  <si>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</si>
  <si>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</si>
  <si>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</si>
  <si>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</si>
  <si>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</si>
  <si>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</si>
  <si>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</si>
  <si>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</si>
  <si>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</si>
  <si>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</si>
  <si>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</si>
  <si>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</si>
  <si>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</si>
  <si>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</si>
  <si>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</si>
  <si>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</si>
  <si>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</si>
  <si>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DE0202</t>
  </si>
  <si>
    <t>WERBICKI-DJILLALI Vanessa</t>
  </si>
  <si>
    <t>WFRM00284997</t>
  </si>
  <si>
    <t>AUBRUN Geneviève</t>
  </si>
  <si>
    <t>WFRM04147920</t>
  </si>
  <si>
    <t>GOURDON François</t>
  </si>
  <si>
    <t>WFRM07268753</t>
  </si>
  <si>
    <t>PEYRON Eric</t>
  </si>
  <si>
    <t>WFRM07518244</t>
  </si>
  <si>
    <t>PINAULT Anne-Lise</t>
  </si>
  <si>
    <t>WFRM08357270</t>
  </si>
  <si>
    <t>SCHNEIDER Jean-Joseph</t>
  </si>
  <si>
    <t>WFRM08772222</t>
  </si>
  <si>
    <t>THANRY Pascale</t>
  </si>
  <si>
    <t>HUBER Gaby</t>
  </si>
  <si>
    <t>WFRM04661527</t>
  </si>
  <si>
    <t>BOULANGER Annie</t>
  </si>
  <si>
    <t>WFRM01209225</t>
  </si>
  <si>
    <t>WFRM05572088</t>
  </si>
  <si>
    <t>LEFAURE Catherine</t>
  </si>
  <si>
    <t>WFRM06970888</t>
  </si>
  <si>
    <t>NICOLAS Cristèle</t>
  </si>
  <si>
    <t>SMS - Mail</t>
  </si>
  <si>
    <t>Courrier - Téléphone - Via médecin</t>
  </si>
  <si>
    <t>Via médecin</t>
  </si>
  <si>
    <t>SMS - Courrier - Via médecin</t>
  </si>
  <si>
    <t>Courrier - Téléphone</t>
  </si>
  <si>
    <t>SMS - Mail - Courrier - Téléphone</t>
  </si>
  <si>
    <t>Courrier</t>
  </si>
  <si>
    <t>Téléphone - Via médecin</t>
  </si>
  <si>
    <t>Mail</t>
  </si>
  <si>
    <t>Mail - Courrier - Téléphone</t>
  </si>
  <si>
    <t>SMS - Courrier - Téléphone</t>
  </si>
  <si>
    <t>SMS - Courrier</t>
  </si>
  <si>
    <t>Téléphone</t>
  </si>
  <si>
    <t>SMS</t>
  </si>
  <si>
    <t>Courrier 22août : envoi courrier pour relance à faire patient 3 n'a pas renvoyé son auto-questionnaire 2 mois.</t>
  </si>
  <si>
    <t>Mail - Courrier</t>
  </si>
  <si>
    <t>04nov: Souhaite recevoir 3 =&gt; envoi le 20nov</t>
  </si>
  <si>
    <t>12dec: ne fera pas de patient, n'a pas du tout le temps</t>
  </si>
  <si>
    <t>Colonne1</t>
  </si>
  <si>
    <t>Reste 3 patients à inclure</t>
  </si>
  <si>
    <t>réponses queries</t>
  </si>
  <si>
    <t>19juin15 : le Dr Peyron a renvoyé toutes les visites tardives de tous ses patients et demande quand va-t-on lui envoyer sa dernière NH, il aimerait l'avoir avant les vacances et pouvoir tout ranger et classer.</t>
  </si>
</sst>
</file>

<file path=xl/styles.xml><?xml version="1.0" encoding="utf-8"?>
<styleSheet xmlns="http://schemas.openxmlformats.org/spreadsheetml/2006/main">
  <numFmts count="1">
    <numFmt numFmtId="164" formatCode="dd/mm/yy;@"/>
  </numFmts>
  <fonts count="27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18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164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0" fontId="0" fillId="11" borderId="0" xfId="0" applyFill="1" applyAlignment="1">
      <alignment vertical="center" wrapText="1"/>
    </xf>
    <xf numFmtId="0" fontId="11" fillId="11" borderId="0" xfId="2" applyFill="1" applyAlignment="1" applyProtection="1">
      <alignment horizontal="center" vertical="center" wrapText="1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164" fontId="0" fillId="11" borderId="0" xfId="0" applyNumberFormat="1" applyFill="1" applyAlignment="1">
      <alignment vertical="center" wrapText="1"/>
    </xf>
    <xf numFmtId="0" fontId="26" fillId="12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243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242"/>
      <tableStyleElement type="headerRow" dxfId="241"/>
      <tableStyleElement type="totalRow" dxfId="240"/>
      <tableStyleElement type="firstColumn" dxfId="239"/>
      <tableStyleElement type="lastColumn" dxfId="238"/>
      <tableStyleElement type="firstRowStripe" dxfId="237"/>
      <tableStyleElement type="secondRowStripe" dxfId="236"/>
      <tableStyleElement type="firstColumnStripe" dxfId="235"/>
      <tableStyleElement type="secondColumnStripe" dxfId="234"/>
    </tableStyle>
    <tableStyle name="TableStyleLight8 2" pivot="0" count="9">
      <tableStyleElement type="wholeTable" dxfId="233"/>
      <tableStyleElement type="headerRow" dxfId="232"/>
      <tableStyleElement type="totalRow" dxfId="231"/>
      <tableStyleElement type="firstColumn" dxfId="230"/>
      <tableStyleElement type="lastColumn" dxfId="229"/>
      <tableStyleElement type="firstRowStripe" dxfId="228"/>
      <tableStyleElement type="secondRowStripe" dxfId="227"/>
      <tableStyleElement type="firstColumnStripe" dxfId="226"/>
      <tableStyleElement type="secondColumnStripe" dxfId="225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18" tableType="queryTable" totalsRowCount="1" headerRowDxfId="224" dataDxfId="223">
  <tableColumns count="12">
    <tableColumn id="1" uniqueName="1" name="Code Secteur" queryTableFieldId="1" dataDxfId="211" totalsRowDxfId="212"/>
    <tableColumn id="2" uniqueName="2" name="VM" queryTableFieldId="2" dataDxfId="210" totalsRowDxfId="213"/>
    <tableColumn id="3" uniqueName="3" name="Code médecin" totalsRowLabel="TOTAL" queryTableFieldId="3" dataDxfId="209" totalsRowDxfId="214" dataCellStyle="Lien hypertexte"/>
    <tableColumn id="4" uniqueName="4" name="Medecin" totalsRowFunction="custom" queryTableFieldId="4" dataDxfId="208" totalsRowDxfId="215">
      <totalsRowFormula>SUBTOTAL(3,D8:D17)</totalsRowFormula>
    </tableColumn>
    <tableColumn id="5" uniqueName="5" name="Date de réception convention financière" totalsRowFunction="custom" queryTableFieldId="5" dataDxfId="207" totalsRowDxfId="216">
      <totalsRowFormula>SUBTOTAL(3,[Date de réception convention financière])</totalsRowFormula>
    </tableColumn>
    <tableColumn id="6" uniqueName="6" name="Date de réception AR kit" totalsRowFunction="custom" queryTableFieldId="6" dataDxfId="206" totalsRowDxfId="217">
      <totalsRowFormula>SUBTOTAL(3,[Date de réception AR kit])</totalsRowFormula>
    </tableColumn>
    <tableColumn id="7" uniqueName="7" name="Date de MEP" totalsRowFunction="custom" queryTableFieldId="7" dataDxfId="205" totalsRowDxfId="218">
      <totalsRowFormula>SUBTOTAL(3,[Date de MEP])</totalsRowFormula>
    </tableColumn>
    <tableColumn id="8" uniqueName="8" name="Desistement" totalsRowFunction="custom" queryTableFieldId="8" dataDxfId="204" totalsRowDxfId="219">
      <totalsRowFormula>SUBTOTAL(3,[Desistement])</totalsRowFormula>
    </tableColumn>
    <tableColumn id="9" uniqueName="9" name="Nb Total Patients inclus" totalsRowFunction="custom" queryTableFieldId="9" dataDxfId="203" totalsRowDxfId="220">
      <totalsRowFormula>SUBTOTAL(109,I8:I17)</totalsRowFormula>
    </tableColumn>
    <tableColumn id="10" uniqueName="10" name="Comptes-rendus contact médecin-GECEM" queryTableFieldId="10" dataDxfId="202" totalsRowDxfId="221"/>
    <tableColumn id="11" uniqueName="11" name="Date" queryTableFieldId="11" dataDxfId="201" totalsRowDxfId="222"/>
    <tableColumn id="12" uniqueName="12" name="Colonne1" queryTableFieldId="12" dataDxfId="200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" name="Tableau_Lancer_la_requête_à_partir_de_MS_Access_Database" displayName="Tableau_Lancer_la_requête_à_partir_de_MS_Access_Database" ref="B9:U12" tableType="queryTable" totalsRowShown="0">
  <autoFilter ref="B9:U12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9" name="Tableau_Lancer_la_requête_à_partir_de_MS_Access_Database4567810" displayName="Tableau_Lancer_la_requête_à_partir_de_MS_Access_Database4567810" ref="B9:U12" tableType="queryTable" totalsRowShown="0">
  <autoFilter ref="B9:U12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3" name="Tableau_Lancer_la_requête_à_partir_de_MS_Access_Database4" displayName="Tableau_Lancer_la_requête_à_partir_de_MS_Access_Database4" ref="B9:U17" tableType="queryTable" totalsRowShown="0">
  <autoFilter ref="B9:U17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8" name="Tableau_Lancer_la_requête_à_partir_de_MS_Access_Database9" displayName="Tableau_Lancer_la_requête_à_partir_de_MS_Access_Database9" ref="B9:U14" tableType="queryTable" totalsRowShown="0">
  <autoFilter ref="B9:U14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10" name="Tableau_Lancer_la_requête_à_partir_de_MS_Access_Database4567811" displayName="Tableau_Lancer_la_requête_à_partir_de_MS_Access_Database4567811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11" name="Tableau_Lancer_la_requête_à_partir_de_MS_Access_Database456781112" displayName="Tableau_Lancer_la_requête_à_partir_de_MS_Access_Database456781112" ref="B9:U12" tableType="queryTable" totalsRowShown="0">
  <autoFilter ref="B9:U12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4" name="Tableau_Lancer_la_requête_à_partir_de_MS_Access_Database45" displayName="Tableau_Lancer_la_requête_à_partir_de_MS_Access_Database45" ref="B9:U19" tableType="queryTable" totalsRowShown="0">
  <autoFilter ref="B9:U19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20"/>
  <sheetViews>
    <sheetView tabSelected="1" topLeftCell="C1" workbookViewId="0">
      <selection activeCell="C17" sqref="C17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$A$17</f>
        <v>DE0202</v>
      </c>
      <c r="G2" s="101" t="str">
        <f>$B$17</f>
        <v>WERBICKI-DJILLALI Vanessa</v>
      </c>
      <c r="H2" s="101"/>
      <c r="I2" s="101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$K$17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99</v>
      </c>
    </row>
    <row r="8" spans="1:17" s="86" customFormat="1" ht="30">
      <c r="A8" s="86" t="s">
        <v>59</v>
      </c>
      <c r="B8" s="86" t="s">
        <v>60</v>
      </c>
      <c r="C8" s="87" t="s">
        <v>61</v>
      </c>
      <c r="D8" s="84" t="s">
        <v>62</v>
      </c>
      <c r="E8" s="16">
        <v>41695</v>
      </c>
      <c r="F8" s="16">
        <v>41766</v>
      </c>
      <c r="G8" s="16">
        <v>41758</v>
      </c>
      <c r="H8" s="16"/>
      <c r="I8" s="15">
        <v>3</v>
      </c>
      <c r="J8" s="84" t="s">
        <v>95</v>
      </c>
      <c r="K8" s="88">
        <v>42306</v>
      </c>
    </row>
    <row r="9" spans="1:17" s="86" customFormat="1" ht="30">
      <c r="A9" s="86" t="s">
        <v>59</v>
      </c>
      <c r="B9" s="86" t="s">
        <v>60</v>
      </c>
      <c r="C9" s="87" t="s">
        <v>76</v>
      </c>
      <c r="D9" s="84" t="s">
        <v>75</v>
      </c>
      <c r="E9" s="16">
        <v>41785</v>
      </c>
      <c r="F9" s="16">
        <v>41793</v>
      </c>
      <c r="G9" s="16">
        <v>41792</v>
      </c>
      <c r="H9" s="16"/>
      <c r="I9" s="15">
        <v>3</v>
      </c>
      <c r="J9" s="84"/>
      <c r="K9" s="88">
        <v>42306</v>
      </c>
    </row>
    <row r="10" spans="1:17" s="94" customFormat="1" ht="45">
      <c r="A10" s="94" t="s">
        <v>59</v>
      </c>
      <c r="B10" s="94" t="s">
        <v>60</v>
      </c>
      <c r="C10" s="95" t="s">
        <v>63</v>
      </c>
      <c r="D10" s="96" t="s">
        <v>64</v>
      </c>
      <c r="E10" s="97">
        <v>41711</v>
      </c>
      <c r="F10" s="97">
        <v>41774</v>
      </c>
      <c r="G10" s="97">
        <v>41771</v>
      </c>
      <c r="H10" s="97"/>
      <c r="I10" s="98">
        <v>5</v>
      </c>
      <c r="J10" s="96" t="s">
        <v>97</v>
      </c>
      <c r="K10" s="99">
        <v>42306</v>
      </c>
      <c r="L10" s="100" t="s">
        <v>100</v>
      </c>
    </row>
    <row r="11" spans="1:17" s="86" customFormat="1" ht="30">
      <c r="A11" s="86" t="s">
        <v>59</v>
      </c>
      <c r="B11" s="86" t="s">
        <v>60</v>
      </c>
      <c r="C11" s="87" t="s">
        <v>74</v>
      </c>
      <c r="D11" s="84" t="s">
        <v>73</v>
      </c>
      <c r="E11" s="16">
        <v>41774</v>
      </c>
      <c r="F11" s="16">
        <v>41792</v>
      </c>
      <c r="G11" s="16">
        <v>41787</v>
      </c>
      <c r="H11" s="16"/>
      <c r="I11" s="15">
        <v>5</v>
      </c>
      <c r="J11" s="84" t="s">
        <v>101</v>
      </c>
      <c r="K11" s="88">
        <v>42306</v>
      </c>
    </row>
    <row r="12" spans="1:17" s="86" customFormat="1" ht="30">
      <c r="A12" s="86" t="s">
        <v>59</v>
      </c>
      <c r="B12" s="86" t="s">
        <v>60</v>
      </c>
      <c r="C12" s="87" t="s">
        <v>77</v>
      </c>
      <c r="D12" s="84" t="s">
        <v>78</v>
      </c>
      <c r="E12" s="16">
        <v>41792</v>
      </c>
      <c r="F12" s="16">
        <v>41800</v>
      </c>
      <c r="G12" s="16">
        <v>41794</v>
      </c>
      <c r="H12" s="16"/>
      <c r="I12" s="15"/>
      <c r="J12" s="84"/>
      <c r="K12" s="88">
        <v>42306</v>
      </c>
    </row>
    <row r="13" spans="1:17" s="86" customFormat="1" ht="30">
      <c r="A13" s="86" t="s">
        <v>59</v>
      </c>
      <c r="B13" s="86" t="s">
        <v>60</v>
      </c>
      <c r="C13" s="87" t="s">
        <v>79</v>
      </c>
      <c r="D13" s="84" t="s">
        <v>80</v>
      </c>
      <c r="E13" s="16">
        <v>41792</v>
      </c>
      <c r="F13" s="16">
        <v>41800</v>
      </c>
      <c r="G13" s="16">
        <v>41795</v>
      </c>
      <c r="H13" s="16"/>
      <c r="I13" s="15">
        <v>3</v>
      </c>
      <c r="J13" s="84"/>
      <c r="K13" s="88">
        <v>42306</v>
      </c>
    </row>
    <row r="14" spans="1:17" s="86" customFormat="1" ht="60">
      <c r="A14" s="86" t="s">
        <v>59</v>
      </c>
      <c r="B14" s="86" t="s">
        <v>60</v>
      </c>
      <c r="C14" s="87" t="s">
        <v>65</v>
      </c>
      <c r="D14" s="85" t="s">
        <v>66</v>
      </c>
      <c r="E14" s="16">
        <v>41718</v>
      </c>
      <c r="F14" s="16">
        <v>41751</v>
      </c>
      <c r="G14" s="16">
        <v>41745</v>
      </c>
      <c r="H14" s="16"/>
      <c r="I14" s="15">
        <v>10</v>
      </c>
      <c r="J14" s="85" t="s">
        <v>102</v>
      </c>
      <c r="K14" s="88">
        <v>42306</v>
      </c>
    </row>
    <row r="15" spans="1:17" s="86" customFormat="1" ht="30">
      <c r="A15" s="86" t="s">
        <v>59</v>
      </c>
      <c r="B15" s="86" t="s">
        <v>60</v>
      </c>
      <c r="C15" s="87" t="s">
        <v>67</v>
      </c>
      <c r="D15" s="84" t="s">
        <v>68</v>
      </c>
      <c r="E15" s="16">
        <v>41717</v>
      </c>
      <c r="F15" s="16">
        <v>41743</v>
      </c>
      <c r="G15" s="16">
        <v>41739</v>
      </c>
      <c r="H15" s="16"/>
      <c r="I15" s="15">
        <v>2</v>
      </c>
      <c r="J15" s="84"/>
      <c r="K15" s="88">
        <v>42306</v>
      </c>
    </row>
    <row r="16" spans="1:17" s="86" customFormat="1" ht="30">
      <c r="A16" s="86" t="s">
        <v>59</v>
      </c>
      <c r="B16" s="86" t="s">
        <v>60</v>
      </c>
      <c r="C16" s="87" t="s">
        <v>69</v>
      </c>
      <c r="D16" s="84" t="s">
        <v>70</v>
      </c>
      <c r="E16" s="16">
        <v>41701</v>
      </c>
      <c r="F16" s="16">
        <v>41746</v>
      </c>
      <c r="G16" s="16">
        <v>41744</v>
      </c>
      <c r="H16" s="16"/>
      <c r="I16" s="15"/>
      <c r="J16" s="84" t="s">
        <v>98</v>
      </c>
      <c r="K16" s="88">
        <v>42306</v>
      </c>
    </row>
    <row r="17" spans="1:11" s="86" customFormat="1" ht="30">
      <c r="A17" s="86" t="s">
        <v>59</v>
      </c>
      <c r="B17" s="86" t="s">
        <v>60</v>
      </c>
      <c r="C17" s="87" t="s">
        <v>71</v>
      </c>
      <c r="D17" s="84" t="s">
        <v>72</v>
      </c>
      <c r="E17" s="16">
        <v>41697</v>
      </c>
      <c r="F17" s="16">
        <v>41758</v>
      </c>
      <c r="G17" s="16">
        <v>41754</v>
      </c>
      <c r="H17" s="16"/>
      <c r="I17" s="15">
        <v>3</v>
      </c>
      <c r="J17" s="84"/>
      <c r="K17" s="88">
        <v>42306</v>
      </c>
    </row>
    <row r="18" spans="1:11">
      <c r="A18" s="28"/>
      <c r="B18" s="28"/>
      <c r="C18" s="27" t="s">
        <v>15</v>
      </c>
      <c r="D18" s="33">
        <f>SUBTOTAL(3,D8:D17)</f>
        <v>10</v>
      </c>
      <c r="E18" s="33">
        <f>SUBTOTAL(3,[Date de réception convention financière])</f>
        <v>10</v>
      </c>
      <c r="F18" s="33">
        <f>SUBTOTAL(3,[Date de réception AR kit])</f>
        <v>10</v>
      </c>
      <c r="G18" s="33">
        <f>SUBTOTAL(3,[Date de MEP])</f>
        <v>10</v>
      </c>
      <c r="H18" s="89">
        <f>SUBTOTAL(3,[Desistement])</f>
        <v>0</v>
      </c>
      <c r="I18" s="27">
        <f>SUBTOTAL(109,I8:I17)</f>
        <v>34</v>
      </c>
      <c r="J18" s="31"/>
      <c r="K18" s="32"/>
    </row>
    <row r="19" spans="1:11">
      <c r="D19" s="10"/>
      <c r="J19" s="10"/>
    </row>
    <row r="20" spans="1:11">
      <c r="C20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R5" sqref="R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2" t="s">
        <v>16</v>
      </c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4"/>
      <c r="M3" s="104"/>
      <c r="N3" s="104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7" t="s">
        <v>58</v>
      </c>
      <c r="E4" s="117"/>
      <c r="F4" s="53">
        <f>$U$12</f>
        <v>42306</v>
      </c>
      <c r="G4" s="50"/>
      <c r="H4" s="50"/>
      <c r="I4" s="34"/>
      <c r="J4" s="50"/>
      <c r="K4" s="50"/>
      <c r="L4" s="57" t="s">
        <v>17</v>
      </c>
      <c r="M4" s="63">
        <f>$B$12</f>
        <v>109</v>
      </c>
      <c r="N4" s="105" t="str">
        <f>$C$12</f>
        <v>AUBRUN Geneviève</v>
      </c>
      <c r="O4" s="105"/>
      <c r="P4" s="105"/>
      <c r="Q4" s="105"/>
      <c r="R4" s="105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6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8" t="s">
        <v>19</v>
      </c>
      <c r="F7" s="109"/>
      <c r="G7" s="109"/>
      <c r="H7" s="109"/>
      <c r="I7" s="109"/>
      <c r="J7" s="110" t="s">
        <v>20</v>
      </c>
      <c r="K7" s="111"/>
      <c r="L7" s="112" t="s">
        <v>21</v>
      </c>
      <c r="M7" s="112"/>
      <c r="N7" s="113" t="s">
        <v>22</v>
      </c>
      <c r="O7" s="114"/>
      <c r="P7" s="115"/>
      <c r="Q7" s="116" t="s">
        <v>23</v>
      </c>
      <c r="R7" s="114"/>
      <c r="S7" s="11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109</v>
      </c>
      <c r="C10" s="42" t="s">
        <v>62</v>
      </c>
      <c r="D10" s="19">
        <v>1</v>
      </c>
      <c r="E10" s="25">
        <v>41768</v>
      </c>
      <c r="F10" s="25">
        <v>41773</v>
      </c>
      <c r="G10" s="25">
        <v>41773</v>
      </c>
      <c r="H10" s="25">
        <v>41773</v>
      </c>
      <c r="I10" s="44" t="s">
        <v>81</v>
      </c>
      <c r="J10" s="25">
        <v>41780</v>
      </c>
      <c r="K10" s="25">
        <v>41774</v>
      </c>
      <c r="L10" s="25">
        <v>41839</v>
      </c>
      <c r="M10" s="25">
        <v>41838</v>
      </c>
      <c r="N10" s="25">
        <v>41888</v>
      </c>
      <c r="O10" s="25">
        <v>41919</v>
      </c>
      <c r="P10" s="25">
        <v>41925</v>
      </c>
      <c r="Q10" s="25">
        <v>42133</v>
      </c>
      <c r="R10" s="25"/>
      <c r="S10" s="25"/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3">
        <v>109</v>
      </c>
      <c r="C11" s="74" t="s">
        <v>62</v>
      </c>
      <c r="D11" s="19">
        <v>2</v>
      </c>
      <c r="E11" s="25">
        <v>41778</v>
      </c>
      <c r="F11" s="25">
        <v>41782</v>
      </c>
      <c r="G11" s="25">
        <v>41782</v>
      </c>
      <c r="H11" s="25">
        <v>41782</v>
      </c>
      <c r="I11" s="75" t="s">
        <v>83</v>
      </c>
      <c r="J11" s="25">
        <v>41790</v>
      </c>
      <c r="K11" s="25">
        <v>41886</v>
      </c>
      <c r="L11" s="25">
        <v>41849</v>
      </c>
      <c r="N11" s="25">
        <v>41898</v>
      </c>
      <c r="O11" s="25">
        <v>41890</v>
      </c>
      <c r="P11" s="25">
        <v>41892</v>
      </c>
      <c r="Q11" s="25">
        <v>42143</v>
      </c>
      <c r="R11" s="25">
        <v>41960</v>
      </c>
      <c r="S11" s="25">
        <v>41962</v>
      </c>
      <c r="T11" s="74" t="s">
        <v>61</v>
      </c>
      <c r="U11" s="12">
        <v>42306</v>
      </c>
    </row>
    <row r="12" spans="2:48" ht="25.5">
      <c r="B12" s="73">
        <v>109</v>
      </c>
      <c r="C12" s="74" t="s">
        <v>62</v>
      </c>
      <c r="D12" s="19">
        <v>3</v>
      </c>
      <c r="E12" s="25">
        <v>41792</v>
      </c>
      <c r="F12" s="25">
        <v>41793</v>
      </c>
      <c r="G12" s="25">
        <v>41793</v>
      </c>
      <c r="H12" s="25">
        <v>41793</v>
      </c>
      <c r="I12" s="75" t="s">
        <v>83</v>
      </c>
      <c r="J12" s="25">
        <v>41804</v>
      </c>
      <c r="K12" s="25">
        <v>41883</v>
      </c>
      <c r="L12" s="25">
        <v>41863</v>
      </c>
      <c r="M12" s="25">
        <v>41883</v>
      </c>
      <c r="N12" s="25">
        <v>41912</v>
      </c>
      <c r="O12" s="25">
        <v>41890</v>
      </c>
      <c r="P12" s="25">
        <v>41892</v>
      </c>
      <c r="Q12" s="25">
        <v>42157</v>
      </c>
      <c r="R12" s="25">
        <v>41960</v>
      </c>
      <c r="S12" s="25">
        <v>41962</v>
      </c>
      <c r="T12" s="74" t="s">
        <v>61</v>
      </c>
      <c r="U12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H17" sqref="H1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2" t="s">
        <v>16</v>
      </c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4"/>
      <c r="M3" s="104"/>
      <c r="N3" s="104"/>
      <c r="O3" s="7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7" t="s">
        <v>58</v>
      </c>
      <c r="E4" s="117"/>
      <c r="F4" s="53">
        <f>$U$12</f>
        <v>42306</v>
      </c>
      <c r="G4" s="50"/>
      <c r="H4" s="50"/>
      <c r="I4" s="34"/>
      <c r="J4" s="50"/>
      <c r="K4" s="50"/>
      <c r="L4" s="77" t="s">
        <v>17</v>
      </c>
      <c r="M4" s="63">
        <f>$B$12</f>
        <v>316</v>
      </c>
      <c r="N4" s="105" t="str">
        <f>$C$12</f>
        <v>BOULANGER Annie</v>
      </c>
      <c r="O4" s="105"/>
      <c r="P4" s="105"/>
      <c r="Q4" s="105"/>
      <c r="R4" s="105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6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8" t="s">
        <v>19</v>
      </c>
      <c r="F7" s="109"/>
      <c r="G7" s="109"/>
      <c r="H7" s="109"/>
      <c r="I7" s="109"/>
      <c r="J7" s="110" t="s">
        <v>20</v>
      </c>
      <c r="K7" s="111"/>
      <c r="L7" s="112" t="s">
        <v>21</v>
      </c>
      <c r="M7" s="112"/>
      <c r="N7" s="113" t="s">
        <v>22</v>
      </c>
      <c r="O7" s="114"/>
      <c r="P7" s="115"/>
      <c r="Q7" s="116" t="s">
        <v>23</v>
      </c>
      <c r="R7" s="114"/>
      <c r="S7" s="11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9" t="s">
        <v>32</v>
      </c>
      <c r="M8" s="79" t="s">
        <v>31</v>
      </c>
      <c r="N8" s="78" t="s">
        <v>33</v>
      </c>
      <c r="O8" s="78" t="s">
        <v>34</v>
      </c>
      <c r="P8" s="7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316</v>
      </c>
      <c r="C10" s="42" t="s">
        <v>75</v>
      </c>
      <c r="D10" s="19">
        <v>1</v>
      </c>
      <c r="E10" s="25">
        <v>41970</v>
      </c>
      <c r="F10" s="25">
        <v>41974</v>
      </c>
      <c r="G10" s="25">
        <v>41974</v>
      </c>
      <c r="H10" s="25">
        <v>41974</v>
      </c>
      <c r="I10" s="44" t="s">
        <v>93</v>
      </c>
      <c r="J10" s="25">
        <v>41982</v>
      </c>
      <c r="K10" s="25">
        <v>42024</v>
      </c>
      <c r="L10" s="25">
        <v>42041</v>
      </c>
      <c r="M10" s="25">
        <v>42038</v>
      </c>
      <c r="N10" s="25">
        <v>42090</v>
      </c>
      <c r="O10" s="25"/>
      <c r="P10" s="25"/>
      <c r="Q10" s="25">
        <v>42335</v>
      </c>
      <c r="R10" s="25"/>
      <c r="S10" s="25"/>
      <c r="T10" s="42" t="s">
        <v>76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73">
        <v>316</v>
      </c>
      <c r="C11" s="74" t="s">
        <v>75</v>
      </c>
      <c r="D11" s="19">
        <v>2</v>
      </c>
      <c r="E11" s="25">
        <v>41970</v>
      </c>
      <c r="F11" s="25">
        <v>41974</v>
      </c>
      <c r="H11" s="25">
        <v>41984</v>
      </c>
      <c r="I11" s="44" t="s">
        <v>88</v>
      </c>
      <c r="J11" s="25">
        <v>41982</v>
      </c>
      <c r="K11" s="25">
        <v>41989</v>
      </c>
      <c r="L11" s="25">
        <v>42041</v>
      </c>
      <c r="M11" s="25">
        <v>42044</v>
      </c>
      <c r="N11" s="25">
        <v>42090</v>
      </c>
      <c r="Q11" s="25">
        <v>42335</v>
      </c>
      <c r="T11" s="74" t="s">
        <v>76</v>
      </c>
      <c r="U11" s="12">
        <v>42306</v>
      </c>
    </row>
    <row r="12" spans="2:48" ht="18.75" customHeight="1">
      <c r="B12" s="73">
        <v>316</v>
      </c>
      <c r="C12" s="74" t="s">
        <v>75</v>
      </c>
      <c r="D12" s="19">
        <v>3</v>
      </c>
      <c r="E12" s="25">
        <v>41967</v>
      </c>
      <c r="F12" s="25">
        <v>41974</v>
      </c>
      <c r="G12" s="25">
        <v>41974</v>
      </c>
      <c r="H12" s="25">
        <v>41974</v>
      </c>
      <c r="I12" s="44" t="s">
        <v>87</v>
      </c>
      <c r="J12" s="25">
        <v>41979</v>
      </c>
      <c r="K12" s="25">
        <v>42037</v>
      </c>
      <c r="L12" s="25">
        <v>42038</v>
      </c>
      <c r="M12" s="25">
        <v>42242</v>
      </c>
      <c r="N12" s="25">
        <v>42087</v>
      </c>
      <c r="Q12" s="25">
        <v>42332</v>
      </c>
      <c r="T12" s="74" t="s">
        <v>76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B1:AV17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2" t="s">
        <v>16</v>
      </c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4"/>
      <c r="M3" s="104"/>
      <c r="N3" s="104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7" t="s">
        <v>58</v>
      </c>
      <c r="E4" s="117"/>
      <c r="F4" s="53">
        <f>$U$17</f>
        <v>42306</v>
      </c>
      <c r="G4" s="50"/>
      <c r="H4" s="50"/>
      <c r="I4" s="34"/>
      <c r="J4" s="50"/>
      <c r="K4" s="50"/>
      <c r="L4" s="65" t="s">
        <v>17</v>
      </c>
      <c r="M4" s="63">
        <f>$B$17</f>
        <v>106</v>
      </c>
      <c r="N4" s="105" t="str">
        <f>$C$17</f>
        <v>GOURDON François</v>
      </c>
      <c r="O4" s="105"/>
      <c r="P4" s="105"/>
      <c r="Q4" s="105"/>
      <c r="R4" s="105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6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8" t="s">
        <v>19</v>
      </c>
      <c r="F7" s="109"/>
      <c r="G7" s="109"/>
      <c r="H7" s="109"/>
      <c r="I7" s="109"/>
      <c r="J7" s="110" t="s">
        <v>20</v>
      </c>
      <c r="K7" s="111"/>
      <c r="L7" s="112" t="s">
        <v>21</v>
      </c>
      <c r="M7" s="112"/>
      <c r="N7" s="113" t="s">
        <v>22</v>
      </c>
      <c r="O7" s="114"/>
      <c r="P7" s="115"/>
      <c r="Q7" s="116" t="s">
        <v>23</v>
      </c>
      <c r="R7" s="114"/>
      <c r="S7" s="11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106</v>
      </c>
      <c r="C10" s="42" t="s">
        <v>64</v>
      </c>
      <c r="D10" s="19">
        <v>1</v>
      </c>
      <c r="E10" s="25">
        <v>41781</v>
      </c>
      <c r="F10" s="25">
        <v>41785</v>
      </c>
      <c r="G10" s="25">
        <v>41785</v>
      </c>
      <c r="H10" s="25">
        <v>41785</v>
      </c>
      <c r="I10" s="44" t="s">
        <v>84</v>
      </c>
      <c r="J10" s="25">
        <v>41793</v>
      </c>
      <c r="K10" s="25">
        <v>41794</v>
      </c>
      <c r="L10" s="25">
        <v>41852</v>
      </c>
      <c r="M10" s="25"/>
      <c r="N10" s="25">
        <v>41901</v>
      </c>
      <c r="O10" s="25">
        <v>41813</v>
      </c>
      <c r="P10" s="25">
        <v>41815</v>
      </c>
      <c r="Q10" s="25">
        <v>42146</v>
      </c>
      <c r="R10" s="25"/>
      <c r="S10" s="25"/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3">
        <v>106</v>
      </c>
      <c r="C11" s="74" t="s">
        <v>64</v>
      </c>
      <c r="D11" s="19">
        <v>2</v>
      </c>
      <c r="E11" s="25">
        <v>41781</v>
      </c>
      <c r="F11" s="25">
        <v>41785</v>
      </c>
      <c r="G11" s="25">
        <v>41786</v>
      </c>
      <c r="H11" s="25">
        <v>41786</v>
      </c>
      <c r="I11" s="75" t="s">
        <v>85</v>
      </c>
      <c r="J11" s="25">
        <v>41793</v>
      </c>
      <c r="K11" s="25">
        <v>41793</v>
      </c>
      <c r="L11" s="25">
        <v>41852</v>
      </c>
      <c r="M11" s="25">
        <v>41891</v>
      </c>
      <c r="N11" s="25">
        <v>41901</v>
      </c>
      <c r="O11" s="25">
        <v>41814</v>
      </c>
      <c r="P11" s="25">
        <v>41815</v>
      </c>
      <c r="Q11" s="25">
        <v>42146</v>
      </c>
      <c r="R11" s="25">
        <v>41946</v>
      </c>
      <c r="S11" s="25">
        <v>42048</v>
      </c>
      <c r="T11" s="74" t="s">
        <v>63</v>
      </c>
      <c r="U11" s="12">
        <v>42306</v>
      </c>
    </row>
    <row r="12" spans="2:48" ht="25.5">
      <c r="B12" s="73">
        <v>106</v>
      </c>
      <c r="C12" s="74" t="s">
        <v>64</v>
      </c>
      <c r="D12" s="19">
        <v>3</v>
      </c>
      <c r="E12" s="25">
        <v>41789</v>
      </c>
      <c r="F12" s="25">
        <v>41794</v>
      </c>
      <c r="G12" s="25">
        <v>41794</v>
      </c>
      <c r="H12" s="25">
        <v>41794</v>
      </c>
      <c r="I12" s="75" t="s">
        <v>86</v>
      </c>
      <c r="J12" s="25">
        <v>41801</v>
      </c>
      <c r="K12" s="25">
        <v>41904</v>
      </c>
      <c r="L12" s="25">
        <v>41860</v>
      </c>
      <c r="M12" s="25">
        <v>41904</v>
      </c>
      <c r="N12" s="25">
        <v>41909</v>
      </c>
      <c r="O12" s="25">
        <v>41810</v>
      </c>
      <c r="P12" s="25">
        <v>41815</v>
      </c>
      <c r="Q12" s="25">
        <v>42154</v>
      </c>
      <c r="T12" s="74" t="s">
        <v>63</v>
      </c>
      <c r="U12" s="12">
        <v>42306</v>
      </c>
    </row>
    <row r="13" spans="2:48" ht="25.5">
      <c r="B13" s="90">
        <v>106</v>
      </c>
      <c r="C13" s="91" t="s">
        <v>64</v>
      </c>
      <c r="D13" s="19">
        <v>4</v>
      </c>
      <c r="E13" s="25">
        <v>41824</v>
      </c>
      <c r="F13" s="25">
        <v>41827</v>
      </c>
      <c r="G13" s="25">
        <v>41830</v>
      </c>
      <c r="H13" s="25">
        <v>41830</v>
      </c>
      <c r="I13" s="75" t="s">
        <v>90</v>
      </c>
      <c r="J13" s="25">
        <v>41836</v>
      </c>
      <c r="K13" s="25">
        <v>41837</v>
      </c>
      <c r="L13" s="25">
        <v>41895</v>
      </c>
      <c r="M13" s="25">
        <v>41892</v>
      </c>
      <c r="N13" s="25">
        <v>41944</v>
      </c>
      <c r="O13" s="25">
        <v>41838</v>
      </c>
      <c r="P13" s="25">
        <v>41842</v>
      </c>
      <c r="Q13" s="25">
        <v>42189</v>
      </c>
      <c r="T13" s="91" t="s">
        <v>63</v>
      </c>
      <c r="U13" s="12">
        <v>42306</v>
      </c>
    </row>
    <row r="14" spans="2:48" ht="25.5">
      <c r="B14" s="90">
        <v>106</v>
      </c>
      <c r="C14" s="91" t="s">
        <v>64</v>
      </c>
      <c r="D14" s="19">
        <v>5</v>
      </c>
      <c r="E14" s="25">
        <v>41824</v>
      </c>
      <c r="F14" s="25">
        <v>41828</v>
      </c>
      <c r="G14" s="25">
        <v>41827</v>
      </c>
      <c r="H14" s="25">
        <v>41827</v>
      </c>
      <c r="I14" s="75" t="s">
        <v>83</v>
      </c>
      <c r="J14" s="25">
        <v>41836</v>
      </c>
      <c r="K14" s="25">
        <v>41844</v>
      </c>
      <c r="L14" s="25">
        <v>41895</v>
      </c>
      <c r="N14" s="25">
        <v>41944</v>
      </c>
      <c r="O14" s="25">
        <v>41862</v>
      </c>
      <c r="P14" s="25">
        <v>41864</v>
      </c>
      <c r="Q14" s="25">
        <v>42189</v>
      </c>
      <c r="T14" s="91" t="s">
        <v>63</v>
      </c>
      <c r="U14" s="12">
        <v>42306</v>
      </c>
    </row>
    <row r="15" spans="2:48" ht="25.5">
      <c r="B15" s="92">
        <v>106</v>
      </c>
      <c r="C15" s="93" t="s">
        <v>64</v>
      </c>
      <c r="D15" s="19">
        <v>6</v>
      </c>
      <c r="I15" s="75" t="s">
        <v>57</v>
      </c>
      <c r="T15" s="93" t="s">
        <v>63</v>
      </c>
      <c r="U15" s="12">
        <v>42306</v>
      </c>
    </row>
    <row r="16" spans="2:48" ht="25.5">
      <c r="B16" s="92">
        <v>106</v>
      </c>
      <c r="C16" s="93" t="s">
        <v>64</v>
      </c>
      <c r="D16" s="19">
        <v>7</v>
      </c>
      <c r="I16" s="75" t="s">
        <v>57</v>
      </c>
      <c r="T16" s="93" t="s">
        <v>63</v>
      </c>
      <c r="U16" s="12">
        <v>42306</v>
      </c>
    </row>
    <row r="17" spans="2:21" ht="25.5">
      <c r="B17" s="92">
        <v>106</v>
      </c>
      <c r="C17" s="93" t="s">
        <v>64</v>
      </c>
      <c r="D17" s="19">
        <v>8</v>
      </c>
      <c r="I17" s="75" t="s">
        <v>57</v>
      </c>
      <c r="T17" s="93" t="s">
        <v>63</v>
      </c>
      <c r="U17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D7" sqref="D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2" t="s">
        <v>16</v>
      </c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4"/>
      <c r="M3" s="104"/>
      <c r="N3" s="104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7" t="s">
        <v>58</v>
      </c>
      <c r="E4" s="117"/>
      <c r="F4" s="53">
        <f>$U$14</f>
        <v>42306</v>
      </c>
      <c r="G4" s="50"/>
      <c r="H4" s="50"/>
      <c r="I4" s="34"/>
      <c r="J4" s="50"/>
      <c r="K4" s="50"/>
      <c r="L4" s="69" t="s">
        <v>17</v>
      </c>
      <c r="M4" s="63">
        <f>$B$14</f>
        <v>110</v>
      </c>
      <c r="N4" s="105" t="str">
        <f>$C$14</f>
        <v>HUBER Gaby</v>
      </c>
      <c r="O4" s="105"/>
      <c r="P4" s="105"/>
      <c r="Q4" s="105"/>
      <c r="R4" s="105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6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8" t="s">
        <v>19</v>
      </c>
      <c r="F7" s="109"/>
      <c r="G7" s="109"/>
      <c r="H7" s="109"/>
      <c r="I7" s="109"/>
      <c r="J7" s="110" t="s">
        <v>20</v>
      </c>
      <c r="K7" s="111"/>
      <c r="L7" s="112" t="s">
        <v>21</v>
      </c>
      <c r="M7" s="112"/>
      <c r="N7" s="113" t="s">
        <v>22</v>
      </c>
      <c r="O7" s="114"/>
      <c r="P7" s="115"/>
      <c r="Q7" s="116" t="s">
        <v>23</v>
      </c>
      <c r="R7" s="114"/>
      <c r="S7" s="11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110</v>
      </c>
      <c r="C10" s="42" t="s">
        <v>73</v>
      </c>
      <c r="D10" s="19">
        <v>1</v>
      </c>
      <c r="E10" s="25">
        <v>41789</v>
      </c>
      <c r="F10" s="25">
        <v>41793</v>
      </c>
      <c r="G10" s="25">
        <v>41793</v>
      </c>
      <c r="H10" s="25">
        <v>41793</v>
      </c>
      <c r="I10" s="44" t="s">
        <v>87</v>
      </c>
      <c r="J10" s="25">
        <v>41801</v>
      </c>
      <c r="K10" s="25">
        <v>41814</v>
      </c>
      <c r="L10" s="25">
        <v>41860</v>
      </c>
      <c r="M10" s="25">
        <v>41869</v>
      </c>
      <c r="N10" s="25">
        <v>41909</v>
      </c>
      <c r="O10" s="25">
        <v>41862</v>
      </c>
      <c r="P10" s="25">
        <v>41869</v>
      </c>
      <c r="Q10" s="25">
        <v>42154</v>
      </c>
      <c r="R10" s="25">
        <v>42044</v>
      </c>
      <c r="S10" s="25">
        <v>42047</v>
      </c>
      <c r="T10" s="42" t="s">
        <v>74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3">
        <v>110</v>
      </c>
      <c r="C11" s="74" t="s">
        <v>73</v>
      </c>
      <c r="D11" s="19">
        <v>2</v>
      </c>
      <c r="E11" s="25">
        <v>41793</v>
      </c>
      <c r="F11" s="25">
        <v>41795</v>
      </c>
      <c r="G11" s="25">
        <v>41795</v>
      </c>
      <c r="H11" s="25">
        <v>41795</v>
      </c>
      <c r="I11" s="44" t="s">
        <v>88</v>
      </c>
      <c r="J11" s="25">
        <v>41805</v>
      </c>
      <c r="K11" s="25">
        <v>41801</v>
      </c>
      <c r="L11" s="25">
        <v>41864</v>
      </c>
      <c r="M11" s="25">
        <v>41865</v>
      </c>
      <c r="N11" s="25">
        <v>41913</v>
      </c>
      <c r="O11" s="25">
        <v>41848</v>
      </c>
      <c r="P11" s="25">
        <v>41850</v>
      </c>
      <c r="Q11" s="25">
        <v>42158</v>
      </c>
      <c r="R11" s="25">
        <v>41890</v>
      </c>
      <c r="S11" s="25">
        <v>41892</v>
      </c>
      <c r="T11" s="74" t="s">
        <v>74</v>
      </c>
      <c r="U11" s="12">
        <v>42306</v>
      </c>
    </row>
    <row r="12" spans="2:48" ht="25.5">
      <c r="B12" s="73">
        <v>110</v>
      </c>
      <c r="C12" s="74" t="s">
        <v>73</v>
      </c>
      <c r="D12" s="19">
        <v>3</v>
      </c>
      <c r="E12" s="25">
        <v>41794</v>
      </c>
      <c r="F12" s="25">
        <v>41800</v>
      </c>
      <c r="G12" s="25">
        <v>41800</v>
      </c>
      <c r="H12" s="25">
        <v>41800</v>
      </c>
      <c r="I12" s="44" t="s">
        <v>89</v>
      </c>
      <c r="J12" s="25">
        <v>41806</v>
      </c>
      <c r="K12" s="25">
        <v>41803</v>
      </c>
      <c r="L12" s="25">
        <v>41865</v>
      </c>
      <c r="M12" s="25">
        <v>41862</v>
      </c>
      <c r="N12" s="25">
        <v>41914</v>
      </c>
      <c r="O12" s="25">
        <v>41838</v>
      </c>
      <c r="P12" s="25">
        <v>41841</v>
      </c>
      <c r="Q12" s="25">
        <v>42159</v>
      </c>
      <c r="R12" s="25">
        <v>42045</v>
      </c>
      <c r="S12" s="25">
        <v>42047</v>
      </c>
      <c r="T12" s="74" t="s">
        <v>74</v>
      </c>
      <c r="U12" s="12">
        <v>42306</v>
      </c>
    </row>
    <row r="13" spans="2:48" ht="25.5">
      <c r="B13" s="43">
        <v>110</v>
      </c>
      <c r="C13" s="72" t="s">
        <v>73</v>
      </c>
      <c r="D13" s="19">
        <v>4</v>
      </c>
      <c r="E13" s="25">
        <v>41806</v>
      </c>
      <c r="F13" s="25">
        <v>41809</v>
      </c>
      <c r="G13" s="25">
        <v>41809</v>
      </c>
      <c r="H13" s="25">
        <v>41809</v>
      </c>
      <c r="I13" s="44" t="s">
        <v>90</v>
      </c>
      <c r="J13" s="25">
        <v>41818</v>
      </c>
      <c r="K13" s="25">
        <v>41821</v>
      </c>
      <c r="L13" s="25">
        <v>41877</v>
      </c>
      <c r="M13" s="25">
        <v>41870</v>
      </c>
      <c r="N13" s="25">
        <v>41926</v>
      </c>
      <c r="O13" s="25">
        <v>41838</v>
      </c>
      <c r="P13" s="25">
        <v>41841</v>
      </c>
      <c r="Q13" s="25">
        <v>42171</v>
      </c>
      <c r="R13" s="25">
        <v>42044</v>
      </c>
      <c r="S13" s="25">
        <v>42047</v>
      </c>
      <c r="T13" s="72" t="s">
        <v>74</v>
      </c>
      <c r="U13" s="12">
        <v>42306</v>
      </c>
    </row>
    <row r="14" spans="2:48" ht="25.5">
      <c r="B14" s="43">
        <v>110</v>
      </c>
      <c r="C14" s="72" t="s">
        <v>73</v>
      </c>
      <c r="D14" s="19">
        <v>5</v>
      </c>
      <c r="E14" s="25">
        <v>41810</v>
      </c>
      <c r="F14" s="25">
        <v>41813</v>
      </c>
      <c r="G14" s="25">
        <v>41813</v>
      </c>
      <c r="H14" s="25">
        <v>41813</v>
      </c>
      <c r="I14" s="44" t="s">
        <v>91</v>
      </c>
      <c r="J14" s="25">
        <v>41822</v>
      </c>
      <c r="K14" s="25">
        <v>41822</v>
      </c>
      <c r="L14" s="25">
        <v>41881</v>
      </c>
      <c r="M14" s="25">
        <v>41879</v>
      </c>
      <c r="N14" s="25">
        <v>41930</v>
      </c>
      <c r="O14" s="25">
        <v>41842</v>
      </c>
      <c r="P14" s="25">
        <v>41845</v>
      </c>
      <c r="Q14" s="25">
        <v>42175</v>
      </c>
      <c r="R14" s="25">
        <v>41981</v>
      </c>
      <c r="S14" s="25">
        <v>41984</v>
      </c>
      <c r="T14" s="72" t="s">
        <v>74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K28" sqref="K28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2" t="s">
        <v>16</v>
      </c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4"/>
      <c r="M3" s="104"/>
      <c r="N3" s="104"/>
      <c r="O3" s="8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7" t="s">
        <v>58</v>
      </c>
      <c r="E4" s="117"/>
      <c r="F4" s="53">
        <f>$U$12</f>
        <v>42306</v>
      </c>
      <c r="G4" s="50"/>
      <c r="H4" s="50"/>
      <c r="I4" s="34"/>
      <c r="J4" s="50"/>
      <c r="K4" s="50"/>
      <c r="L4" s="81" t="s">
        <v>17</v>
      </c>
      <c r="M4" s="63">
        <f>$B$12</f>
        <v>299</v>
      </c>
      <c r="N4" s="105" t="str">
        <f>$C$12</f>
        <v>LEFAURE Catherine</v>
      </c>
      <c r="O4" s="105"/>
      <c r="P4" s="105"/>
      <c r="Q4" s="105"/>
      <c r="R4" s="105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6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8" t="s">
        <v>19</v>
      </c>
      <c r="F7" s="109"/>
      <c r="G7" s="109"/>
      <c r="H7" s="109"/>
      <c r="I7" s="109"/>
      <c r="J7" s="110" t="s">
        <v>20</v>
      </c>
      <c r="K7" s="111"/>
      <c r="L7" s="112" t="s">
        <v>21</v>
      </c>
      <c r="M7" s="112"/>
      <c r="N7" s="113" t="s">
        <v>22</v>
      </c>
      <c r="O7" s="114"/>
      <c r="P7" s="115"/>
      <c r="Q7" s="116" t="s">
        <v>23</v>
      </c>
      <c r="R7" s="114"/>
      <c r="S7" s="11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3" t="s">
        <v>32</v>
      </c>
      <c r="M8" s="83" t="s">
        <v>31</v>
      </c>
      <c r="N8" s="82" t="s">
        <v>33</v>
      </c>
      <c r="O8" s="82" t="s">
        <v>34</v>
      </c>
      <c r="P8" s="8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299</v>
      </c>
      <c r="C10" s="42" t="s">
        <v>78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43">
        <v>299</v>
      </c>
      <c r="C11" s="72" t="s">
        <v>78</v>
      </c>
      <c r="D11" s="19">
        <v>2</v>
      </c>
      <c r="I11" s="44" t="s">
        <v>57</v>
      </c>
      <c r="T11" s="72" t="s">
        <v>77</v>
      </c>
      <c r="U11" s="12">
        <v>42306</v>
      </c>
    </row>
    <row r="12" spans="2:48" ht="18.75" customHeight="1">
      <c r="B12" s="43">
        <v>299</v>
      </c>
      <c r="C12" s="72" t="s">
        <v>78</v>
      </c>
      <c r="D12" s="19">
        <v>3</v>
      </c>
      <c r="I12" s="44" t="s">
        <v>57</v>
      </c>
      <c r="T12" s="72" t="s">
        <v>77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H17" sqref="H1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2" t="s">
        <v>16</v>
      </c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4"/>
      <c r="M3" s="104"/>
      <c r="N3" s="104"/>
      <c r="O3" s="8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7" t="s">
        <v>58</v>
      </c>
      <c r="E4" s="117"/>
      <c r="F4" s="53">
        <f>$U$12</f>
        <v>42306</v>
      </c>
      <c r="G4" s="50"/>
      <c r="H4" s="50"/>
      <c r="I4" s="34"/>
      <c r="J4" s="50"/>
      <c r="K4" s="50"/>
      <c r="L4" s="81" t="s">
        <v>17</v>
      </c>
      <c r="M4" s="63">
        <f>$B$12</f>
        <v>335</v>
      </c>
      <c r="N4" s="105" t="str">
        <f>$C$12</f>
        <v>NICOLAS Cristèle</v>
      </c>
      <c r="O4" s="105"/>
      <c r="P4" s="105"/>
      <c r="Q4" s="105"/>
      <c r="R4" s="105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6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8" t="s">
        <v>19</v>
      </c>
      <c r="F7" s="109"/>
      <c r="G7" s="109"/>
      <c r="H7" s="109"/>
      <c r="I7" s="109"/>
      <c r="J7" s="110" t="s">
        <v>20</v>
      </c>
      <c r="K7" s="111"/>
      <c r="L7" s="112" t="s">
        <v>21</v>
      </c>
      <c r="M7" s="112"/>
      <c r="N7" s="113" t="s">
        <v>22</v>
      </c>
      <c r="O7" s="114"/>
      <c r="P7" s="115"/>
      <c r="Q7" s="116" t="s">
        <v>23</v>
      </c>
      <c r="R7" s="114"/>
      <c r="S7" s="11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3" t="s">
        <v>32</v>
      </c>
      <c r="M8" s="83" t="s">
        <v>31</v>
      </c>
      <c r="N8" s="82" t="s">
        <v>33</v>
      </c>
      <c r="O8" s="82" t="s">
        <v>34</v>
      </c>
      <c r="P8" s="8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335</v>
      </c>
      <c r="C10" s="42" t="s">
        <v>80</v>
      </c>
      <c r="D10" s="19">
        <v>1</v>
      </c>
      <c r="E10" s="25">
        <v>41806</v>
      </c>
      <c r="F10" s="25">
        <v>41808</v>
      </c>
      <c r="G10" s="25">
        <v>41808</v>
      </c>
      <c r="H10" s="25">
        <v>41808</v>
      </c>
      <c r="I10" s="44" t="s">
        <v>92</v>
      </c>
      <c r="J10" s="25">
        <v>41818</v>
      </c>
      <c r="K10" s="25">
        <v>41835</v>
      </c>
      <c r="L10" s="25">
        <v>41877</v>
      </c>
      <c r="M10" s="25">
        <v>41880</v>
      </c>
      <c r="N10" s="25">
        <v>41926</v>
      </c>
      <c r="O10" s="25">
        <v>41901</v>
      </c>
      <c r="P10" s="25">
        <v>41912</v>
      </c>
      <c r="Q10" s="25">
        <v>42171</v>
      </c>
      <c r="R10" s="25">
        <v>41977</v>
      </c>
      <c r="S10" s="25">
        <v>41992</v>
      </c>
      <c r="T10" s="42" t="s">
        <v>79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43">
        <v>335</v>
      </c>
      <c r="C11" s="72" t="s">
        <v>80</v>
      </c>
      <c r="D11" s="19">
        <v>2</v>
      </c>
      <c r="E11" s="25">
        <v>41813</v>
      </c>
      <c r="F11" s="25">
        <v>41817</v>
      </c>
      <c r="G11" s="25">
        <v>41817</v>
      </c>
      <c r="H11" s="25">
        <v>41817</v>
      </c>
      <c r="I11" s="44" t="s">
        <v>96</v>
      </c>
      <c r="J11" s="25">
        <v>41825</v>
      </c>
      <c r="K11" s="25">
        <v>41967</v>
      </c>
      <c r="L11" s="25">
        <v>41884</v>
      </c>
      <c r="M11" s="25">
        <v>42020</v>
      </c>
      <c r="N11" s="25">
        <v>41933</v>
      </c>
      <c r="O11" s="25">
        <v>42009</v>
      </c>
      <c r="P11" s="25">
        <v>42013</v>
      </c>
      <c r="Q11" s="25">
        <v>42178</v>
      </c>
      <c r="T11" s="72" t="s">
        <v>79</v>
      </c>
      <c r="U11" s="12">
        <v>42306</v>
      </c>
    </row>
    <row r="12" spans="2:48" ht="18.75" customHeight="1">
      <c r="B12" s="43">
        <v>335</v>
      </c>
      <c r="C12" s="72" t="s">
        <v>80</v>
      </c>
      <c r="D12" s="19">
        <v>3</v>
      </c>
      <c r="E12" s="25">
        <v>41988</v>
      </c>
      <c r="F12" s="25">
        <v>41992</v>
      </c>
      <c r="H12" s="25">
        <v>41992</v>
      </c>
      <c r="I12" s="44" t="s">
        <v>94</v>
      </c>
      <c r="J12" s="25">
        <v>42000</v>
      </c>
      <c r="L12" s="25">
        <v>42059</v>
      </c>
      <c r="N12" s="25">
        <v>42108</v>
      </c>
      <c r="Q12" s="25">
        <v>42353</v>
      </c>
      <c r="T12" s="72" t="s">
        <v>79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B1:AV19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2" t="s">
        <v>16</v>
      </c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4"/>
      <c r="M3" s="104"/>
      <c r="N3" s="104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7" t="s">
        <v>58</v>
      </c>
      <c r="E4" s="117"/>
      <c r="F4" s="53">
        <f>$U$19</f>
        <v>42306</v>
      </c>
      <c r="G4" s="50"/>
      <c r="H4" s="50"/>
      <c r="I4" s="34"/>
      <c r="J4" s="50"/>
      <c r="K4" s="50"/>
      <c r="L4" s="65" t="s">
        <v>17</v>
      </c>
      <c r="M4" s="63">
        <f>$B$19</f>
        <v>107</v>
      </c>
      <c r="N4" s="105" t="str">
        <f>$C$19</f>
        <v>PEYRON Eric</v>
      </c>
      <c r="O4" s="105"/>
      <c r="P4" s="105"/>
      <c r="Q4" s="105"/>
      <c r="R4" s="105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6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8" t="s">
        <v>19</v>
      </c>
      <c r="F7" s="109"/>
      <c r="G7" s="109"/>
      <c r="H7" s="109"/>
      <c r="I7" s="109"/>
      <c r="J7" s="110" t="s">
        <v>20</v>
      </c>
      <c r="K7" s="111"/>
      <c r="L7" s="112" t="s">
        <v>21</v>
      </c>
      <c r="M7" s="112"/>
      <c r="N7" s="113" t="s">
        <v>22</v>
      </c>
      <c r="O7" s="114"/>
      <c r="P7" s="115"/>
      <c r="Q7" s="116" t="s">
        <v>23</v>
      </c>
      <c r="R7" s="114"/>
      <c r="S7" s="11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107</v>
      </c>
      <c r="C10" s="42" t="s">
        <v>66</v>
      </c>
      <c r="D10" s="19">
        <v>1</v>
      </c>
      <c r="E10" s="25">
        <v>41745</v>
      </c>
      <c r="F10" s="25">
        <v>41751</v>
      </c>
      <c r="G10" s="25">
        <v>41751</v>
      </c>
      <c r="H10" s="25">
        <v>41751</v>
      </c>
      <c r="I10" s="44" t="s">
        <v>94</v>
      </c>
      <c r="J10" s="25">
        <v>41757</v>
      </c>
      <c r="K10" s="25">
        <v>41765</v>
      </c>
      <c r="L10" s="25">
        <v>41816</v>
      </c>
      <c r="M10" s="25">
        <v>41822</v>
      </c>
      <c r="N10" s="25">
        <v>41865</v>
      </c>
      <c r="O10" s="25">
        <v>41823</v>
      </c>
      <c r="P10" s="25">
        <v>41827</v>
      </c>
      <c r="Q10" s="25">
        <v>42110</v>
      </c>
      <c r="R10" s="25">
        <v>41921</v>
      </c>
      <c r="S10" s="25">
        <v>41925</v>
      </c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3">
        <v>107</v>
      </c>
      <c r="C11" s="74" t="s">
        <v>66</v>
      </c>
      <c r="D11" s="19">
        <v>2</v>
      </c>
      <c r="E11" s="25">
        <v>41752</v>
      </c>
      <c r="F11" s="25">
        <v>41753</v>
      </c>
      <c r="G11" s="25">
        <v>41753</v>
      </c>
      <c r="H11" s="25">
        <v>41754</v>
      </c>
      <c r="I11" s="75" t="s">
        <v>90</v>
      </c>
      <c r="J11" s="25">
        <v>41764</v>
      </c>
      <c r="K11" s="25">
        <v>41761</v>
      </c>
      <c r="L11" s="25">
        <v>41823</v>
      </c>
      <c r="M11" s="25">
        <v>41821</v>
      </c>
      <c r="N11" s="25">
        <v>41872</v>
      </c>
      <c r="O11" s="25">
        <v>41843</v>
      </c>
      <c r="P11" s="25">
        <v>41845</v>
      </c>
      <c r="Q11" s="25">
        <v>42117</v>
      </c>
      <c r="R11" s="25">
        <v>41927</v>
      </c>
      <c r="S11" s="25">
        <v>41929</v>
      </c>
      <c r="T11" s="74" t="s">
        <v>65</v>
      </c>
      <c r="U11" s="12">
        <v>42306</v>
      </c>
    </row>
    <row r="12" spans="2:48" ht="25.5">
      <c r="B12" s="73">
        <v>107</v>
      </c>
      <c r="C12" s="74" t="s">
        <v>66</v>
      </c>
      <c r="D12" s="19">
        <v>3</v>
      </c>
      <c r="E12" s="25">
        <v>41757</v>
      </c>
      <c r="F12" s="25">
        <v>41759</v>
      </c>
      <c r="G12" s="25">
        <v>41759</v>
      </c>
      <c r="H12" s="25">
        <v>41780</v>
      </c>
      <c r="I12" s="75" t="s">
        <v>87</v>
      </c>
      <c r="J12" s="25">
        <v>41769</v>
      </c>
      <c r="K12" s="25">
        <v>41780</v>
      </c>
      <c r="L12" s="25">
        <v>41828</v>
      </c>
      <c r="M12" s="25">
        <v>41863</v>
      </c>
      <c r="N12" s="25">
        <v>41877</v>
      </c>
      <c r="O12" s="25">
        <v>41794</v>
      </c>
      <c r="P12" s="25">
        <v>41796</v>
      </c>
      <c r="Q12" s="25">
        <v>42122</v>
      </c>
      <c r="R12" s="25">
        <v>41936</v>
      </c>
      <c r="S12" s="25">
        <v>41939</v>
      </c>
      <c r="T12" s="74" t="s">
        <v>65</v>
      </c>
      <c r="U12" s="12">
        <v>42306</v>
      </c>
    </row>
    <row r="13" spans="2:48" ht="25.5">
      <c r="B13" s="73">
        <v>107</v>
      </c>
      <c r="C13" s="74" t="s">
        <v>66</v>
      </c>
      <c r="D13" s="19">
        <v>4</v>
      </c>
      <c r="E13" s="25">
        <v>41773</v>
      </c>
      <c r="F13" s="25">
        <v>41774</v>
      </c>
      <c r="G13" s="25">
        <v>41774</v>
      </c>
      <c r="H13" s="25">
        <v>41774</v>
      </c>
      <c r="I13" s="75" t="s">
        <v>93</v>
      </c>
      <c r="J13" s="25">
        <v>41785</v>
      </c>
      <c r="K13" s="25">
        <v>41781</v>
      </c>
      <c r="L13" s="25">
        <v>41844</v>
      </c>
      <c r="M13" s="25">
        <v>41897</v>
      </c>
      <c r="N13" s="25">
        <v>41893</v>
      </c>
      <c r="O13" s="25">
        <v>41822</v>
      </c>
      <c r="P13" s="25">
        <v>41823</v>
      </c>
      <c r="Q13" s="25">
        <v>42138</v>
      </c>
      <c r="R13" s="25">
        <v>41928</v>
      </c>
      <c r="S13" s="25">
        <v>41932</v>
      </c>
      <c r="T13" s="74" t="s">
        <v>65</v>
      </c>
      <c r="U13" s="12">
        <v>42306</v>
      </c>
    </row>
    <row r="14" spans="2:48" ht="25.5">
      <c r="B14" s="73">
        <v>107</v>
      </c>
      <c r="C14" s="74" t="s">
        <v>66</v>
      </c>
      <c r="D14" s="19">
        <v>5</v>
      </c>
      <c r="E14" s="25">
        <v>41774</v>
      </c>
      <c r="F14" s="25">
        <v>41778</v>
      </c>
      <c r="G14" s="25">
        <v>41778</v>
      </c>
      <c r="H14" s="25">
        <v>41779</v>
      </c>
      <c r="I14" s="75" t="s">
        <v>83</v>
      </c>
      <c r="J14" s="25">
        <v>41786</v>
      </c>
      <c r="L14" s="25">
        <v>41845</v>
      </c>
      <c r="N14" s="25">
        <v>41894</v>
      </c>
      <c r="O14" s="25">
        <v>41851</v>
      </c>
      <c r="P14" s="25">
        <v>41855</v>
      </c>
      <c r="Q14" s="25">
        <v>42139</v>
      </c>
      <c r="R14" s="25">
        <v>41935</v>
      </c>
      <c r="S14" s="25">
        <v>41936</v>
      </c>
      <c r="T14" s="74" t="s">
        <v>65</v>
      </c>
      <c r="U14" s="12">
        <v>42306</v>
      </c>
    </row>
    <row r="15" spans="2:48" ht="25.5">
      <c r="B15" s="92">
        <v>107</v>
      </c>
      <c r="C15" s="93" t="s">
        <v>66</v>
      </c>
      <c r="D15" s="19">
        <v>6</v>
      </c>
      <c r="E15" s="25">
        <v>41962</v>
      </c>
      <c r="F15" s="25">
        <v>41963</v>
      </c>
      <c r="G15" s="25">
        <v>41963</v>
      </c>
      <c r="H15" s="25">
        <v>41963</v>
      </c>
      <c r="I15" s="75" t="s">
        <v>87</v>
      </c>
      <c r="J15" s="25">
        <v>41974</v>
      </c>
      <c r="K15" s="25">
        <v>41977</v>
      </c>
      <c r="L15" s="25">
        <v>42033</v>
      </c>
      <c r="M15" s="25">
        <v>42026</v>
      </c>
      <c r="N15" s="25">
        <v>42082</v>
      </c>
      <c r="O15" s="25">
        <v>42033</v>
      </c>
      <c r="P15" s="25">
        <v>42034</v>
      </c>
      <c r="Q15" s="25">
        <v>42327</v>
      </c>
      <c r="R15" s="25">
        <v>42123</v>
      </c>
      <c r="S15" s="25">
        <v>42124</v>
      </c>
      <c r="T15" s="93" t="s">
        <v>65</v>
      </c>
      <c r="U15" s="12">
        <v>42306</v>
      </c>
    </row>
    <row r="16" spans="2:48" ht="25.5">
      <c r="B16" s="92">
        <v>107</v>
      </c>
      <c r="C16" s="93" t="s">
        <v>66</v>
      </c>
      <c r="D16" s="19">
        <v>7</v>
      </c>
      <c r="E16" s="25">
        <v>41967</v>
      </c>
      <c r="F16" s="25">
        <v>41968</v>
      </c>
      <c r="G16" s="25">
        <v>41968</v>
      </c>
      <c r="H16" s="25">
        <v>41968</v>
      </c>
      <c r="I16" s="75" t="s">
        <v>85</v>
      </c>
      <c r="J16" s="25">
        <v>41979</v>
      </c>
      <c r="K16" s="25">
        <v>41983</v>
      </c>
      <c r="L16" s="25">
        <v>42038</v>
      </c>
      <c r="M16" s="25">
        <v>42034</v>
      </c>
      <c r="N16" s="25">
        <v>42087</v>
      </c>
      <c r="O16" s="25">
        <v>42033</v>
      </c>
      <c r="P16" s="25">
        <v>42034</v>
      </c>
      <c r="Q16" s="25">
        <v>42332</v>
      </c>
      <c r="R16" s="25">
        <v>42121</v>
      </c>
      <c r="S16" s="25">
        <v>42124</v>
      </c>
      <c r="T16" s="93" t="s">
        <v>65</v>
      </c>
      <c r="U16" s="12">
        <v>42306</v>
      </c>
    </row>
    <row r="17" spans="2:21" ht="25.5">
      <c r="B17" s="92">
        <v>107</v>
      </c>
      <c r="C17" s="93" t="s">
        <v>66</v>
      </c>
      <c r="D17" s="19">
        <v>8</v>
      </c>
      <c r="E17" s="25">
        <v>41971</v>
      </c>
      <c r="F17" s="25">
        <v>41974</v>
      </c>
      <c r="G17" s="25">
        <v>41974</v>
      </c>
      <c r="H17" s="25">
        <v>41974</v>
      </c>
      <c r="I17" s="75" t="s">
        <v>85</v>
      </c>
      <c r="J17" s="25">
        <v>41983</v>
      </c>
      <c r="K17" s="25">
        <v>41991</v>
      </c>
      <c r="L17" s="25">
        <v>42042</v>
      </c>
      <c r="M17" s="25">
        <v>42045</v>
      </c>
      <c r="N17" s="25">
        <v>42091</v>
      </c>
      <c r="O17" s="25">
        <v>42040</v>
      </c>
      <c r="P17" s="25">
        <v>42044</v>
      </c>
      <c r="Q17" s="25">
        <v>42336</v>
      </c>
      <c r="R17" s="25">
        <v>42128</v>
      </c>
      <c r="S17" s="25">
        <v>42129</v>
      </c>
      <c r="T17" s="93" t="s">
        <v>65</v>
      </c>
      <c r="U17" s="12">
        <v>42306</v>
      </c>
    </row>
    <row r="18" spans="2:21" ht="25.5">
      <c r="B18" s="92">
        <v>107</v>
      </c>
      <c r="C18" s="93" t="s">
        <v>66</v>
      </c>
      <c r="D18" s="19">
        <v>9</v>
      </c>
      <c r="E18" s="25">
        <v>41974</v>
      </c>
      <c r="F18" s="25">
        <v>41975</v>
      </c>
      <c r="G18" s="25">
        <v>41975</v>
      </c>
      <c r="H18" s="25">
        <v>41975</v>
      </c>
      <c r="I18" s="75" t="s">
        <v>96</v>
      </c>
      <c r="J18" s="25">
        <v>41986</v>
      </c>
      <c r="K18" s="25">
        <v>41989</v>
      </c>
      <c r="L18" s="25">
        <v>42045</v>
      </c>
      <c r="M18" s="25">
        <v>42046</v>
      </c>
      <c r="N18" s="25">
        <v>42094</v>
      </c>
      <c r="O18" s="25">
        <v>42041</v>
      </c>
      <c r="P18" s="25">
        <v>42044</v>
      </c>
      <c r="Q18" s="25">
        <v>42339</v>
      </c>
      <c r="R18" s="25">
        <v>42144</v>
      </c>
      <c r="S18" s="25">
        <v>42146</v>
      </c>
      <c r="T18" s="93" t="s">
        <v>65</v>
      </c>
      <c r="U18" s="12">
        <v>42306</v>
      </c>
    </row>
    <row r="19" spans="2:21" ht="25.5">
      <c r="B19" s="92">
        <v>107</v>
      </c>
      <c r="C19" s="93" t="s">
        <v>66</v>
      </c>
      <c r="D19" s="19">
        <v>10</v>
      </c>
      <c r="E19" s="25">
        <v>41981</v>
      </c>
      <c r="F19" s="25">
        <v>41982</v>
      </c>
      <c r="G19" s="25">
        <v>41982</v>
      </c>
      <c r="H19" s="25">
        <v>41982</v>
      </c>
      <c r="I19" s="75" t="s">
        <v>87</v>
      </c>
      <c r="J19" s="25">
        <v>41993</v>
      </c>
      <c r="K19" s="25">
        <v>42011</v>
      </c>
      <c r="L19" s="25">
        <v>42052</v>
      </c>
      <c r="M19" s="25">
        <v>42068</v>
      </c>
      <c r="N19" s="25">
        <v>42101</v>
      </c>
      <c r="O19" s="25">
        <v>42034</v>
      </c>
      <c r="P19" s="25">
        <v>42037</v>
      </c>
      <c r="Q19" s="25">
        <v>42346</v>
      </c>
      <c r="R19" s="25">
        <v>42152</v>
      </c>
      <c r="S19" s="25">
        <v>42167</v>
      </c>
      <c r="T19" s="93" t="s">
        <v>65</v>
      </c>
      <c r="U19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2" t="s">
        <v>16</v>
      </c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4"/>
      <c r="M3" s="104"/>
      <c r="N3" s="104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7" t="s">
        <v>58</v>
      </c>
      <c r="E4" s="117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104</v>
      </c>
      <c r="N4" s="105" t="str">
        <f>$C$12</f>
        <v>PINAULT Anne-Lise</v>
      </c>
      <c r="O4" s="105"/>
      <c r="P4" s="105"/>
      <c r="Q4" s="105"/>
      <c r="R4" s="105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6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8" t="s">
        <v>19</v>
      </c>
      <c r="F7" s="109"/>
      <c r="G7" s="109"/>
      <c r="H7" s="109"/>
      <c r="I7" s="109"/>
      <c r="J7" s="110" t="s">
        <v>20</v>
      </c>
      <c r="K7" s="111"/>
      <c r="L7" s="112" t="s">
        <v>21</v>
      </c>
      <c r="M7" s="112"/>
      <c r="N7" s="113" t="s">
        <v>22</v>
      </c>
      <c r="O7" s="114"/>
      <c r="P7" s="115"/>
      <c r="Q7" s="116" t="s">
        <v>23</v>
      </c>
      <c r="R7" s="114"/>
      <c r="S7" s="11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104</v>
      </c>
      <c r="C10" s="42" t="s">
        <v>68</v>
      </c>
      <c r="D10" s="19">
        <v>1</v>
      </c>
      <c r="E10" s="25">
        <v>41886</v>
      </c>
      <c r="F10" s="25">
        <v>41891</v>
      </c>
      <c r="G10" s="25">
        <v>41906</v>
      </c>
      <c r="H10" s="25"/>
      <c r="I10" s="44" t="s">
        <v>57</v>
      </c>
      <c r="J10" s="25">
        <v>41898</v>
      </c>
      <c r="K10" s="25">
        <v>41906</v>
      </c>
      <c r="L10" s="25">
        <v>41957</v>
      </c>
      <c r="M10" s="25">
        <v>41948</v>
      </c>
      <c r="N10" s="25">
        <v>42006</v>
      </c>
      <c r="O10" s="25">
        <v>41926</v>
      </c>
      <c r="P10" s="25">
        <v>41928</v>
      </c>
      <c r="Q10" s="25">
        <v>42251</v>
      </c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43">
        <v>104</v>
      </c>
      <c r="C11" s="72" t="s">
        <v>68</v>
      </c>
      <c r="D11" s="19">
        <v>2</v>
      </c>
      <c r="E11" s="25">
        <v>41963</v>
      </c>
      <c r="F11" s="25">
        <v>41967</v>
      </c>
      <c r="G11" s="25">
        <v>41967</v>
      </c>
      <c r="I11" s="44" t="s">
        <v>57</v>
      </c>
      <c r="J11" s="25">
        <v>41975</v>
      </c>
      <c r="L11" s="25">
        <v>42034</v>
      </c>
      <c r="N11" s="25">
        <v>42083</v>
      </c>
      <c r="Q11" s="25">
        <v>42328</v>
      </c>
      <c r="T11" s="72" t="s">
        <v>67</v>
      </c>
      <c r="U11" s="12">
        <v>42306</v>
      </c>
    </row>
    <row r="12" spans="2:48" ht="18.75" customHeight="1">
      <c r="B12" s="43">
        <v>104</v>
      </c>
      <c r="C12" s="72" t="s">
        <v>68</v>
      </c>
      <c r="D12" s="19">
        <v>3</v>
      </c>
      <c r="I12" s="44" t="s">
        <v>57</v>
      </c>
      <c r="T12" s="72" t="s">
        <v>67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2" t="s">
        <v>16</v>
      </c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4"/>
      <c r="M3" s="104"/>
      <c r="N3" s="104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7" t="s">
        <v>58</v>
      </c>
      <c r="E4" s="117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105</v>
      </c>
      <c r="N4" s="105" t="str">
        <f>$C$12</f>
        <v>SCHNEIDER Jean-Joseph</v>
      </c>
      <c r="O4" s="105"/>
      <c r="P4" s="105"/>
      <c r="Q4" s="105"/>
      <c r="R4" s="105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6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8" t="s">
        <v>19</v>
      </c>
      <c r="F7" s="109"/>
      <c r="G7" s="109"/>
      <c r="H7" s="109"/>
      <c r="I7" s="109"/>
      <c r="J7" s="110" t="s">
        <v>20</v>
      </c>
      <c r="K7" s="111"/>
      <c r="L7" s="112" t="s">
        <v>21</v>
      </c>
      <c r="M7" s="112"/>
      <c r="N7" s="113" t="s">
        <v>22</v>
      </c>
      <c r="O7" s="114"/>
      <c r="P7" s="115"/>
      <c r="Q7" s="116" t="s">
        <v>23</v>
      </c>
      <c r="R7" s="114"/>
      <c r="S7" s="11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105</v>
      </c>
      <c r="C10" s="42" t="s">
        <v>70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73">
        <v>105</v>
      </c>
      <c r="C11" s="74" t="s">
        <v>70</v>
      </c>
      <c r="D11" s="19">
        <v>2</v>
      </c>
      <c r="I11" s="75" t="s">
        <v>57</v>
      </c>
      <c r="T11" s="74" t="s">
        <v>69</v>
      </c>
      <c r="U11" s="12">
        <v>42306</v>
      </c>
    </row>
    <row r="12" spans="2:48" ht="18.75" customHeight="1">
      <c r="B12" s="73">
        <v>105</v>
      </c>
      <c r="C12" s="74" t="s">
        <v>70</v>
      </c>
      <c r="D12" s="19">
        <v>3</v>
      </c>
      <c r="I12" s="75" t="s">
        <v>57</v>
      </c>
      <c r="T12" s="74" t="s">
        <v>69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2" t="s">
        <v>16</v>
      </c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4"/>
      <c r="M3" s="104"/>
      <c r="N3" s="104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7" t="s">
        <v>58</v>
      </c>
      <c r="E4" s="117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108</v>
      </c>
      <c r="N4" s="105" t="str">
        <f>$C$12</f>
        <v>THANRY Pascale</v>
      </c>
      <c r="O4" s="105"/>
      <c r="P4" s="105"/>
      <c r="Q4" s="105"/>
      <c r="R4" s="105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6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8" t="s">
        <v>19</v>
      </c>
      <c r="F7" s="109"/>
      <c r="G7" s="109"/>
      <c r="H7" s="109"/>
      <c r="I7" s="109"/>
      <c r="J7" s="110" t="s">
        <v>20</v>
      </c>
      <c r="K7" s="111"/>
      <c r="L7" s="112" t="s">
        <v>21</v>
      </c>
      <c r="M7" s="112"/>
      <c r="N7" s="113" t="s">
        <v>22</v>
      </c>
      <c r="O7" s="114"/>
      <c r="P7" s="115"/>
      <c r="Q7" s="116" t="s">
        <v>23</v>
      </c>
      <c r="R7" s="114"/>
      <c r="S7" s="11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108</v>
      </c>
      <c r="C10" s="42" t="s">
        <v>72</v>
      </c>
      <c r="D10" s="19">
        <v>1</v>
      </c>
      <c r="E10" s="25">
        <v>41755</v>
      </c>
      <c r="F10" s="25">
        <v>41758</v>
      </c>
      <c r="G10" s="25">
        <v>41758</v>
      </c>
      <c r="H10" s="25">
        <v>41761</v>
      </c>
      <c r="I10" s="44" t="s">
        <v>87</v>
      </c>
      <c r="J10" s="25">
        <v>41767</v>
      </c>
      <c r="K10" s="25">
        <v>41765</v>
      </c>
      <c r="L10" s="25">
        <v>41826</v>
      </c>
      <c r="M10" s="25">
        <v>41863</v>
      </c>
      <c r="N10" s="25">
        <v>41875</v>
      </c>
      <c r="O10" s="25">
        <v>41790</v>
      </c>
      <c r="P10" s="25">
        <v>41793</v>
      </c>
      <c r="Q10" s="25">
        <v>42120</v>
      </c>
      <c r="R10" s="25">
        <v>41951</v>
      </c>
      <c r="S10" s="25">
        <v>41955</v>
      </c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73">
        <v>108</v>
      </c>
      <c r="C11" s="74" t="s">
        <v>72</v>
      </c>
      <c r="D11" s="19">
        <v>2</v>
      </c>
      <c r="E11" s="25">
        <v>41757</v>
      </c>
      <c r="F11" s="25">
        <v>41759</v>
      </c>
      <c r="G11" s="25">
        <v>41759</v>
      </c>
      <c r="H11" s="25">
        <v>41761</v>
      </c>
      <c r="I11" s="75" t="s">
        <v>82</v>
      </c>
      <c r="J11" s="25">
        <v>41769</v>
      </c>
      <c r="K11" s="25">
        <v>41771</v>
      </c>
      <c r="L11" s="25">
        <v>41828</v>
      </c>
      <c r="M11" s="25">
        <v>41822</v>
      </c>
      <c r="N11" s="25">
        <v>41877</v>
      </c>
      <c r="P11" s="25">
        <v>41793</v>
      </c>
      <c r="Q11" s="25">
        <v>42122</v>
      </c>
      <c r="R11" s="25">
        <v>42010</v>
      </c>
      <c r="S11" s="25">
        <v>42012</v>
      </c>
      <c r="T11" s="74" t="s">
        <v>71</v>
      </c>
      <c r="U11" s="12">
        <v>42306</v>
      </c>
    </row>
    <row r="12" spans="2:48" ht="18.75" customHeight="1">
      <c r="B12" s="73">
        <v>108</v>
      </c>
      <c r="C12" s="74" t="s">
        <v>72</v>
      </c>
      <c r="D12" s="19">
        <v>3</v>
      </c>
      <c r="E12" s="25">
        <v>41850</v>
      </c>
      <c r="F12" s="25">
        <v>41852</v>
      </c>
      <c r="G12" s="25">
        <v>41865</v>
      </c>
      <c r="H12" s="25">
        <v>41855</v>
      </c>
      <c r="I12" s="75" t="s">
        <v>87</v>
      </c>
      <c r="J12" s="25">
        <v>41862</v>
      </c>
      <c r="K12" s="25">
        <v>41865</v>
      </c>
      <c r="L12" s="25">
        <v>41921</v>
      </c>
      <c r="M12" s="25">
        <v>41950</v>
      </c>
      <c r="N12" s="25">
        <v>41970</v>
      </c>
      <c r="O12" s="25">
        <v>41862</v>
      </c>
      <c r="P12" s="25">
        <v>41864</v>
      </c>
      <c r="Q12" s="25">
        <v>42215</v>
      </c>
      <c r="R12" s="25">
        <v>41948</v>
      </c>
      <c r="S12" s="25">
        <v>41950</v>
      </c>
      <c r="T12" s="74" t="s">
        <v>71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Secteur DE0202</vt:lpstr>
      <vt:lpstr>00284997</vt:lpstr>
      <vt:lpstr>01209225</vt:lpstr>
      <vt:lpstr>04147920</vt:lpstr>
      <vt:lpstr>04661527</vt:lpstr>
      <vt:lpstr>05572088</vt:lpstr>
      <vt:lpstr>06970888</vt:lpstr>
      <vt:lpstr>07268753</vt:lpstr>
      <vt:lpstr>07518244</vt:lpstr>
      <vt:lpstr>08357270</vt:lpstr>
      <vt:lpstr>08772222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2015-10-29T22:01:47Z</dcterms:modified>
</cp:coreProperties>
</file>