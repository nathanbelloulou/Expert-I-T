
<file path=[Content_Types].xml><?xml version="1.0" encoding="utf-8"?>
<Types xmlns="http://schemas.openxmlformats.org/package/2006/content-types">
  <Override PartName="/xl/worksheets/sheet15.xml" ContentType="application/vnd.openxmlformats-officedocument.spreadsheetml.worksheet+xml"/>
  <Override PartName="/xl/queryTables/queryTable1.xml" ContentType="application/vnd.openxmlformats-officedocument.spreadsheetml.queryTable+xml"/>
  <Override PartName="/xl/tables/table4.xml" ContentType="application/vnd.openxmlformats-officedocument.spreadsheetml.table+xml"/>
  <Override PartName="/xl/tables/table16.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queryTables/queryTable19.xml" ContentType="application/vnd.openxmlformats-officedocument.spreadsheetml.queryTable+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tables/table12.xml" ContentType="application/vnd.openxmlformats-officedocument.spreadsheetml.table+xml"/>
  <Override PartName="/xl/queryTables/queryTable17.xml" ContentType="application/vnd.openxmlformats-officedocument.spreadsheetml.query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queryTables/queryTable15.xml" ContentType="application/vnd.openxmlformats-officedocument.spreadsheetml.queryTable+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queryTables/queryTable9.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worksheets/sheet1.xml" ContentType="application/vnd.openxmlformats-officedocument.spreadsheetml.worksheet+xml"/>
  <Override PartName="/xl/queryTables/queryTable7.xml" ContentType="application/vnd.openxmlformats-officedocument.spreadsheetml.query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20.xml" ContentType="application/vnd.openxmlformats-officedocument.spreadsheetml.queryTable+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19.xml" ContentType="application/vnd.openxmlformats-officedocument.spreadsheetml.table+xml"/>
  <Override PartName="/xl/worksheets/sheet17.xml" ContentType="application/vnd.openxmlformats-officedocument.spreadsheetml.worksheet+xml"/>
  <Override PartName="/xl/worksheets/sheet18.xml" ContentType="application/vnd.openxmlformats-officedocument.spreadsheetml.worksheet+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queryTables/queryTable2.xml" ContentType="application/vnd.openxmlformats-officedocument.spreadsheetml.queryTable+xml"/>
  <Override PartName="/xl/tables/table3.xml" ContentType="application/vnd.openxmlformats-officedocument.spreadsheetml.table+xml"/>
  <Override PartName="/xl/tables/table15.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queryTables/queryTable18.xml" ContentType="application/vnd.openxmlformats-officedocument.spreadsheetml.query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queryTables/queryTable16.xml" ContentType="application/vnd.openxmlformats-officedocument.spreadsheetml.queryTable+xml"/>
  <Override PartName="/xl/tables/table2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queryTables/queryTable14.xml" ContentType="application/vnd.openxmlformats-officedocument.spreadsheetml.queryTable+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80" yWindow="-150" windowWidth="15480" windowHeight="7740" tabRatio="835"/>
  </bookViews>
  <sheets>
    <sheet name="Secteur DE0204" sheetId="1" r:id="rId1"/>
    <sheet name="00280610" sheetId="14" r:id="rId2"/>
    <sheet name="01445695" sheetId="13" r:id="rId3"/>
    <sheet name="01202442" sheetId="2" r:id="rId4"/>
    <sheet name="04334496" sheetId="3" r:id="rId5"/>
    <sheet name="03298413" sheetId="4" r:id="rId6"/>
    <sheet name="02862230" sheetId="5" r:id="rId7"/>
    <sheet name="03573010" sheetId="16" r:id="rId8"/>
    <sheet name="04846389" sheetId="6" r:id="rId9"/>
    <sheet name="05341053" sheetId="7" r:id="rId10"/>
    <sheet name="05554135" sheetId="20" r:id="rId11"/>
    <sheet name="05813840" sheetId="8" r:id="rId12"/>
    <sheet name="06108765" sheetId="17" r:id="rId13"/>
    <sheet name="06438968" sheetId="19" r:id="rId14"/>
    <sheet name="06704425" sheetId="9" r:id="rId15"/>
    <sheet name="07235285" sheetId="10" r:id="rId16"/>
    <sheet name="07938128" sheetId="11" r:id="rId17"/>
    <sheet name="09050139" sheetId="12" r:id="rId18"/>
    <sheet name="09204510" sheetId="15" r:id="rId19"/>
    <sheet name="06690580" sheetId="18" r:id="rId20"/>
  </sheets>
  <definedNames>
    <definedName name="Lancer_la_requête_à_partir_de_MS_Access_Database" localSheetId="1" hidden="1">'00280610'!$B$9:$U$13</definedName>
    <definedName name="Lancer_la_requête_à_partir_de_MS_Access_Database" localSheetId="3" hidden="1">'01202442'!$B$9:$U$14</definedName>
    <definedName name="Lancer_la_requête_à_partir_de_MS_Access_Database" localSheetId="2" hidden="1">'01445695'!$B$9:$U$12</definedName>
    <definedName name="Lancer_la_requête_à_partir_de_MS_Access_Database" localSheetId="6" hidden="1">'02862230'!$B$9:$U$12</definedName>
    <definedName name="Lancer_la_requête_à_partir_de_MS_Access_Database" localSheetId="5" hidden="1">'03298413'!$B$9:$U$14</definedName>
    <definedName name="Lancer_la_requête_à_partir_de_MS_Access_Database" localSheetId="7" hidden="1">'03573010'!$B$9:$U$10</definedName>
    <definedName name="Lancer_la_requête_à_partir_de_MS_Access_Database" localSheetId="4" hidden="1">'04334496'!$B$9:$U$12</definedName>
    <definedName name="Lancer_la_requête_à_partir_de_MS_Access_Database" localSheetId="8" hidden="1">'04846389'!$B$9:$U$12</definedName>
    <definedName name="Lancer_la_requête_à_partir_de_MS_Access_Database" localSheetId="9" hidden="1">'05341053'!$B$9:$U$14</definedName>
    <definedName name="Lancer_la_requête_à_partir_de_MS_Access_Database" localSheetId="10" hidden="1">'05554135'!$B$9:$U$12</definedName>
    <definedName name="Lancer_la_requête_à_partir_de_MS_Access_Database" localSheetId="11" hidden="1">'05813840'!$B$9:$U$14</definedName>
    <definedName name="Lancer_la_requête_à_partir_de_MS_Access_Database" localSheetId="12" hidden="1">'06108765'!$B$9:$U$12</definedName>
    <definedName name="Lancer_la_requête_à_partir_de_MS_Access_Database" localSheetId="13" hidden="1">'06438968'!$B$9:$U$12</definedName>
    <definedName name="Lancer_la_requête_à_partir_de_MS_Access_Database" localSheetId="19" hidden="1">'06690580'!$B$9:$U$12</definedName>
    <definedName name="Lancer_la_requête_à_partir_de_MS_Access_Database" localSheetId="14" hidden="1">'06704425'!$B$9:$U$15</definedName>
    <definedName name="Lancer_la_requête_à_partir_de_MS_Access_Database" localSheetId="15" hidden="1">'07235285'!$B$9:$U$12</definedName>
    <definedName name="Lancer_la_requête_à_partir_de_MS_Access_Database" localSheetId="16" hidden="1">'07938128'!$B$9:$U$12</definedName>
    <definedName name="Lancer_la_requête_à_partir_de_MS_Access_Database" localSheetId="17" hidden="1">'09050139'!$B$9:$U$14</definedName>
    <definedName name="Lancer_la_requête_à_partir_de_MS_Access_Database" localSheetId="18" hidden="1">'09204510'!$B$9:$U$12</definedName>
    <definedName name="Lancer_la_requête_à_partir_de_MS_Access_Database_1" localSheetId="0" hidden="1">'Secteur DE0204'!$A$7:$K$26</definedName>
  </definedNames>
  <calcPr calcId="125725"/>
</workbook>
</file>

<file path=xl/calcChain.xml><?xml version="1.0" encoding="utf-8"?>
<calcChain xmlns="http://schemas.openxmlformats.org/spreadsheetml/2006/main">
  <c r="D27" i="1"/>
  <c r="E27"/>
  <c r="F27"/>
  <c r="G27"/>
  <c r="H27"/>
  <c r="I27"/>
  <c r="N4" i="20"/>
  <c r="M4"/>
  <c r="F4"/>
  <c r="N4" i="19"/>
  <c r="M4"/>
  <c r="F4"/>
  <c r="N4" i="18"/>
  <c r="M4"/>
  <c r="F4"/>
  <c r="N4" i="17"/>
  <c r="M4"/>
  <c r="F4"/>
  <c r="N4" i="16"/>
  <c r="M4"/>
  <c r="F4"/>
  <c r="N4" i="15"/>
  <c r="M4"/>
  <c r="F4"/>
  <c r="N4" i="14"/>
  <c r="M4"/>
  <c r="F4"/>
  <c r="N4" i="13"/>
  <c r="M4"/>
  <c r="F4"/>
  <c r="N4" i="12" l="1"/>
  <c r="M4"/>
  <c r="F4"/>
  <c r="N4" i="11"/>
  <c r="M4"/>
  <c r="F4"/>
  <c r="N4" i="10"/>
  <c r="M4"/>
  <c r="F4"/>
  <c r="N4" i="9"/>
  <c r="M4"/>
  <c r="F4"/>
  <c r="N4" i="8"/>
  <c r="M4"/>
  <c r="F4"/>
  <c r="N4" i="7"/>
  <c r="M4"/>
  <c r="F4"/>
  <c r="N4" i="6"/>
  <c r="M4"/>
  <c r="F4"/>
  <c r="N4" i="5"/>
  <c r="M4"/>
  <c r="F4"/>
  <c r="N4" i="4"/>
  <c r="M4"/>
  <c r="F4"/>
  <c r="N4" i="3"/>
  <c r="M4"/>
  <c r="F4"/>
  <c r="N4" i="2"/>
  <c r="M4"/>
  <c r="F4"/>
  <c r="G2" i="1"/>
  <c r="F2"/>
  <c r="D3"/>
</calcChain>
</file>

<file path=xl/connections.xml><?xml version="1.0" encoding="utf-8"?>
<connections xmlns="http://schemas.openxmlformats.org/spreadsheetml/2006/main">
  <connection id="1" name="Lancer la requête à partir de MS Access Database" type="1" refreshedVersion="3" background="1" saveData="1">
    <dbPr connection="DSN=MS Access Database;DBQ=Z:\LEO PHARMA\MIKADO\Mikado.accdb;DefaultDir=Z:\LEO PHARMA\MIKADO;DriverId=25;FIL=MS Access;MaxBufferSize=2048;PageTimeout=5;" command="SELECT Req_REPORT_SECTEURS_GLOBAL.`Code Secteur`, Req_REPORT_SECTEURS_GLOBAL.VM, Req_REPORT_SECTEURS_GLOBAL.`Code médecin`, Req_REPORT_SECTEURS_GLOBAL.Medecin, Req_REPORT_SECTEURS_GLOBAL.`Date de réception convention financière`, Req_REPORT_SECTEURS_GLOBAL.`Date de réception AR kit`, Req_REPORT_SECTEURS_GLOBAL.`Date de MEP`, Req_REPORT_SECTEURS_GLOBAL.Desistement, Req_REPORT_SECTEURS_GLOBAL.`Nb Total Patients inclus`, Req_REPORT_SECTEURS_GLOBAL.`Comptes-rendus contact médecin-GECEM`, Req_REPORT_SECTEURS_GLOBAL.Date_x000d__x000a_FROM `Z:\LEO PHARMA\MIKADO\Mikado.accdb`.Req_REPORT_SECTEURS_GLOBAL Req_REPORT_SECTEURS_GLOBAL_x000d__x000a_WHERE (Req_REPORT_SECTEURS_GLOBAL.`Code Secteur`='DE0204')_x000d__x000a_ORDER BY Req_REPORT_SECTEURS_GLOBAL.Medecin"/>
  </connection>
  <connection id="2" name="Lancer la requête à partir de MS Access Database00280610"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0280610')"/>
  </connection>
  <connection id="3" name="Lancer la requête à partir de MS Access Database01202442"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1202442')"/>
  </connection>
  <connection id="4" name="Lancer la requête à partir de MS Access Database01445695"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1445695')"/>
  </connection>
  <connection id="5" name="Lancer la requête à partir de MS Access Database02862230"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2862230')"/>
  </connection>
  <connection id="6" name="Lancer la requête à partir de MS Access Database03298413"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3298413')"/>
  </connection>
  <connection id="7" name="Lancer la requête à partir de MS Access Database03573010"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3573010')"/>
  </connection>
  <connection id="8" name="Lancer la requête à partir de MS Access Database04334496"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4334496')"/>
  </connection>
  <connection id="9" name="Lancer la requête à partir de MS Access Database04846389"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4846389')"/>
  </connection>
  <connection id="10" name="Lancer la requête à partir de MS Access Database05341053"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5341053')"/>
  </connection>
  <connection id="11" name="Lancer la requête à partir de MS Access Database05554135"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5554135')"/>
  </connection>
  <connection id="12" name="Lancer la requête à partir de MS Access Database05813840"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5813840')"/>
  </connection>
  <connection id="13" name="Lancer la requête à partir de MS Access Database06108765"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6108765')"/>
  </connection>
  <connection id="14" name="Lancer la requête à partir de MS Access Database06438968"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6438968')"/>
  </connection>
  <connection id="15" name="Lancer la requête à partir de MS Access Database06690580"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6690580')"/>
  </connection>
  <connection id="16" name="Lancer la requête à partir de MS Access Database06704425"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6704425')"/>
  </connection>
  <connection id="17" name="Lancer la requête à partir de MS Access Database07235285"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7235285')"/>
  </connection>
  <connection id="18" name="Lancer la requête à partir de MS Access Database07938128"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7938128')"/>
  </connection>
  <connection id="19" name="Lancer la requête à partir de MS Access Database09050139"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9050139')"/>
  </connection>
  <connection id="20" name="Lancer la requête à partir de MS Access Database09204510" type="1" refreshedVersion="3" background="1" saveData="1">
    <dbPr connection="DSN=MS Access Database;DBQ=Z:\LEO PHARMA\MIKADO\Mikado.accdb;DefaultDir=Z:\LEO PHARMA\MIKADO;DriverId=25;FIL=MS Access;MaxBufferSize=2048;PageTimeout=5;" command="SELECT Req_REPORT_SECTEUR_PATIENTS.Num_Centre, Req_REPORT_SECTEUR_PATIENTS.Investigateur, Req_REPORT_SECTEUR_PATIENTS.Num_Patient, Req_REPORT_SECTEUR_PATIENTS.INCLUSION_Visite, Req_REPORT_SECTEUR_PATIENTS.INCLUSION_Reception, Req_REPORT_SECTEUR_PATIENTS.AQINCLUSION_Reception, Req_REPORT_SECTEUR_PATIENTS.CONTACT_Reception, Req_REPORT_SECTEUR_PATIENTS.TypeRappel, Req_REPORT_SECTEUR_PATIENTS.AQ7Theo, Req_REPORT_SECTEUR_PATIENTS.AQJ7_Reception, Req_REPORT_SECTEUR_PATIENTS.AQ_M2_Theo, Req_REPORT_SECTEUR_PATIENTS.AQM2_Reception, Req_REPORT_SECTEUR_PATIENTS.VP_Theo, Req_REPORT_SECTEUR_PATIENTS.PRECOCE_Visite, Req_REPORT_SECTEUR_PATIENTS.PRECOCE_Reception, Req_REPORT_SECTEUR_PATIENTS.VT_Theo, Req_REPORT_SECTEUR_PATIENTS.TARDIF_Visite, Req_REPORT_SECTEUR_PATIENTS.TARDIF_Reception, Req_REPORT_SECTEUR_PATIENTS.Onekey, Req_REPORT_SECTEUR_PATIENTS.Date_x000d__x000a_FROM `Z:\LEO PHARMA\MIKADO\Mikado.accdb`.Req_REPORT_SECTEUR_PATIENTS Req_REPORT_SECTEUR_PATIENTS_x000d__x000a_WHERE (Req_REPORT_SECTEUR_PATIENTS.Onekey='WFRM09204510')"/>
  </connection>
</connections>
</file>

<file path=xl/sharedStrings.xml><?xml version="1.0" encoding="utf-8"?>
<sst xmlns="http://schemas.openxmlformats.org/spreadsheetml/2006/main" count="1184" uniqueCount="122">
  <si>
    <t>Etude MIKADO</t>
  </si>
  <si>
    <t>Situation au</t>
  </si>
  <si>
    <t>Code Secteur</t>
  </si>
  <si>
    <t>VM</t>
  </si>
  <si>
    <t>Medecin</t>
  </si>
  <si>
    <t>Date de réception convention financière</t>
  </si>
  <si>
    <t>Date de réception AR kit</t>
  </si>
  <si>
    <t>Date de MEP</t>
  </si>
  <si>
    <t>Desistement</t>
  </si>
  <si>
    <t>Nb Total Patients inclus</t>
  </si>
  <si>
    <t>Comptes-rendus contact médecin-GECEM</t>
  </si>
  <si>
    <t>Date</t>
  </si>
  <si>
    <t>Code médecin</t>
  </si>
  <si>
    <t>Secteur</t>
  </si>
  <si>
    <t>(Cliquez sur le code médecin pour accèder aux données de ses patients)</t>
  </si>
  <si>
    <t>TOTAL</t>
  </si>
  <si>
    <t>Suivi des patients</t>
  </si>
  <si>
    <t xml:space="preserve">Centre n° </t>
  </si>
  <si>
    <t>Retour à la liste des médecins</t>
  </si>
  <si>
    <t>Visite d'inclusion</t>
  </si>
  <si>
    <t xml:space="preserve">Date réception 
Auto-questionnaire patient  J7
</t>
  </si>
  <si>
    <t xml:space="preserve">Date réception 
Auto-questionnaire patient 2 mois
</t>
  </si>
  <si>
    <t>Visite précoce</t>
  </si>
  <si>
    <t>Visite tardive</t>
  </si>
  <si>
    <t>N° Patient</t>
  </si>
  <si>
    <t>Date de visite inclusion</t>
  </si>
  <si>
    <t>Questionnaire médecin 
Inclusion reçu le</t>
  </si>
  <si>
    <t xml:space="preserve">Auto-questionnaire patient 
Inclusion reçu le </t>
  </si>
  <si>
    <t>Formulaire de contact patient
reçu</t>
  </si>
  <si>
    <t>Type de rappel souhaité par le patient</t>
  </si>
  <si>
    <t>Date théorique max 
(date inclusion +12j)</t>
  </si>
  <si>
    <t>Date réelle</t>
  </si>
  <si>
    <t>Date théorique max 
(date d'inclusion +71j)</t>
  </si>
  <si>
    <t>Date théorique max
(date d'inclusion +4mois)</t>
  </si>
  <si>
    <t>Date de consultation
réelle</t>
  </si>
  <si>
    <t>Questionnaire Visite précoce reçu le</t>
  </si>
  <si>
    <t>Date théorique max
(date d'inclusion+12mois)</t>
  </si>
  <si>
    <t>Questionnaire Visite tardive reçu le</t>
  </si>
  <si>
    <t>Num_Centre</t>
  </si>
  <si>
    <t>Investigateur</t>
  </si>
  <si>
    <t>Num_Patient</t>
  </si>
  <si>
    <t>INCLUSION_Visite</t>
  </si>
  <si>
    <t>INCLUSION_Reception</t>
  </si>
  <si>
    <t>AQINCLUSION_Reception</t>
  </si>
  <si>
    <t>CONTACT_Reception</t>
  </si>
  <si>
    <t>TypeRappel</t>
  </si>
  <si>
    <t>AQ7Theo</t>
  </si>
  <si>
    <t>AQJ7_Reception</t>
  </si>
  <si>
    <t>AQ_M2_Theo</t>
  </si>
  <si>
    <t>AQM2_Reception</t>
  </si>
  <si>
    <t>VP_Theo</t>
  </si>
  <si>
    <t>PRECOCE_Visite</t>
  </si>
  <si>
    <t>PRECOCE_Reception</t>
  </si>
  <si>
    <t>VT_Theo</t>
  </si>
  <si>
    <t>TARDIF_Visite</t>
  </si>
  <si>
    <t>TARDIF_Reception</t>
  </si>
  <si>
    <t>Onekey</t>
  </si>
  <si>
    <t/>
  </si>
  <si>
    <t xml:space="preserve">Situation au </t>
  </si>
  <si>
    <t>DE0204</t>
  </si>
  <si>
    <t>GABRIEL Valérie</t>
  </si>
  <si>
    <t>WFRM01202442</t>
  </si>
  <si>
    <t>BOUILLY-AUVRAY Danielle</t>
  </si>
  <si>
    <t>WFRM04334496</t>
  </si>
  <si>
    <t>CAUSERET Anne-Sophie</t>
  </si>
  <si>
    <t>WFRM03298413</t>
  </si>
  <si>
    <t>CORGIBET Florence</t>
  </si>
  <si>
    <t>WFRM02862230</t>
  </si>
  <si>
    <t>DESSERTENNE-DODANE Paulette</t>
  </si>
  <si>
    <t>WFRM04846389</t>
  </si>
  <si>
    <t>JEUNET-MANCY Claude</t>
  </si>
  <si>
    <t>WFRM05341053</t>
  </si>
  <si>
    <t>LAUNAY Philippe</t>
  </si>
  <si>
    <t>WFRM05813840</t>
  </si>
  <si>
    <t>LIMONIER Philippe</t>
  </si>
  <si>
    <t>WFRM06704425</t>
  </si>
  <si>
    <t>MOUNICQ Françoise</t>
  </si>
  <si>
    <t>WFRM07235285</t>
  </si>
  <si>
    <t>PETIGNY Maryse</t>
  </si>
  <si>
    <t>WFRM07938128</t>
  </si>
  <si>
    <t>ROCA Frédérique</t>
  </si>
  <si>
    <t>WFRM09050139</t>
  </si>
  <si>
    <t>VAN LANDUYT Hervé</t>
  </si>
  <si>
    <t>WFRM01445695</t>
  </si>
  <si>
    <t>BOTTOU-JARDOT Arièle</t>
  </si>
  <si>
    <t>WFRM00280610</t>
  </si>
  <si>
    <t>AUBIN François</t>
  </si>
  <si>
    <t>WFRM09204510</t>
  </si>
  <si>
    <t>VIGAN Martine</t>
  </si>
  <si>
    <t>WFRM03573010</t>
  </si>
  <si>
    <t>FORESTIER Jean-François</t>
  </si>
  <si>
    <t>Téléphone - Via médecin</t>
  </si>
  <si>
    <t>Via médecin</t>
  </si>
  <si>
    <t>SMS - Mail</t>
  </si>
  <si>
    <t>Mail</t>
  </si>
  <si>
    <t>SMS - Mail - Courrier</t>
  </si>
  <si>
    <t>Téléphone</t>
  </si>
  <si>
    <t>Courrier</t>
  </si>
  <si>
    <t>Courrier - Téléphone</t>
  </si>
  <si>
    <t>Courrier - Téléphone - Via médecin</t>
  </si>
  <si>
    <t>SMS</t>
  </si>
  <si>
    <t>Courrier 05/08: demande envoi page manquante 3 visite inclusion patient 3</t>
  </si>
  <si>
    <t>Courrier 22août : envoi courrier pour relance à faire patient 3 n'a pas renvoyé son auto-questionnaire 2 mois.</t>
  </si>
  <si>
    <t xml:space="preserve">05sept14: Le patient 1 a souhaité stopper l'étude durant l'été, étant cycliste il avait peur de la réaction avec le soleil. Devrait revoir ce patient prochainement. De plus elle espere pouvoir inclure un ou plusieurs autres patients dès que l'occasion se </t>
  </si>
  <si>
    <t>10sept: dès qu'un patient sera susceptible de rentrer dans le protocole elle les incluera.</t>
  </si>
  <si>
    <t>23sept:Dr d'accord pour reappro. 2 cahiers envoyés.</t>
  </si>
  <si>
    <t>23sept: Dr d'accord pour reappro. 2 cahiers envoyés.</t>
  </si>
  <si>
    <t>SMS - Mail - Téléphone</t>
  </si>
  <si>
    <t>WFRM06108765</t>
  </si>
  <si>
    <t>MERMET GINET Isabelle</t>
  </si>
  <si>
    <t>MOUGET Yolande</t>
  </si>
  <si>
    <t>WFRM06690580</t>
  </si>
  <si>
    <t>04nov: Le Dr ne pense pas pouvoir inclure de nouveaux patients.</t>
  </si>
  <si>
    <t>WFRM06438968</t>
  </si>
  <si>
    <t>MEYER-LIDOYNE Martine</t>
  </si>
  <si>
    <t>SMS - Mail - Courrier - Téléphone</t>
  </si>
  <si>
    <t>WFRM05554135</t>
  </si>
  <si>
    <t>LEVEQUE Laurent</t>
  </si>
  <si>
    <t>25nov: centre inactif. Reviens juste de vacances. Pas de souci 1 ou 2 patients vont être inclus</t>
  </si>
  <si>
    <t>appel au sujet du retour des queries</t>
  </si>
  <si>
    <t>N'a pas inclus de patient dans cette étude</t>
  </si>
  <si>
    <t>patients 1 et 2: a traité des lésions de la face par picato et autres lésions sur la face par un autre traitement, va nous renvoyer les queries</t>
  </si>
</sst>
</file>

<file path=xl/styles.xml><?xml version="1.0" encoding="utf-8"?>
<styleSheet xmlns="http://schemas.openxmlformats.org/spreadsheetml/2006/main">
  <numFmts count="1">
    <numFmt numFmtId="164" formatCode="dd/mm/yy;@"/>
  </numFmts>
  <fonts count="31">
    <font>
      <sz val="11"/>
      <color theme="1"/>
      <name val="Calibri"/>
      <family val="2"/>
      <scheme val="minor"/>
    </font>
    <font>
      <b/>
      <sz val="22"/>
      <color indexed="62"/>
      <name val="Verdana"/>
      <family val="2"/>
    </font>
    <font>
      <sz val="10"/>
      <name val="Arial"/>
      <family val="2"/>
    </font>
    <font>
      <b/>
      <sz val="14"/>
      <name val="Arial"/>
      <family val="2"/>
    </font>
    <font>
      <b/>
      <sz val="14"/>
      <color indexed="18"/>
      <name val="Arial"/>
      <family val="2"/>
    </font>
    <font>
      <sz val="12"/>
      <color indexed="18"/>
      <name val="Arial"/>
      <family val="2"/>
    </font>
    <font>
      <sz val="12"/>
      <name val="Arial"/>
      <family val="2"/>
    </font>
    <font>
      <b/>
      <sz val="12"/>
      <color indexed="18"/>
      <name val="Arial"/>
      <family val="2"/>
    </font>
    <font>
      <i/>
      <sz val="12"/>
      <color indexed="18"/>
      <name val="Arial"/>
      <family val="2"/>
    </font>
    <font>
      <b/>
      <sz val="12"/>
      <color indexed="21"/>
      <name val="Verdana"/>
      <family val="2"/>
    </font>
    <font>
      <b/>
      <i/>
      <sz val="11"/>
      <color rgb="FF0000FF"/>
      <name val="Calibri"/>
      <family val="2"/>
      <scheme val="minor"/>
    </font>
    <font>
      <u/>
      <sz val="11"/>
      <color theme="10"/>
      <name val="Calibri"/>
      <family val="2"/>
    </font>
    <font>
      <sz val="18"/>
      <color indexed="62"/>
      <name val="Verdana"/>
      <family val="2"/>
    </font>
    <font>
      <sz val="14"/>
      <color indexed="8"/>
      <name val="Verdana"/>
      <family val="2"/>
    </font>
    <font>
      <b/>
      <sz val="22"/>
      <color indexed="21"/>
      <name val="Verdana"/>
      <family val="2"/>
    </font>
    <font>
      <sz val="22"/>
      <color indexed="8"/>
      <name val="Verdana"/>
      <family val="2"/>
    </font>
    <font>
      <b/>
      <sz val="16"/>
      <color indexed="21"/>
      <name val="Verdana"/>
      <family val="2"/>
    </font>
    <font>
      <b/>
      <sz val="14"/>
      <color rgb="FF006600"/>
      <name val="Calibri"/>
      <family val="2"/>
      <scheme val="minor"/>
    </font>
    <font>
      <sz val="10"/>
      <color indexed="8"/>
      <name val="Arial"/>
      <family val="2"/>
    </font>
    <font>
      <sz val="10"/>
      <color indexed="18"/>
      <name val="Arial"/>
      <family val="2"/>
    </font>
    <font>
      <b/>
      <sz val="14"/>
      <color indexed="21"/>
      <name val="Arial"/>
      <family val="2"/>
    </font>
    <font>
      <b/>
      <sz val="14"/>
      <color indexed="8"/>
      <name val="Arial"/>
      <family val="2"/>
    </font>
    <font>
      <b/>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ont>
  </fonts>
  <fills count="11">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indexed="42"/>
        <bgColor indexed="64"/>
      </patternFill>
    </fill>
    <fill>
      <patternFill patternType="solid">
        <fgColor indexed="43"/>
        <bgColor indexed="64"/>
      </patternFill>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0" fontId="11" fillId="0" borderId="0" applyNumberFormat="0" applyFill="0" applyBorder="0" applyAlignment="0" applyProtection="0">
      <alignment vertical="top"/>
      <protection locked="0"/>
    </xf>
  </cellStyleXfs>
  <cellXfs count="143">
    <xf numFmtId="0" fontId="0" fillId="0" borderId="0" xfId="0"/>
    <xf numFmtId="0" fontId="3" fillId="2" borderId="0" xfId="1" applyFont="1" applyFill="1" applyAlignment="1">
      <alignment horizontal="left"/>
    </xf>
    <xf numFmtId="164" fontId="5" fillId="2" borderId="0" xfId="1" applyNumberFormat="1" applyFont="1" applyFill="1" applyAlignment="1">
      <alignment horizontal="left"/>
    </xf>
    <xf numFmtId="0" fontId="5" fillId="2" borderId="0" xfId="1" applyFont="1" applyFill="1" applyAlignment="1">
      <alignment horizontal="left"/>
    </xf>
    <xf numFmtId="0" fontId="6" fillId="2" borderId="0" xfId="1" applyFont="1" applyFill="1" applyAlignment="1">
      <alignment horizontal="left"/>
    </xf>
    <xf numFmtId="0" fontId="8" fillId="4" borderId="0" xfId="1" applyFont="1" applyFill="1" applyAlignment="1">
      <alignment horizontal="center"/>
    </xf>
    <xf numFmtId="164" fontId="9" fillId="2" borderId="0" xfId="0" applyNumberFormat="1" applyFont="1" applyFill="1" applyBorder="1" applyAlignment="1">
      <alignment horizontal="left"/>
    </xf>
    <xf numFmtId="0" fontId="5" fillId="2" borderId="0" xfId="1" applyFont="1" applyFill="1" applyBorder="1" applyAlignment="1">
      <alignment horizontal="left"/>
    </xf>
    <xf numFmtId="0" fontId="6" fillId="2" borderId="0" xfId="1" applyFont="1" applyFill="1" applyBorder="1" applyAlignment="1">
      <alignment horizontal="left"/>
    </xf>
    <xf numFmtId="164" fontId="5" fillId="2" borderId="0" xfId="1" applyNumberFormat="1" applyFont="1" applyFill="1" applyBorder="1" applyAlignment="1">
      <alignment horizontal="left"/>
    </xf>
    <xf numFmtId="22" fontId="0" fillId="0" borderId="0" xfId="0" applyNumberFormat="1"/>
    <xf numFmtId="164" fontId="7" fillId="3" borderId="0" xfId="1" applyNumberFormat="1" applyFont="1" applyFill="1" applyAlignment="1">
      <alignment horizontal="right"/>
    </xf>
    <xf numFmtId="164" fontId="0" fillId="0" borderId="0" xfId="0" applyNumberFormat="1"/>
    <xf numFmtId="0" fontId="7" fillId="0" borderId="0" xfId="1" applyFont="1" applyFill="1" applyAlignment="1"/>
    <xf numFmtId="0" fontId="7" fillId="0" borderId="0" xfId="1" applyFont="1" applyFill="1" applyAlignment="1">
      <alignment horizontal="center"/>
    </xf>
    <xf numFmtId="0" fontId="0" fillId="0" borderId="0" xfId="0" applyAlignment="1">
      <alignment horizontal="center" vertical="center" wrapText="1"/>
    </xf>
    <xf numFmtId="164" fontId="0" fillId="0" borderId="0" xfId="0" applyNumberFormat="1" applyAlignment="1">
      <alignment horizontal="center" vertical="center" wrapText="1"/>
    </xf>
    <xf numFmtId="0" fontId="5" fillId="2" borderId="0" xfId="1" applyFont="1" applyFill="1" applyAlignment="1">
      <alignment horizontal="center"/>
    </xf>
    <xf numFmtId="0" fontId="5" fillId="2" borderId="0" xfId="1" applyFont="1" applyFill="1" applyBorder="1" applyAlignment="1">
      <alignment horizontal="center"/>
    </xf>
    <xf numFmtId="0" fontId="0" fillId="0" borderId="0" xfId="0" applyAlignment="1">
      <alignment horizontal="center"/>
    </xf>
    <xf numFmtId="0" fontId="1" fillId="2" borderId="0" xfId="0" applyFont="1" applyFill="1" applyBorder="1" applyAlignment="1">
      <alignment horizontal="left"/>
    </xf>
    <xf numFmtId="0" fontId="9" fillId="2" borderId="0" xfId="0" applyFont="1" applyFill="1" applyBorder="1" applyAlignment="1">
      <alignment horizontal="right"/>
    </xf>
    <xf numFmtId="164" fontId="5" fillId="2" borderId="0" xfId="1" applyNumberFormat="1" applyFont="1" applyFill="1" applyAlignment="1">
      <alignment horizontal="center"/>
    </xf>
    <xf numFmtId="164" fontId="5" fillId="2" borderId="0" xfId="1" applyNumberFormat="1" applyFont="1" applyFill="1" applyBorder="1" applyAlignment="1">
      <alignment horizontal="center"/>
    </xf>
    <xf numFmtId="164" fontId="4" fillId="2" borderId="0" xfId="1" applyNumberFormat="1" applyFont="1" applyFill="1" applyAlignment="1">
      <alignment horizontal="center"/>
    </xf>
    <xf numFmtId="164" fontId="0" fillId="0" borderId="0" xfId="0" applyNumberFormat="1" applyAlignment="1">
      <alignment horizontal="center"/>
    </xf>
    <xf numFmtId="0" fontId="10" fillId="4" borderId="0" xfId="0" applyFont="1" applyFill="1" applyAlignment="1">
      <alignment horizontal="left"/>
    </xf>
    <xf numFmtId="0" fontId="0" fillId="0" borderId="0" xfId="0" applyBorder="1" applyAlignment="1">
      <alignment horizontal="center"/>
    </xf>
    <xf numFmtId="0" fontId="0" fillId="0" borderId="0" xfId="0" applyBorder="1"/>
    <xf numFmtId="164" fontId="0" fillId="0" borderId="0" xfId="0" applyNumberFormat="1" applyBorder="1" applyAlignment="1">
      <alignment horizontal="center"/>
    </xf>
    <xf numFmtId="164" fontId="7" fillId="3" borderId="0" xfId="1" applyNumberFormat="1" applyFont="1" applyFill="1" applyAlignment="1">
      <alignment horizontal="left"/>
    </xf>
    <xf numFmtId="22" fontId="0" fillId="0" borderId="0" xfId="0" applyNumberFormat="1" applyBorder="1"/>
    <xf numFmtId="164" fontId="0" fillId="0" borderId="0" xfId="0" applyNumberFormat="1" applyBorder="1"/>
    <xf numFmtId="1" fontId="0" fillId="0" borderId="0" xfId="0" applyNumberFormat="1" applyBorder="1" applyAlignment="1">
      <alignment horizontal="center"/>
    </xf>
    <xf numFmtId="0" fontId="0" fillId="2" borderId="0" xfId="0" applyFill="1" applyBorder="1"/>
    <xf numFmtId="0" fontId="18" fillId="2" borderId="0" xfId="0" applyFont="1" applyFill="1" applyBorder="1" applyAlignment="1">
      <alignment horizontal="center"/>
    </xf>
    <xf numFmtId="0" fontId="18" fillId="0" borderId="0" xfId="0" applyFont="1" applyAlignment="1">
      <alignment horizontal="center"/>
    </xf>
    <xf numFmtId="0" fontId="20" fillId="2" borderId="0" xfId="0" applyFont="1" applyFill="1" applyBorder="1" applyAlignment="1">
      <alignment horizontal="center" vertical="center"/>
    </xf>
    <xf numFmtId="0" fontId="22" fillId="2" borderId="0" xfId="0" applyFont="1" applyFill="1" applyBorder="1" applyAlignment="1">
      <alignment horizontal="center" vertical="center" wrapText="1"/>
    </xf>
    <xf numFmtId="0" fontId="22" fillId="9" borderId="4" xfId="0" applyFont="1" applyFill="1" applyBorder="1" applyAlignment="1">
      <alignment horizontal="center" vertical="center" wrapText="1"/>
    </xf>
    <xf numFmtId="0" fontId="22" fillId="10" borderId="4" xfId="0" applyFont="1" applyFill="1" applyBorder="1" applyAlignment="1">
      <alignment horizontal="center" vertical="center" wrapText="1"/>
    </xf>
    <xf numFmtId="0" fontId="22" fillId="0" borderId="0" xfId="0" applyFont="1" applyAlignment="1">
      <alignment horizontal="center" vertical="center" wrapText="1"/>
    </xf>
    <xf numFmtId="0" fontId="18" fillId="2" borderId="0" xfId="0" applyFont="1" applyFill="1" applyBorder="1" applyAlignment="1">
      <alignment horizontal="center" vertical="center" wrapText="1"/>
    </xf>
    <xf numFmtId="0" fontId="18" fillId="0" borderId="0" xfId="0" applyFont="1" applyAlignment="1">
      <alignment horizontal="center" vertical="center" wrapText="1"/>
    </xf>
    <xf numFmtId="14" fontId="0" fillId="0" borderId="0" xfId="0" applyNumberFormat="1"/>
    <xf numFmtId="164" fontId="0" fillId="2" borderId="0" xfId="0" applyNumberFormat="1" applyFill="1" applyBorder="1"/>
    <xf numFmtId="164" fontId="18" fillId="2" borderId="0" xfId="0" applyNumberFormat="1" applyFont="1" applyFill="1" applyBorder="1" applyAlignment="1">
      <alignment horizontal="center"/>
    </xf>
    <xf numFmtId="164" fontId="22" fillId="2" borderId="0" xfId="0" applyNumberFormat="1" applyFont="1" applyFill="1" applyBorder="1" applyAlignment="1">
      <alignment horizontal="center" vertical="center" wrapText="1"/>
    </xf>
    <xf numFmtId="164" fontId="18" fillId="2" borderId="0" xfId="0" applyNumberFormat="1" applyFont="1" applyFill="1" applyBorder="1" applyAlignment="1">
      <alignment horizontal="center" vertical="center" wrapText="1"/>
    </xf>
    <xf numFmtId="164" fontId="22" fillId="10" borderId="4" xfId="0" applyNumberFormat="1" applyFont="1" applyFill="1" applyBorder="1" applyAlignment="1">
      <alignment horizontal="center" vertical="center" wrapText="1"/>
    </xf>
    <xf numFmtId="164" fontId="0" fillId="2" borderId="0" xfId="0" applyNumberFormat="1" applyFill="1" applyBorder="1" applyAlignment="1">
      <alignment horizontal="center"/>
    </xf>
    <xf numFmtId="164" fontId="12" fillId="2" borderId="0" xfId="0" applyNumberFormat="1" applyFont="1" applyFill="1" applyBorder="1" applyAlignment="1">
      <alignment horizontal="center"/>
    </xf>
    <xf numFmtId="164" fontId="13" fillId="2" borderId="0" xfId="0" applyNumberFormat="1" applyFont="1" applyFill="1" applyBorder="1" applyAlignment="1">
      <alignment horizontal="center"/>
    </xf>
    <xf numFmtId="164" fontId="16" fillId="2" borderId="0" xfId="0" applyNumberFormat="1" applyFont="1" applyFill="1" applyBorder="1" applyAlignment="1">
      <alignment horizontal="center"/>
    </xf>
    <xf numFmtId="0" fontId="0" fillId="2" borderId="0" xfId="0" applyFill="1" applyBorder="1" applyAlignment="1">
      <alignment horizontal="center"/>
    </xf>
    <xf numFmtId="0" fontId="13" fillId="2" borderId="0" xfId="0" applyFont="1" applyFill="1" applyBorder="1" applyAlignment="1">
      <alignment horizontal="center"/>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11" fillId="2" borderId="0" xfId="2" applyNumberFormat="1" applyFill="1" applyBorder="1" applyAlignment="1" applyProtection="1">
      <alignment horizontal="center"/>
    </xf>
    <xf numFmtId="164" fontId="22" fillId="6" borderId="4"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164" fontId="22" fillId="6" borderId="3" xfId="0" applyNumberFormat="1" applyFont="1" applyFill="1" applyBorder="1" applyAlignment="1">
      <alignment horizontal="center" vertical="center" wrapText="1"/>
    </xf>
    <xf numFmtId="164" fontId="22" fillId="8" borderId="3" xfId="0" applyNumberFormat="1" applyFont="1" applyFill="1" applyBorder="1" applyAlignment="1">
      <alignment horizontal="center" vertical="center" wrapText="1"/>
    </xf>
    <xf numFmtId="1" fontId="17" fillId="3" borderId="0" xfId="0" applyNumberFormat="1" applyFont="1" applyFill="1" applyBorder="1" applyAlignment="1">
      <alignment horizontal="left" vertical="center"/>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0" fontId="18" fillId="2" borderId="0" xfId="0" applyFont="1" applyFill="1" applyAlignment="1">
      <alignment horizontal="center" vertical="center" wrapText="1"/>
    </xf>
    <xf numFmtId="0" fontId="23" fillId="0" borderId="0" xfId="0" applyFont="1" applyAlignment="1">
      <alignment horizontal="center" vertical="center" wrapText="1"/>
    </xf>
    <xf numFmtId="0" fontId="23" fillId="2" borderId="0" xfId="0" applyFont="1" applyFill="1" applyAlignment="1">
      <alignment horizontal="center" vertical="center" wrapText="1"/>
    </xf>
    <xf numFmtId="14" fontId="0" fillId="0" borderId="0" xfId="0" applyNumberFormat="1"/>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22" fontId="0" fillId="0" borderId="0" xfId="0" applyNumberFormat="1" applyAlignment="1">
      <alignment vertical="center" wrapText="1"/>
    </xf>
    <xf numFmtId="22" fontId="0" fillId="0" borderId="0" xfId="0" applyNumberFormat="1" applyAlignment="1">
      <alignment vertical="center" wrapText="1"/>
    </xf>
    <xf numFmtId="0" fontId="0" fillId="0" borderId="0" xfId="0" applyAlignment="1">
      <alignment vertical="center" wrapText="1"/>
    </xf>
    <xf numFmtId="0" fontId="11" fillId="0" borderId="0" xfId="2" applyAlignment="1" applyProtection="1">
      <alignment horizontal="center" vertical="center" wrapText="1"/>
    </xf>
    <xf numFmtId="164" fontId="0" fillId="0" borderId="0" xfId="0" applyNumberFormat="1" applyAlignment="1">
      <alignment vertical="center" wrapText="1"/>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0" fontId="0" fillId="0" borderId="0" xfId="0" applyNumberFormat="1" applyBorder="1" applyAlignment="1">
      <alignment horizontal="center"/>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0" fontId="24" fillId="0" borderId="0" xfId="0" applyFont="1" applyAlignment="1">
      <alignment horizontal="center" vertical="center" wrapText="1"/>
    </xf>
    <xf numFmtId="0" fontId="24" fillId="2" borderId="0" xfId="0" applyFont="1" applyFill="1" applyAlignment="1">
      <alignment horizontal="center" vertical="center" wrapText="1"/>
    </xf>
    <xf numFmtId="0" fontId="25" fillId="0" borderId="0" xfId="0" applyFont="1" applyAlignment="1">
      <alignment horizontal="center" vertical="center" wrapText="1"/>
    </xf>
    <xf numFmtId="0" fontId="25" fillId="2" borderId="0" xfId="0" applyFont="1" applyFill="1" applyAlignment="1">
      <alignment horizontal="center" vertical="center" wrapText="1"/>
    </xf>
    <xf numFmtId="14" fontId="0" fillId="0" borderId="0" xfId="0" applyNumberFormat="1"/>
    <xf numFmtId="0" fontId="26" fillId="0" borderId="0" xfId="0" applyFont="1" applyAlignment="1">
      <alignment horizontal="center" vertical="center" wrapText="1"/>
    </xf>
    <xf numFmtId="0" fontId="26" fillId="2" borderId="0" xfId="0" applyFont="1" applyFill="1" applyAlignment="1">
      <alignment horizontal="center" vertical="center" wrapText="1"/>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22" fontId="0" fillId="0" borderId="0" xfId="0" applyNumberFormat="1" applyAlignment="1">
      <alignment vertical="center" wrapText="1"/>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0" fontId="27" fillId="0" borderId="0" xfId="0" applyFont="1" applyAlignment="1">
      <alignment horizontal="center" vertical="center" wrapText="1"/>
    </xf>
    <xf numFmtId="0" fontId="27" fillId="2" borderId="0" xfId="0" applyFont="1" applyFill="1" applyAlignment="1">
      <alignment horizontal="center" vertical="center" wrapText="1"/>
    </xf>
    <xf numFmtId="164" fontId="15" fillId="2" borderId="0" xfId="0" applyNumberFormat="1" applyFont="1" applyFill="1" applyBorder="1" applyAlignment="1">
      <alignment horizontal="center" vertical="center"/>
    </xf>
    <xf numFmtId="164" fontId="17" fillId="3" borderId="0" xfId="0" applyNumberFormat="1" applyFont="1" applyFill="1" applyBorder="1" applyAlignment="1">
      <alignment horizontal="center" vertical="center"/>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0" fontId="28" fillId="0" borderId="0" xfId="0" applyFont="1" applyAlignment="1">
      <alignment horizontal="center" vertical="center" wrapText="1"/>
    </xf>
    <xf numFmtId="0" fontId="28" fillId="2" borderId="0" xfId="0" applyFont="1" applyFill="1" applyAlignment="1">
      <alignment horizontal="center" vertical="center" wrapText="1"/>
    </xf>
    <xf numFmtId="0" fontId="29" fillId="0" borderId="0" xfId="0" applyFont="1" applyAlignment="1">
      <alignment horizontal="center" vertical="center" wrapText="1"/>
    </xf>
    <xf numFmtId="0" fontId="29" fillId="2" borderId="0" xfId="0" applyFont="1" applyFill="1" applyAlignment="1">
      <alignment horizontal="center" vertical="center" wrapText="1"/>
    </xf>
    <xf numFmtId="0" fontId="30" fillId="0" borderId="0" xfId="0" applyFont="1" applyAlignment="1">
      <alignment horizontal="center" vertical="center" wrapText="1"/>
    </xf>
    <xf numFmtId="0" fontId="30" fillId="2" borderId="0" xfId="0" applyFont="1" applyFill="1" applyAlignment="1">
      <alignment horizontal="center" vertical="center" wrapText="1"/>
    </xf>
    <xf numFmtId="14" fontId="7" fillId="3" borderId="0" xfId="1" applyNumberFormat="1" applyFont="1" applyFill="1" applyAlignment="1">
      <alignment horizontal="center"/>
    </xf>
    <xf numFmtId="0" fontId="21" fillId="5" borderId="1" xfId="0" applyFont="1" applyFill="1" applyBorder="1" applyAlignment="1">
      <alignment horizontal="center" vertical="center"/>
    </xf>
    <xf numFmtId="0" fontId="21" fillId="5" borderId="2" xfId="0" applyFont="1" applyFill="1" applyBorder="1" applyAlignment="1">
      <alignment horizontal="center" vertical="center"/>
    </xf>
    <xf numFmtId="164" fontId="22" fillId="6" borderId="1" xfId="0" applyNumberFormat="1" applyFont="1" applyFill="1" applyBorder="1" applyAlignment="1">
      <alignment horizontal="center" vertical="center" wrapText="1"/>
    </xf>
    <xf numFmtId="164" fontId="22" fillId="6" borderId="3" xfId="0" applyNumberFormat="1" applyFont="1" applyFill="1" applyBorder="1" applyAlignment="1">
      <alignment horizontal="center" vertical="center" wrapText="1"/>
    </xf>
    <xf numFmtId="164" fontId="22" fillId="7" borderId="4" xfId="0" applyNumberFormat="1" applyFont="1" applyFill="1" applyBorder="1" applyAlignment="1">
      <alignment horizontal="center" vertical="center" wrapText="1"/>
    </xf>
    <xf numFmtId="164" fontId="21" fillId="6" borderId="1"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164" fontId="0" fillId="0" borderId="3" xfId="0" applyNumberFormat="1" applyBorder="1" applyAlignment="1">
      <alignment horizontal="center" vertical="center"/>
    </xf>
    <xf numFmtId="164" fontId="21" fillId="8" borderId="1" xfId="0" applyNumberFormat="1" applyFont="1" applyFill="1" applyBorder="1" applyAlignment="1">
      <alignment horizontal="center" vertical="center"/>
    </xf>
    <xf numFmtId="0" fontId="14" fillId="2" borderId="0" xfId="0" applyFont="1" applyFill="1" applyBorder="1" applyAlignment="1">
      <alignment horizontal="center"/>
    </xf>
    <xf numFmtId="0" fontId="0" fillId="0" borderId="0" xfId="0" applyAlignment="1"/>
    <xf numFmtId="164" fontId="15" fillId="2" borderId="0" xfId="0" applyNumberFormat="1" applyFont="1" applyFill="1" applyBorder="1" applyAlignment="1">
      <alignment horizontal="center" vertical="center"/>
    </xf>
    <xf numFmtId="0" fontId="16" fillId="2" borderId="0" xfId="0" applyFont="1" applyFill="1" applyBorder="1" applyAlignment="1">
      <alignment horizontal="left"/>
    </xf>
    <xf numFmtId="164" fontId="17" fillId="3" borderId="0" xfId="0" applyNumberFormat="1" applyFont="1" applyFill="1" applyBorder="1" applyAlignment="1">
      <alignment horizontal="center" vertical="center"/>
    </xf>
    <xf numFmtId="0" fontId="4" fillId="2" borderId="0" xfId="0" applyFont="1" applyFill="1" applyBorder="1" applyAlignment="1">
      <alignment horizontal="center" vertical="center"/>
    </xf>
    <xf numFmtId="0" fontId="19" fillId="0" borderId="0" xfId="0" applyFont="1" applyAlignment="1">
      <alignment horizontal="center"/>
    </xf>
  </cellXfs>
  <cellStyles count="3">
    <cellStyle name="Lien hypertexte" xfId="2" builtinId="8"/>
    <cellStyle name="Normal" xfId="0" builtinId="0"/>
    <cellStyle name="Normal_MENARINI_HTA-Observance_Bilan de suivi N14 (18 MAI 2011)" xfId="1"/>
  </cellStyles>
  <dxfs count="422">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9" formatCode="m/d/yyyy"/>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numFmt numFmtId="164" formatCode="dd/mm/yy;@"/>
      <alignment horizontal="center" vertical="bottom" textRotation="0" wrapText="0" indent="0" relativeIndent="0" justifyLastLine="0" shrinkToFit="0" mergeCell="0" readingOrder="0"/>
    </dxf>
    <dxf>
      <alignment horizontal="center" vertical="bottom" textRotation="0" wrapText="0" indent="0" relativeIndent="0" justifyLastLine="0" shrinkToFit="0" mergeCell="0" readingOrder="0"/>
    </dxf>
    <dxf>
      <font>
        <b val="0"/>
        <i val="0"/>
        <strike val="0"/>
        <condense val="0"/>
        <extend val="0"/>
        <outline val="0"/>
        <shadow val="0"/>
        <u val="none"/>
        <vertAlign val="baseline"/>
        <sz val="10"/>
        <color indexed="8"/>
        <name val="Arial"/>
        <scheme val="none"/>
      </font>
      <fill>
        <patternFill patternType="solid">
          <fgColor indexed="64"/>
          <bgColor indexed="9"/>
        </patternFill>
      </fill>
      <alignment horizontal="center" vertical="center" textRotation="0" wrapText="1" indent="0" relativeIndent="0" justifyLastLine="0" shrinkToFit="0" mergeCell="0" readingOrder="0"/>
    </dxf>
    <dxf>
      <font>
        <b val="0"/>
        <i val="0"/>
        <strike val="0"/>
        <condense val="0"/>
        <extend val="0"/>
        <outline val="0"/>
        <shadow val="0"/>
        <u val="none"/>
        <vertAlign val="baseline"/>
        <sz val="10"/>
        <color indexed="8"/>
        <name val="Arial"/>
        <scheme val="none"/>
      </font>
      <alignment horizontal="center" vertical="center" textRotation="0" wrapText="1" indent="0" relativeIndent="0" justifyLastLine="0" shrinkToFit="0" mergeCell="0" readingOrder="0"/>
    </dxf>
    <dxf>
      <numFmt numFmtId="164" formatCode="dd/mm/yy;@"/>
      <alignment horizontal="general" vertical="center" textRotation="0" wrapText="1" indent="0" relativeIndent="0" justifyLastLine="0" shrinkToFit="0" mergeCell="0" readingOrder="0"/>
    </dxf>
    <dxf>
      <numFmt numFmtId="27" formatCode="m/d/yyyy\ h:mm"/>
      <alignment horizontal="general" vertical="center" textRotation="0" wrapText="1" indent="0" relativeIndent="0" justifyLastLine="0" shrinkToFit="0" mergeCell="0" readingOrder="0"/>
    </dxf>
    <dxf>
      <alignment horizontal="center" vertical="center" textRotation="0" wrapText="1" indent="0" relativeIndent="0" justifyLastLine="0" shrinkToFit="0" mergeCell="0" readingOrder="0"/>
    </dxf>
    <dxf>
      <numFmt numFmtId="164" formatCode="dd/mm/yy;@"/>
      <alignment horizontal="center" vertical="center" textRotation="0" wrapText="1" indent="0" relativeIndent="0" justifyLastLine="0" shrinkToFit="0" mergeCell="0" readingOrder="0"/>
    </dxf>
    <dxf>
      <numFmt numFmtId="164" formatCode="dd/mm/yy;@"/>
      <alignment horizontal="center" vertical="center" textRotation="0" wrapText="1" indent="0" relativeIndent="0" justifyLastLine="0" shrinkToFit="0" mergeCell="0" readingOrder="0"/>
    </dxf>
    <dxf>
      <numFmt numFmtId="164" formatCode="dd/mm/yy;@"/>
      <alignment horizontal="center" vertical="center" textRotation="0" wrapText="1" indent="0" relativeIndent="0" justifyLastLine="0" shrinkToFit="0" mergeCell="0" readingOrder="0"/>
    </dxf>
    <dxf>
      <numFmt numFmtId="164" formatCode="dd/mm/yy;@"/>
      <alignment horizontal="center" vertical="center" textRotation="0" wrapText="1" indent="0" relativeIndent="0" justifyLastLine="0" shrinkToFit="0" mergeCell="0" readingOrder="0"/>
    </dxf>
    <dxf>
      <numFmt numFmtId="27" formatCode="m/d/yyyy\ h:mm"/>
      <alignment horizontal="general" vertical="center" textRotation="0" wrapText="1" indent="0" relativeIndent="0" justifyLastLine="0" shrinkToFit="0" mergeCell="0" readingOrder="0"/>
    </dxf>
    <dxf>
      <alignment horizontal="center" vertical="center" textRotation="0" wrapText="1" indent="0" relativeIndent="0" justifyLastLine="0" shrinkToFit="0" mergeCell="0" readingOrder="0"/>
      <protection locked="1" hidden="0"/>
    </dxf>
    <dxf>
      <alignment horizontal="general" vertical="center" textRotation="0" wrapText="1" indent="0" relativeIndent="0" justifyLastLine="0" shrinkToFit="0" mergeCell="0" readingOrder="0"/>
    </dxf>
    <dxf>
      <alignment horizontal="general" vertical="center" textRotation="0" wrapText="1" indent="0" relativeIndent="0" justifyLastLine="0" shrinkToFit="0" mergeCell="0" readingOrder="0"/>
    </dxf>
    <dxf>
      <border diagonalUp="0" diagonalDown="0" outline="0">
        <left/>
        <right/>
        <top/>
        <bottom/>
      </border>
    </dxf>
    <dxf>
      <border diagonalUp="0" diagonalDown="0" outline="0">
        <left/>
        <right/>
        <top/>
        <bottom/>
      </border>
    </dxf>
    <dxf>
      <alignment horizontal="center" vertical="bottom" textRotation="0" wrapText="0" indent="0" relativeIndent="0" justifyLastLine="0" shrinkToFit="0" mergeCell="0" readingOrder="0"/>
      <border diagonalUp="0" diagonalDown="0" outline="0">
        <left/>
        <right/>
        <top/>
        <bottom/>
      </border>
    </dxf>
    <dxf>
      <numFmt numFmtId="1" formatCode="0"/>
      <alignment horizontal="center" vertical="bottom" textRotation="0" wrapText="0" indent="0" relativeIndent="0" justifyLastLine="0" shrinkToFit="0" mergeCell="0" readingOrder="0"/>
      <border diagonalUp="0" diagonalDown="0" outline="0">
        <left/>
        <right/>
        <top/>
        <bottom/>
      </border>
    </dxf>
    <dxf>
      <numFmt numFmtId="1" formatCode="0"/>
      <alignment horizontal="center" vertical="bottom" textRotation="0" wrapText="0" indent="0" relativeIndent="0" justifyLastLine="0" shrinkToFit="0" mergeCell="0" readingOrder="0"/>
      <border diagonalUp="0" diagonalDown="0" outline="0">
        <left/>
        <right/>
        <top/>
        <bottom/>
      </border>
    </dxf>
    <dxf>
      <numFmt numFmtId="1" formatCode="0"/>
      <alignment horizontal="center" vertical="bottom" textRotation="0" wrapText="0" indent="0" relativeIndent="0" justifyLastLine="0" shrinkToFit="0" mergeCell="0" readingOrder="0"/>
      <border diagonalUp="0" diagonalDown="0" outline="0">
        <left/>
        <right/>
        <top/>
        <bottom/>
      </border>
    </dxf>
    <dxf>
      <numFmt numFmtId="1" formatCode="0"/>
      <alignment horizontal="center" vertical="bottom" textRotation="0" wrapText="0" indent="0" relativeIndent="0" justifyLastLine="0" shrinkToFit="0" mergeCell="0" readingOrder="0"/>
      <border diagonalUp="0" diagonalDown="0" outline="0">
        <left/>
        <right/>
        <top/>
        <bottom/>
      </border>
    </dxf>
    <dxf>
      <numFmt numFmtId="0" formatCode="General"/>
      <alignment horizontal="center" vertical="bottom" textRotation="0" wrapText="0" indent="0" relativeIndent="0" justifyLastLine="0" shrinkToFit="0" mergeCell="0" readingOrder="0"/>
      <border diagonalUp="0" diagonalDown="0" outline="0">
        <left/>
        <right/>
        <top/>
        <bottom/>
      </border>
    </dxf>
    <dxf>
      <alignment horizontal="center" vertical="bottom" textRotation="0" wrapText="0" indent="0" relativeIndent="0" justifyLastLine="0" shrinkToFit="0" mergeCell="0" readingOrder="0"/>
      <border diagonalUp="0" diagonalDown="0" outline="0">
        <left/>
        <right/>
        <top/>
        <bottom/>
      </border>
    </dxf>
    <dxf>
      <numFmt numFmtId="27" formatCode="m/d/yyyy\ h:mm"/>
      <border diagonalUp="0" diagonalDown="0" outline="0">
        <left/>
        <right/>
        <top/>
        <bottom/>
      </border>
    </dxf>
    <dxf>
      <numFmt numFmtId="164" formatCode="dd/mm/yy;@"/>
      <border diagonalUp="0" diagonalDown="0" outline="0">
        <left/>
        <right/>
        <top/>
        <bottom/>
      </border>
    </dxf>
    <dxf>
      <alignment vertical="center" textRotation="0" wrapText="1" justifyLastLine="0" shrinkToFit="0" mergeCell="0" readingOrder="0"/>
    </dxf>
    <dxf>
      <alignment horizontal="center" vertical="center" textRotation="0" wrapText="1" indent="0" relativeIndent="255" justifyLastLine="0" shrinkToFit="0" readingOrder="0"/>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vertical style="thin">
          <color theme="1"/>
        </vertical>
      </border>
    </dxf>
    <dxf>
      <border>
        <left style="thin">
          <color theme="6"/>
        </left>
      </border>
    </dxf>
    <dxf>
      <border>
        <left style="thin">
          <color theme="6"/>
        </left>
      </border>
    </dxf>
    <dxf>
      <border>
        <left style="thin">
          <color rgb="FF008080"/>
        </left>
        <right style="thin">
          <color rgb="FF008080"/>
        </right>
        <top style="thin">
          <color rgb="FF008080"/>
        </top>
        <bottom style="thin">
          <color rgb="FF008080"/>
        </bottom>
        <vertical style="thin">
          <color rgb="FF008080"/>
        </vertical>
        <horizontal style="thin">
          <color rgb="FF008080"/>
        </horizontal>
      </border>
    </dxf>
    <dxf>
      <border>
        <left style="thin">
          <color rgb="FF008080"/>
        </left>
        <right style="thin">
          <color rgb="FF008080"/>
        </right>
        <top style="thin">
          <color rgb="FF008080"/>
        </top>
        <bottom style="thin">
          <color rgb="FF008080"/>
        </bottom>
        <vertical style="thin">
          <color rgb="FF008080"/>
        </vertical>
        <horizontal style="thin">
          <color rgb="FF008080"/>
        </horizontal>
      </border>
    </dxf>
    <dxf>
      <font>
        <b/>
        <color theme="1"/>
      </font>
    </dxf>
    <dxf>
      <font>
        <b/>
        <color theme="1"/>
      </font>
    </dxf>
    <dxf>
      <font>
        <b/>
        <i val="0"/>
        <color theme="0"/>
      </font>
      <fill>
        <patternFill>
          <bgColor rgb="FF008080"/>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ont>
        <b/>
        <color theme="0"/>
      </font>
      <fill>
        <patternFill patternType="solid">
          <fgColor theme="6"/>
          <bgColor rgb="FF008080"/>
        </patternFill>
      </fill>
      <border>
        <left style="thin">
          <color theme="1"/>
        </left>
        <right style="thin">
          <color theme="1"/>
        </right>
        <top style="thin">
          <color theme="1"/>
        </top>
        <bottom style="thin">
          <color theme="1"/>
        </bottom>
        <vertical style="thin">
          <color theme="1"/>
        </vertical>
        <horizontal style="thin">
          <color theme="1"/>
        </horizontal>
      </border>
    </dxf>
    <dxf>
      <font>
        <color theme="1"/>
      </font>
      <border>
        <left style="thin">
          <color rgb="FF008080"/>
        </left>
        <right style="thin">
          <color rgb="FF008080"/>
        </right>
        <top style="thin">
          <color rgb="FF008080"/>
        </top>
        <bottom style="thin">
          <color rgb="FF008080"/>
        </bottom>
        <vertical style="thin">
          <color rgb="FF008080"/>
        </vertical>
        <horizontal style="thin">
          <color rgb="FF008080"/>
        </horizontal>
      </border>
    </dxf>
  </dxfs>
  <tableStyles count="2" defaultTableStyle="TableStyleMedium9" defaultPivotStyle="PivotStyleLight16">
    <tableStyle name="MIKADO" pivot="0" count="9">
      <tableStyleElement type="wholeTable" dxfId="421"/>
      <tableStyleElement type="headerRow" dxfId="420"/>
      <tableStyleElement type="totalRow" dxfId="419"/>
      <tableStyleElement type="firstColumn" dxfId="418"/>
      <tableStyleElement type="lastColumn" dxfId="417"/>
      <tableStyleElement type="firstRowStripe" dxfId="416"/>
      <tableStyleElement type="secondRowStripe" dxfId="415"/>
      <tableStyleElement type="firstColumnStripe" dxfId="414"/>
      <tableStyleElement type="secondColumnStripe" dxfId="413"/>
    </tableStyle>
    <tableStyle name="TableStyleLight8 2" pivot="0" count="9">
      <tableStyleElement type="wholeTable" dxfId="412"/>
      <tableStyleElement type="headerRow" dxfId="411"/>
      <tableStyleElement type="totalRow" dxfId="410"/>
      <tableStyleElement type="firstColumn" dxfId="409"/>
      <tableStyleElement type="lastColumn" dxfId="408"/>
      <tableStyleElement type="firstRowStripe" dxfId="407"/>
      <tableStyleElement type="secondRowStripe" dxfId="406"/>
      <tableStyleElement type="firstColumnStripe" dxfId="405"/>
      <tableStyleElement type="secondColumnStripe" dxfId="404"/>
    </tableStyle>
  </tableStyles>
  <colors>
    <mruColors>
      <color rgb="FF00808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queryTables/queryTable1.xml><?xml version="1.0" encoding="utf-8"?>
<queryTable xmlns="http://schemas.openxmlformats.org/spreadsheetml/2006/main" name="Lancer la requête à partir de MS Access Database_1" adjustColumnWidth="0" connectionId="1" autoFormatId="16" applyNumberFormats="0" applyBorderFormats="0" applyFontFormats="0" applyPatternFormats="0" applyAlignmentFormats="0" applyWidthHeightFormats="0">
  <queryTableRefresh nextId="12">
    <queryTableFields count="11">
      <queryTableField id="1" name="Code Secteur" tableColumnId="1"/>
      <queryTableField id="2" name="VM" tableColumnId="2"/>
      <queryTableField id="3" name="Code médecin" tableColumnId="3"/>
      <queryTableField id="4" name="Medecin" tableColumnId="4"/>
      <queryTableField id="5" name="Date de réception convention financière" tableColumnId="5"/>
      <queryTableField id="6" name="Date de réception AR kit" tableColumnId="6"/>
      <queryTableField id="7" name="Date de MEP" tableColumnId="7"/>
      <queryTableField id="8" name="Desistement" tableColumnId="8"/>
      <queryTableField id="9" name="Nb Total Patients inclus" tableColumnId="9"/>
      <queryTableField id="10" name="Comptes-rendus contact médecin-GECEM" tableColumnId="10"/>
      <queryTableField id="11" name="Date" tableColumnId="11"/>
    </queryTableFields>
  </queryTableRefresh>
</queryTable>
</file>

<file path=xl/queryTables/queryTable2.xml><?xml version="1.0" encoding="utf-8"?>
<queryTable xmlns="http://schemas.openxmlformats.org/spreadsheetml/2006/main" name="Lancer la requête à partir de MS Access Database" adjustColumnWidth="0" connectionId="2"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3.xml><?xml version="1.0" encoding="utf-8"?>
<queryTable xmlns="http://schemas.openxmlformats.org/spreadsheetml/2006/main" name="Lancer la requête à partir de MS Access Database" adjustColumnWidth="0" connectionId="4"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4.xml><?xml version="1.0" encoding="utf-8"?>
<queryTable xmlns="http://schemas.openxmlformats.org/spreadsheetml/2006/main" name="Lancer la requête à partir de MS Access Database" adjustColumnWidth="0" connectionId="3"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5.xml><?xml version="1.0" encoding="utf-8"?>
<queryTable xmlns="http://schemas.openxmlformats.org/spreadsheetml/2006/main" name="Lancer la requête à partir de MS Access Database" adjustColumnWidth="0" connectionId="8"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6.xml><?xml version="1.0" encoding="utf-8"?>
<queryTable xmlns="http://schemas.openxmlformats.org/spreadsheetml/2006/main" name="Lancer la requête à partir de MS Access Database" adjustColumnWidth="0" connectionId="6"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7.xml><?xml version="1.0" encoding="utf-8"?>
<queryTable xmlns="http://schemas.openxmlformats.org/spreadsheetml/2006/main" name="Lancer la requête à partir de MS Access Database" adjustColumnWidth="0" connectionId="5"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8.xml><?xml version="1.0" encoding="utf-8"?>
<queryTable xmlns="http://schemas.openxmlformats.org/spreadsheetml/2006/main" name="Lancer la requête à partir de MS Access Database" adjustColumnWidth="0" connectionId="7"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9.xml><?xml version="1.0" encoding="utf-8"?>
<queryTable xmlns="http://schemas.openxmlformats.org/spreadsheetml/2006/main" name="Lancer la requête à partir de MS Access Database" adjustColumnWidth="0" connectionId="9"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0.xml><?xml version="1.0" encoding="utf-8"?>
<queryTable xmlns="http://schemas.openxmlformats.org/spreadsheetml/2006/main" name="Lancer la requête à partir de MS Access Database" adjustColumnWidth="0" connectionId="10"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1.xml><?xml version="1.0" encoding="utf-8"?>
<queryTable xmlns="http://schemas.openxmlformats.org/spreadsheetml/2006/main" name="Lancer la requête à partir de MS Access Database" adjustColumnWidth="0" connectionId="11"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2.xml><?xml version="1.0" encoding="utf-8"?>
<queryTable xmlns="http://schemas.openxmlformats.org/spreadsheetml/2006/main" name="Lancer la requête à partir de MS Access Database" adjustColumnWidth="0" connectionId="12"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3.xml><?xml version="1.0" encoding="utf-8"?>
<queryTable xmlns="http://schemas.openxmlformats.org/spreadsheetml/2006/main" name="Lancer la requête à partir de MS Access Database" adjustColumnWidth="0" connectionId="13"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4.xml><?xml version="1.0" encoding="utf-8"?>
<queryTable xmlns="http://schemas.openxmlformats.org/spreadsheetml/2006/main" name="Lancer la requête à partir de MS Access Database" adjustColumnWidth="0" connectionId="14"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5.xml><?xml version="1.0" encoding="utf-8"?>
<queryTable xmlns="http://schemas.openxmlformats.org/spreadsheetml/2006/main" name="Lancer la requête à partir de MS Access Database" adjustColumnWidth="0" connectionId="16"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6.xml><?xml version="1.0" encoding="utf-8"?>
<queryTable xmlns="http://schemas.openxmlformats.org/spreadsheetml/2006/main" name="Lancer la requête à partir de MS Access Database" adjustColumnWidth="0" connectionId="17"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7.xml><?xml version="1.0" encoding="utf-8"?>
<queryTable xmlns="http://schemas.openxmlformats.org/spreadsheetml/2006/main" name="Lancer la requête à partir de MS Access Database" adjustColumnWidth="0" connectionId="18"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8.xml><?xml version="1.0" encoding="utf-8"?>
<queryTable xmlns="http://schemas.openxmlformats.org/spreadsheetml/2006/main" name="Lancer la requête à partir de MS Access Database" adjustColumnWidth="0" connectionId="19"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19.xml><?xml version="1.0" encoding="utf-8"?>
<queryTable xmlns="http://schemas.openxmlformats.org/spreadsheetml/2006/main" name="Lancer la requête à partir de MS Access Database" adjustColumnWidth="0" connectionId="20"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queryTables/queryTable20.xml><?xml version="1.0" encoding="utf-8"?>
<queryTable xmlns="http://schemas.openxmlformats.org/spreadsheetml/2006/main" name="Lancer la requête à partir de MS Access Database" adjustColumnWidth="0" connectionId="15" autoFormatId="16" applyNumberFormats="0" applyBorderFormats="0" applyFontFormats="0" applyPatternFormats="0" applyAlignmentFormats="0" applyWidthHeightFormats="0">
  <queryTableRefresh nextId="21">
    <queryTableFields count="20">
      <queryTableField id="1" name="Num_Centre" tableColumnId="1"/>
      <queryTableField id="2" name="Investigateur" tableColumnId="2"/>
      <queryTableField id="3" name="Num_Patient" tableColumnId="3"/>
      <queryTableField id="4" name="INCLUSION_Visite" tableColumnId="4"/>
      <queryTableField id="5" name="INCLUSION_Reception" tableColumnId="5"/>
      <queryTableField id="6" name="AQINCLUSION_Reception" tableColumnId="6"/>
      <queryTableField id="7" name="CONTACT_Reception" tableColumnId="7"/>
      <queryTableField id="8" name="TypeRappel" tableColumnId="8"/>
      <queryTableField id="9" name="AQ7Theo" tableColumnId="9"/>
      <queryTableField id="10" name="AQJ7_Reception" tableColumnId="10"/>
      <queryTableField id="11" name="AQ_M2_Theo" tableColumnId="11"/>
      <queryTableField id="12" name="AQM2_Reception" tableColumnId="12"/>
      <queryTableField id="13" name="VP_Theo" tableColumnId="13"/>
      <queryTableField id="14" name="PRECOCE_Visite" tableColumnId="14"/>
      <queryTableField id="15" name="PRECOCE_Reception" tableColumnId="15"/>
      <queryTableField id="16" name="VT_Theo" tableColumnId="16"/>
      <queryTableField id="17" name="TARDIF_Visite" tableColumnId="17"/>
      <queryTableField id="18" name="TARDIF_Reception" tableColumnId="18"/>
      <queryTableField id="19" name="Onekey" tableColumnId="19"/>
      <queryTableField id="20" name="Date"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table1.xml><?xml version="1.0" encoding="utf-8"?>
<table xmlns="http://schemas.openxmlformats.org/spreadsheetml/2006/main" id="2" name="Tableau_Lancer_la_requête_à_partir_de_MS_Access_Database_1" displayName="Tableau_Lancer_la_requête_à_partir_de_MS_Access_Database_1" ref="A7:K27" tableType="queryTable" totalsRowCount="1" headerRowDxfId="403" dataDxfId="402">
  <tableColumns count="11">
    <tableColumn id="1" uniqueName="1" name="Code Secteur" queryTableFieldId="1" dataDxfId="390" totalsRowDxfId="391"/>
    <tableColumn id="2" uniqueName="2" name="VM" queryTableFieldId="2" dataDxfId="389" totalsRowDxfId="392"/>
    <tableColumn id="3" uniqueName="3" name="Code médecin" totalsRowLabel="TOTAL" queryTableFieldId="3" dataDxfId="388" totalsRowDxfId="393" dataCellStyle="Lien hypertexte"/>
    <tableColumn id="4" uniqueName="4" name="Medecin" totalsRowFunction="custom" queryTableFieldId="4" dataDxfId="387" totalsRowDxfId="394">
      <totalsRowFormula>SUBTOTAL(3,D8:D26)</totalsRowFormula>
    </tableColumn>
    <tableColumn id="5" uniqueName="5" name="Date de réception convention financière" totalsRowFunction="custom" queryTableFieldId="5" dataDxfId="386" totalsRowDxfId="395">
      <totalsRowFormula>SUBTOTAL(3,[Date de réception convention financière])</totalsRowFormula>
    </tableColumn>
    <tableColumn id="6" uniqueName="6" name="Date de réception AR kit" totalsRowFunction="custom" queryTableFieldId="6" dataDxfId="385" totalsRowDxfId="396">
      <totalsRowFormula>SUBTOTAL(3,[Date de réception AR kit])</totalsRowFormula>
    </tableColumn>
    <tableColumn id="7" uniqueName="7" name="Date de MEP" totalsRowFunction="custom" queryTableFieldId="7" dataDxfId="384" totalsRowDxfId="397">
      <totalsRowFormula>SUBTOTAL(3,[Date de MEP])</totalsRowFormula>
    </tableColumn>
    <tableColumn id="8" uniqueName="8" name="Desistement" totalsRowFunction="custom" queryTableFieldId="8" dataDxfId="383" totalsRowDxfId="398">
      <totalsRowFormula>SUBTOTAL(3,[Desistement])</totalsRowFormula>
    </tableColumn>
    <tableColumn id="9" uniqueName="9" name="Nb Total Patients inclus" totalsRowFunction="custom" queryTableFieldId="9" dataDxfId="382" totalsRowDxfId="399">
      <totalsRowFormula>SUBTOTAL(109,I8:I26)</totalsRowFormula>
    </tableColumn>
    <tableColumn id="10" uniqueName="10" name="Comptes-rendus contact médecin-GECEM" queryTableFieldId="10" dataDxfId="381" totalsRowDxfId="400"/>
    <tableColumn id="11" uniqueName="11" name="Date" queryTableFieldId="11" dataDxfId="380" totalsRowDxfId="401"/>
  </tableColumns>
  <tableStyleInfo name="MIKADO" showFirstColumn="0" showLastColumn="0" showRowStripes="1" showColumnStripes="0"/>
</table>
</file>

<file path=xl/tables/table2.xml><?xml version="1.0" encoding="utf-8"?>
<table xmlns="http://schemas.openxmlformats.org/spreadsheetml/2006/main" id="14" name="Tableau_Lancer_la_requête_à_partir_de_MS_Access_Database456789101112131415" displayName="Tableau_Lancer_la_requête_à_partir_de_MS_Access_Database456789101112131415" ref="B9:U13" tableType="queryTable" totalsRowShown="0">
  <autoFilter ref="B9:U13"/>
  <tableColumns count="20">
    <tableColumn id="1" uniqueName="1" name="Num_Centre" queryTableFieldId="1" dataDxfId="379"/>
    <tableColumn id="2" uniqueName="2" name="Investigateur" queryTableFieldId="2" dataDxfId="378"/>
    <tableColumn id="3" uniqueName="3" name="Num_Patient" queryTableFieldId="3" dataDxfId="377"/>
    <tableColumn id="4" uniqueName="4" name="INCLUSION_Visite" queryTableFieldId="4" dataDxfId="376"/>
    <tableColumn id="5" uniqueName="5" name="INCLUSION_Reception" queryTableFieldId="5" dataDxfId="375"/>
    <tableColumn id="6" uniqueName="6" name="AQINCLUSION_Reception" queryTableFieldId="6" dataDxfId="374"/>
    <tableColumn id="7" uniqueName="7" name="CONTACT_Reception" queryTableFieldId="7" dataDxfId="373"/>
    <tableColumn id="8" uniqueName="8" name="TypeRappel" queryTableFieldId="8" dataDxfId="372"/>
    <tableColumn id="9" uniqueName="9" name="AQ7Theo" queryTableFieldId="9" dataDxfId="371"/>
    <tableColumn id="10" uniqueName="10" name="AQJ7_Reception" queryTableFieldId="10" dataDxfId="370"/>
    <tableColumn id="11" uniqueName="11" name="AQ_M2_Theo" queryTableFieldId="11" dataDxfId="369"/>
    <tableColumn id="12" uniqueName="12" name="AQM2_Reception" queryTableFieldId="12" dataDxfId="368"/>
    <tableColumn id="13" uniqueName="13" name="VP_Theo" queryTableFieldId="13" dataDxfId="367"/>
    <tableColumn id="14" uniqueName="14" name="PRECOCE_Visite" queryTableFieldId="14" dataDxfId="366"/>
    <tableColumn id="15" uniqueName="15" name="PRECOCE_Reception" queryTableFieldId="15" dataDxfId="365"/>
    <tableColumn id="16" uniqueName="16" name="VT_Theo" queryTableFieldId="16" dataDxfId="364"/>
    <tableColumn id="17" uniqueName="17" name="TARDIF_Visite" queryTableFieldId="17" dataDxfId="363"/>
    <tableColumn id="18" uniqueName="18" name="TARDIF_Reception" queryTableFieldId="18" dataDxfId="362"/>
    <tableColumn id="19" uniqueName="19" name="Onekey" queryTableFieldId="19" dataDxfId="361"/>
    <tableColumn id="20" uniqueName="20" name="Date" queryTableFieldId="20" dataDxfId="360"/>
  </tableColumns>
  <tableStyleInfo name="TableStyleLight8 2" showFirstColumn="0" showLastColumn="0" showRowStripes="1" showColumnStripes="0"/>
</table>
</file>

<file path=xl/tables/table3.xml><?xml version="1.0" encoding="utf-8"?>
<table xmlns="http://schemas.openxmlformats.org/spreadsheetml/2006/main" id="13" name="Tableau_Lancer_la_requête_à_partir_de_MS_Access_Database4567891011121314" displayName="Tableau_Lancer_la_requête_à_partir_de_MS_Access_Database4567891011121314" ref="B9:U12" tableType="queryTable" totalsRowShown="0">
  <autoFilter ref="B9:U12"/>
  <tableColumns count="20">
    <tableColumn id="1" uniqueName="1" name="Num_Centre" queryTableFieldId="1" dataDxfId="359"/>
    <tableColumn id="2" uniqueName="2" name="Investigateur" queryTableFieldId="2" dataDxfId="358"/>
    <tableColumn id="3" uniqueName="3" name="Num_Patient" queryTableFieldId="3" dataDxfId="357"/>
    <tableColumn id="4" uniqueName="4" name="INCLUSION_Visite" queryTableFieldId="4" dataDxfId="356"/>
    <tableColumn id="5" uniqueName="5" name="INCLUSION_Reception" queryTableFieldId="5" dataDxfId="355"/>
    <tableColumn id="6" uniqueName="6" name="AQINCLUSION_Reception" queryTableFieldId="6" dataDxfId="354"/>
    <tableColumn id="7" uniqueName="7" name="CONTACT_Reception" queryTableFieldId="7" dataDxfId="353"/>
    <tableColumn id="8" uniqueName="8" name="TypeRappel" queryTableFieldId="8" dataDxfId="352"/>
    <tableColumn id="9" uniqueName="9" name="AQ7Theo" queryTableFieldId="9" dataDxfId="351"/>
    <tableColumn id="10" uniqueName="10" name="AQJ7_Reception" queryTableFieldId="10" dataDxfId="350"/>
    <tableColumn id="11" uniqueName="11" name="AQ_M2_Theo" queryTableFieldId="11" dataDxfId="349"/>
    <tableColumn id="12" uniqueName="12" name="AQM2_Reception" queryTableFieldId="12" dataDxfId="348"/>
    <tableColumn id="13" uniqueName="13" name="VP_Theo" queryTableFieldId="13" dataDxfId="347"/>
    <tableColumn id="14" uniqueName="14" name="PRECOCE_Visite" queryTableFieldId="14" dataDxfId="346"/>
    <tableColumn id="15" uniqueName="15" name="PRECOCE_Reception" queryTableFieldId="15" dataDxfId="345"/>
    <tableColumn id="16" uniqueName="16" name="VT_Theo" queryTableFieldId="16" dataDxfId="344"/>
    <tableColumn id="17" uniqueName="17" name="TARDIF_Visite" queryTableFieldId="17" dataDxfId="343"/>
    <tableColumn id="18" uniqueName="18" name="TARDIF_Reception" queryTableFieldId="18" dataDxfId="342"/>
    <tableColumn id="19" uniqueName="19" name="Onekey" queryTableFieldId="19" dataDxfId="341"/>
    <tableColumn id="20" uniqueName="20" name="Date" queryTableFieldId="20" dataDxfId="340"/>
  </tableColumns>
  <tableStyleInfo name="TableStyleLight8 2" showFirstColumn="0" showLastColumn="0" showRowStripes="1" showColumnStripes="0"/>
</table>
</file>

<file path=xl/tables/table4.xml><?xml version="1.0" encoding="utf-8"?>
<table xmlns="http://schemas.openxmlformats.org/spreadsheetml/2006/main" id="1" name="Tableau_Lancer_la_requête_à_partir_de_MS_Access_Database" displayName="Tableau_Lancer_la_requête_à_partir_de_MS_Access_Database" ref="B9:U14" tableType="queryTable" totalsRowShown="0">
  <autoFilter ref="B9:U14"/>
  <tableColumns count="20">
    <tableColumn id="1" uniqueName="1" name="Num_Centre" queryTableFieldId="1" dataDxfId="339"/>
    <tableColumn id="2" uniqueName="2" name="Investigateur" queryTableFieldId="2" dataDxfId="338"/>
    <tableColumn id="3" uniqueName="3" name="Num_Patient" queryTableFieldId="3" dataDxfId="337"/>
    <tableColumn id="4" uniqueName="4" name="INCLUSION_Visite" queryTableFieldId="4" dataDxfId="336"/>
    <tableColumn id="5" uniqueName="5" name="INCLUSION_Reception" queryTableFieldId="5" dataDxfId="335"/>
    <tableColumn id="6" uniqueName="6" name="AQINCLUSION_Reception" queryTableFieldId="6" dataDxfId="334"/>
    <tableColumn id="7" uniqueName="7" name="CONTACT_Reception" queryTableFieldId="7" dataDxfId="333"/>
    <tableColumn id="8" uniqueName="8" name="TypeRappel" queryTableFieldId="8" dataDxfId="332"/>
    <tableColumn id="9" uniqueName="9" name="AQ7Theo" queryTableFieldId="9" dataDxfId="331"/>
    <tableColumn id="10" uniqueName="10" name="AQJ7_Reception" queryTableFieldId="10" dataDxfId="330"/>
    <tableColumn id="11" uniqueName="11" name="AQ_M2_Theo" queryTableFieldId="11" dataDxfId="329"/>
    <tableColumn id="12" uniqueName="12" name="AQM2_Reception" queryTableFieldId="12" dataDxfId="328"/>
    <tableColumn id="13" uniqueName="13" name="VP_Theo" queryTableFieldId="13" dataDxfId="327"/>
    <tableColumn id="14" uniqueName="14" name="PRECOCE_Visite" queryTableFieldId="14" dataDxfId="326"/>
    <tableColumn id="15" uniqueName="15" name="PRECOCE_Reception" queryTableFieldId="15" dataDxfId="325"/>
    <tableColumn id="16" uniqueName="16" name="VT_Theo" queryTableFieldId="16" dataDxfId="324"/>
    <tableColumn id="17" uniqueName="17" name="TARDIF_Visite" queryTableFieldId="17" dataDxfId="323"/>
    <tableColumn id="18" uniqueName="18" name="TARDIF_Reception" queryTableFieldId="18" dataDxfId="322"/>
    <tableColumn id="19" uniqueName="19" name="Onekey" queryTableFieldId="19" dataDxfId="321"/>
    <tableColumn id="20" uniqueName="20" name="Date" queryTableFieldId="20" dataDxfId="320"/>
  </tableColumns>
  <tableStyleInfo name="TableStyleLight8 2" showFirstColumn="0" showLastColumn="0" showRowStripes="1" showColumnStripes="0"/>
</table>
</file>

<file path=xl/tables/table5.xml><?xml version="1.0" encoding="utf-8"?>
<table xmlns="http://schemas.openxmlformats.org/spreadsheetml/2006/main" id="3" name="Tableau_Lancer_la_requête_à_partir_de_MS_Access_Database4" displayName="Tableau_Lancer_la_requête_à_partir_de_MS_Access_Database4" ref="B9:U12" tableType="queryTable" totalsRowShown="0">
  <autoFilter ref="B9:U12"/>
  <tableColumns count="20">
    <tableColumn id="1" uniqueName="1" name="Num_Centre" queryTableFieldId="1" dataDxfId="319"/>
    <tableColumn id="2" uniqueName="2" name="Investigateur" queryTableFieldId="2" dataDxfId="318"/>
    <tableColumn id="3" uniqueName="3" name="Num_Patient" queryTableFieldId="3" dataDxfId="317"/>
    <tableColumn id="4" uniqueName="4" name="INCLUSION_Visite" queryTableFieldId="4" dataDxfId="316"/>
    <tableColumn id="5" uniqueName="5" name="INCLUSION_Reception" queryTableFieldId="5" dataDxfId="315"/>
    <tableColumn id="6" uniqueName="6" name="AQINCLUSION_Reception" queryTableFieldId="6" dataDxfId="314"/>
    <tableColumn id="7" uniqueName="7" name="CONTACT_Reception" queryTableFieldId="7" dataDxfId="313"/>
    <tableColumn id="8" uniqueName="8" name="TypeRappel" queryTableFieldId="8" dataDxfId="312"/>
    <tableColumn id="9" uniqueName="9" name="AQ7Theo" queryTableFieldId="9" dataDxfId="311"/>
    <tableColumn id="10" uniqueName="10" name="AQJ7_Reception" queryTableFieldId="10" dataDxfId="310"/>
    <tableColumn id="11" uniqueName="11" name="AQ_M2_Theo" queryTableFieldId="11" dataDxfId="309"/>
    <tableColumn id="12" uniqueName="12" name="AQM2_Reception" queryTableFieldId="12" dataDxfId="308"/>
    <tableColumn id="13" uniqueName="13" name="VP_Theo" queryTableFieldId="13" dataDxfId="307"/>
    <tableColumn id="14" uniqueName="14" name="PRECOCE_Visite" queryTableFieldId="14" dataDxfId="306"/>
    <tableColumn id="15" uniqueName="15" name="PRECOCE_Reception" queryTableFieldId="15" dataDxfId="305"/>
    <tableColumn id="16" uniqueName="16" name="VT_Theo" queryTableFieldId="16" dataDxfId="304"/>
    <tableColumn id="17" uniqueName="17" name="TARDIF_Visite" queryTableFieldId="17" dataDxfId="303"/>
    <tableColumn id="18" uniqueName="18" name="TARDIF_Reception" queryTableFieldId="18" dataDxfId="302"/>
    <tableColumn id="19" uniqueName="19" name="Onekey" queryTableFieldId="19" dataDxfId="301"/>
    <tableColumn id="20" uniqueName="20" name="Date" queryTableFieldId="20" dataDxfId="300"/>
  </tableColumns>
  <tableStyleInfo name="TableStyleLight8 2" showFirstColumn="0" showLastColumn="0" showRowStripes="1" showColumnStripes="0"/>
</table>
</file>

<file path=xl/tables/table6.xml><?xml version="1.0" encoding="utf-8"?>
<table xmlns="http://schemas.openxmlformats.org/spreadsheetml/2006/main" id="4" name="Tableau_Lancer_la_requête_à_partir_de_MS_Access_Database45" displayName="Tableau_Lancer_la_requête_à_partir_de_MS_Access_Database45" ref="B9:U14" tableType="queryTable" totalsRowShown="0">
  <autoFilter ref="B9:U14"/>
  <tableColumns count="20">
    <tableColumn id="1" uniqueName="1" name="Num_Centre" queryTableFieldId="1" dataDxfId="299"/>
    <tableColumn id="2" uniqueName="2" name="Investigateur" queryTableFieldId="2" dataDxfId="298"/>
    <tableColumn id="3" uniqueName="3" name="Num_Patient" queryTableFieldId="3" dataDxfId="297"/>
    <tableColumn id="4" uniqueName="4" name="INCLUSION_Visite" queryTableFieldId="4" dataDxfId="296"/>
    <tableColumn id="5" uniqueName="5" name="INCLUSION_Reception" queryTableFieldId="5" dataDxfId="295"/>
    <tableColumn id="6" uniqueName="6" name="AQINCLUSION_Reception" queryTableFieldId="6" dataDxfId="294"/>
    <tableColumn id="7" uniqueName="7" name="CONTACT_Reception" queryTableFieldId="7" dataDxfId="293"/>
    <tableColumn id="8" uniqueName="8" name="TypeRappel" queryTableFieldId="8" dataDxfId="292"/>
    <tableColumn id="9" uniqueName="9" name="AQ7Theo" queryTableFieldId="9" dataDxfId="291"/>
    <tableColumn id="10" uniqueName="10" name="AQJ7_Reception" queryTableFieldId="10" dataDxfId="290"/>
    <tableColumn id="11" uniqueName="11" name="AQ_M2_Theo" queryTableFieldId="11" dataDxfId="289"/>
    <tableColumn id="12" uniqueName="12" name="AQM2_Reception" queryTableFieldId="12" dataDxfId="288"/>
    <tableColumn id="13" uniqueName="13" name="VP_Theo" queryTableFieldId="13" dataDxfId="287"/>
    <tableColumn id="14" uniqueName="14" name="PRECOCE_Visite" queryTableFieldId="14" dataDxfId="286"/>
    <tableColumn id="15" uniqueName="15" name="PRECOCE_Reception" queryTableFieldId="15" dataDxfId="285"/>
    <tableColumn id="16" uniqueName="16" name="VT_Theo" queryTableFieldId="16" dataDxfId="284"/>
    <tableColumn id="17" uniqueName="17" name="TARDIF_Visite" queryTableFieldId="17" dataDxfId="283"/>
    <tableColumn id="18" uniqueName="18" name="TARDIF_Reception" queryTableFieldId="18" dataDxfId="282"/>
    <tableColumn id="19" uniqueName="19" name="Onekey" queryTableFieldId="19" dataDxfId="281"/>
    <tableColumn id="20" uniqueName="20" name="Date" queryTableFieldId="20" dataDxfId="280"/>
  </tableColumns>
  <tableStyleInfo name="TableStyleLight8 2" showFirstColumn="0" showLastColumn="0" showRowStripes="1" showColumnStripes="0"/>
</table>
</file>

<file path=xl/tables/table7.xml><?xml version="1.0" encoding="utf-8"?>
<table xmlns="http://schemas.openxmlformats.org/spreadsheetml/2006/main" id="5" name="Tableau_Lancer_la_requête_à_partir_de_MS_Access_Database456" displayName="Tableau_Lancer_la_requête_à_partir_de_MS_Access_Database456" ref="B9:U12" tableType="queryTable" totalsRowShown="0">
  <autoFilter ref="B9:U12"/>
  <tableColumns count="20">
    <tableColumn id="1" uniqueName="1" name="Num_Centre" queryTableFieldId="1" dataDxfId="279"/>
    <tableColumn id="2" uniqueName="2" name="Investigateur" queryTableFieldId="2" dataDxfId="278"/>
    <tableColumn id="3" uniqueName="3" name="Num_Patient" queryTableFieldId="3" dataDxfId="277"/>
    <tableColumn id="4" uniqueName="4" name="INCLUSION_Visite" queryTableFieldId="4" dataDxfId="276"/>
    <tableColumn id="5" uniqueName="5" name="INCLUSION_Reception" queryTableFieldId="5" dataDxfId="275"/>
    <tableColumn id="6" uniqueName="6" name="AQINCLUSION_Reception" queryTableFieldId="6" dataDxfId="274"/>
    <tableColumn id="7" uniqueName="7" name="CONTACT_Reception" queryTableFieldId="7" dataDxfId="273"/>
    <tableColumn id="8" uniqueName="8" name="TypeRappel" queryTableFieldId="8" dataDxfId="272"/>
    <tableColumn id="9" uniqueName="9" name="AQ7Theo" queryTableFieldId="9" dataDxfId="271"/>
    <tableColumn id="10" uniqueName="10" name="AQJ7_Reception" queryTableFieldId="10" dataDxfId="270"/>
    <tableColumn id="11" uniqueName="11" name="AQ_M2_Theo" queryTableFieldId="11" dataDxfId="269"/>
    <tableColumn id="12" uniqueName="12" name="AQM2_Reception" queryTableFieldId="12" dataDxfId="268"/>
    <tableColumn id="13" uniqueName="13" name="VP_Theo" queryTableFieldId="13" dataDxfId="267"/>
    <tableColumn id="14" uniqueName="14" name="PRECOCE_Visite" queryTableFieldId="14" dataDxfId="266"/>
    <tableColumn id="15" uniqueName="15" name="PRECOCE_Reception" queryTableFieldId="15" dataDxfId="265"/>
    <tableColumn id="16" uniqueName="16" name="VT_Theo" queryTableFieldId="16" dataDxfId="264"/>
    <tableColumn id="17" uniqueName="17" name="TARDIF_Visite" queryTableFieldId="17" dataDxfId="263"/>
    <tableColumn id="18" uniqueName="18" name="TARDIF_Reception" queryTableFieldId="18" dataDxfId="262"/>
    <tableColumn id="19" uniqueName="19" name="Onekey" queryTableFieldId="19" dataDxfId="261"/>
    <tableColumn id="20" uniqueName="20" name="Date" queryTableFieldId="20" dataDxfId="260"/>
  </tableColumns>
  <tableStyleInfo name="TableStyleLight8 2" showFirstColumn="0" showLastColumn="0" showRowStripes="1" showColumnStripes="0"/>
</table>
</file>

<file path=xl/tables/table8.xml><?xml version="1.0" encoding="utf-8"?>
<table xmlns="http://schemas.openxmlformats.org/spreadsheetml/2006/main" id="16" name="Tableau_Lancer_la_requête_à_partir_de_MS_Access_Database45617" displayName="Tableau_Lancer_la_requête_à_partir_de_MS_Access_Database45617" ref="B9:U10" tableType="queryTable" totalsRowShown="0">
  <autoFilter ref="B9:U10"/>
  <tableColumns count="20">
    <tableColumn id="1" uniqueName="1" name="Num_Centre" queryTableFieldId="1" dataDxfId="259"/>
    <tableColumn id="2" uniqueName="2" name="Investigateur" queryTableFieldId="2" dataDxfId="258"/>
    <tableColumn id="3" uniqueName="3" name="Num_Patient" queryTableFieldId="3" dataDxfId="257"/>
    <tableColumn id="4" uniqueName="4" name="INCLUSION_Visite" queryTableFieldId="4" dataDxfId="256"/>
    <tableColumn id="5" uniqueName="5" name="INCLUSION_Reception" queryTableFieldId="5" dataDxfId="255"/>
    <tableColumn id="6" uniqueName="6" name="AQINCLUSION_Reception" queryTableFieldId="6" dataDxfId="254"/>
    <tableColumn id="7" uniqueName="7" name="CONTACT_Reception" queryTableFieldId="7" dataDxfId="253"/>
    <tableColumn id="8" uniqueName="8" name="TypeRappel" queryTableFieldId="8" dataDxfId="252"/>
    <tableColumn id="9" uniqueName="9" name="AQ7Theo" queryTableFieldId="9" dataDxfId="251"/>
    <tableColumn id="10" uniqueName="10" name="AQJ7_Reception" queryTableFieldId="10" dataDxfId="250"/>
    <tableColumn id="11" uniqueName="11" name="AQ_M2_Theo" queryTableFieldId="11" dataDxfId="249"/>
    <tableColumn id="12" uniqueName="12" name="AQM2_Reception" queryTableFieldId="12" dataDxfId="248"/>
    <tableColumn id="13" uniqueName="13" name="VP_Theo" queryTableFieldId="13" dataDxfId="247"/>
    <tableColumn id="14" uniqueName="14" name="PRECOCE_Visite" queryTableFieldId="14" dataDxfId="246"/>
    <tableColumn id="15" uniqueName="15" name="PRECOCE_Reception" queryTableFieldId="15" dataDxfId="245"/>
    <tableColumn id="16" uniqueName="16" name="VT_Theo" queryTableFieldId="16" dataDxfId="244"/>
    <tableColumn id="17" uniqueName="17" name="TARDIF_Visite" queryTableFieldId="17" dataDxfId="243"/>
    <tableColumn id="18" uniqueName="18" name="TARDIF_Reception" queryTableFieldId="18" dataDxfId="242"/>
    <tableColumn id="19" uniqueName="19" name="Onekey" queryTableFieldId="19" dataDxfId="241"/>
    <tableColumn id="20" uniqueName="20" name="Date" queryTableFieldId="20" dataDxfId="240"/>
  </tableColumns>
  <tableStyleInfo name="TableStyleLight8 2" showFirstColumn="0" showLastColumn="0" showRowStripes="1" showColumnStripes="0"/>
</table>
</file>

<file path=xl/tables/table9.xml><?xml version="1.0" encoding="utf-8"?>
<table xmlns="http://schemas.openxmlformats.org/spreadsheetml/2006/main" id="6" name="Tableau_Lancer_la_requête_à_partir_de_MS_Access_Database4567" displayName="Tableau_Lancer_la_requête_à_partir_de_MS_Access_Database4567" ref="B9:U12" tableType="queryTable" totalsRowShown="0">
  <autoFilter ref="B9:U12"/>
  <tableColumns count="20">
    <tableColumn id="1" uniqueName="1" name="Num_Centre" queryTableFieldId="1" dataDxfId="239"/>
    <tableColumn id="2" uniqueName="2" name="Investigateur" queryTableFieldId="2" dataDxfId="238"/>
    <tableColumn id="3" uniqueName="3" name="Num_Patient" queryTableFieldId="3" dataDxfId="237"/>
    <tableColumn id="4" uniqueName="4" name="INCLUSION_Visite" queryTableFieldId="4" dataDxfId="236"/>
    <tableColumn id="5" uniqueName="5" name="INCLUSION_Reception" queryTableFieldId="5" dataDxfId="235"/>
    <tableColumn id="6" uniqueName="6" name="AQINCLUSION_Reception" queryTableFieldId="6" dataDxfId="234"/>
    <tableColumn id="7" uniqueName="7" name="CONTACT_Reception" queryTableFieldId="7" dataDxfId="233"/>
    <tableColumn id="8" uniqueName="8" name="TypeRappel" queryTableFieldId="8" dataDxfId="232"/>
    <tableColumn id="9" uniqueName="9" name="AQ7Theo" queryTableFieldId="9" dataDxfId="231"/>
    <tableColumn id="10" uniqueName="10" name="AQJ7_Reception" queryTableFieldId="10" dataDxfId="230"/>
    <tableColumn id="11" uniqueName="11" name="AQ_M2_Theo" queryTableFieldId="11" dataDxfId="229"/>
    <tableColumn id="12" uniqueName="12" name="AQM2_Reception" queryTableFieldId="12" dataDxfId="228"/>
    <tableColumn id="13" uniqueName="13" name="VP_Theo" queryTableFieldId="13" dataDxfId="227"/>
    <tableColumn id="14" uniqueName="14" name="PRECOCE_Visite" queryTableFieldId="14" dataDxfId="226"/>
    <tableColumn id="15" uniqueName="15" name="PRECOCE_Reception" queryTableFieldId="15" dataDxfId="225"/>
    <tableColumn id="16" uniqueName="16" name="VT_Theo" queryTableFieldId="16" dataDxfId="224"/>
    <tableColumn id="17" uniqueName="17" name="TARDIF_Visite" queryTableFieldId="17" dataDxfId="223"/>
    <tableColumn id="18" uniqueName="18" name="TARDIF_Reception" queryTableFieldId="18" dataDxfId="222"/>
    <tableColumn id="19" uniqueName="19" name="Onekey" queryTableFieldId="19" dataDxfId="221"/>
    <tableColumn id="20" uniqueName="20" name="Date" queryTableFieldId="20" dataDxfId="220"/>
  </tableColumns>
  <tableStyleInfo name="TableStyleLight8 2" showFirstColumn="0" showLastColumn="0" showRowStripes="1" showColumnStripes="0"/>
</table>
</file>

<file path=xl/tables/table10.xml><?xml version="1.0" encoding="utf-8"?>
<table xmlns="http://schemas.openxmlformats.org/spreadsheetml/2006/main" id="7" name="Tableau_Lancer_la_requête_à_partir_de_MS_Access_Database45678" displayName="Tableau_Lancer_la_requête_à_partir_de_MS_Access_Database45678" ref="B9:U14" tableType="queryTable" totalsRowShown="0">
  <autoFilter ref="B9:U14"/>
  <tableColumns count="20">
    <tableColumn id="1" uniqueName="1" name="Num_Centre" queryTableFieldId="1" dataDxfId="219"/>
    <tableColumn id="2" uniqueName="2" name="Investigateur" queryTableFieldId="2" dataDxfId="218"/>
    <tableColumn id="3" uniqueName="3" name="Num_Patient" queryTableFieldId="3" dataDxfId="217"/>
    <tableColumn id="4" uniqueName="4" name="INCLUSION_Visite" queryTableFieldId="4" dataDxfId="216"/>
    <tableColumn id="5" uniqueName="5" name="INCLUSION_Reception" queryTableFieldId="5" dataDxfId="215"/>
    <tableColumn id="6" uniqueName="6" name="AQINCLUSION_Reception" queryTableFieldId="6" dataDxfId="214"/>
    <tableColumn id="7" uniqueName="7" name="CONTACT_Reception" queryTableFieldId="7" dataDxfId="213"/>
    <tableColumn id="8" uniqueName="8" name="TypeRappel" queryTableFieldId="8" dataDxfId="212"/>
    <tableColumn id="9" uniqueName="9" name="AQ7Theo" queryTableFieldId="9" dataDxfId="211"/>
    <tableColumn id="10" uniqueName="10" name="AQJ7_Reception" queryTableFieldId="10" dataDxfId="210"/>
    <tableColumn id="11" uniqueName="11" name="AQ_M2_Theo" queryTableFieldId="11" dataDxfId="209"/>
    <tableColumn id="12" uniqueName="12" name="AQM2_Reception" queryTableFieldId="12" dataDxfId="208"/>
    <tableColumn id="13" uniqueName="13" name="VP_Theo" queryTableFieldId="13" dataDxfId="207"/>
    <tableColumn id="14" uniqueName="14" name="PRECOCE_Visite" queryTableFieldId="14" dataDxfId="206"/>
    <tableColumn id="15" uniqueName="15" name="PRECOCE_Reception" queryTableFieldId="15" dataDxfId="205"/>
    <tableColumn id="16" uniqueName="16" name="VT_Theo" queryTableFieldId="16" dataDxfId="204"/>
    <tableColumn id="17" uniqueName="17" name="TARDIF_Visite" queryTableFieldId="17" dataDxfId="203"/>
    <tableColumn id="18" uniqueName="18" name="TARDIF_Reception" queryTableFieldId="18" dataDxfId="202"/>
    <tableColumn id="19" uniqueName="19" name="Onekey" queryTableFieldId="19" dataDxfId="201"/>
    <tableColumn id="20" uniqueName="20" name="Date" queryTableFieldId="20" dataDxfId="200"/>
  </tableColumns>
  <tableStyleInfo name="TableStyleLight8 2" showFirstColumn="0" showLastColumn="0" showRowStripes="1" showColumnStripes="0"/>
</table>
</file>

<file path=xl/tables/table11.xml><?xml version="1.0" encoding="utf-8"?>
<table xmlns="http://schemas.openxmlformats.org/spreadsheetml/2006/main" id="20" name="Tableau_Lancer_la_requête_à_partir_de_MS_Access_Database4567821" displayName="Tableau_Lancer_la_requête_à_partir_de_MS_Access_Database4567821" ref="B9:U12" tableType="queryTable" totalsRowShown="0">
  <autoFilter ref="B9:U12"/>
  <tableColumns count="20">
    <tableColumn id="1" uniqueName="1" name="Num_Centre" queryTableFieldId="1" dataDxfId="199"/>
    <tableColumn id="2" uniqueName="2" name="Investigateur" queryTableFieldId="2" dataDxfId="198"/>
    <tableColumn id="3" uniqueName="3" name="Num_Patient" queryTableFieldId="3" dataDxfId="197"/>
    <tableColumn id="4" uniqueName="4" name="INCLUSION_Visite" queryTableFieldId="4" dataDxfId="196"/>
    <tableColumn id="5" uniqueName="5" name="INCLUSION_Reception" queryTableFieldId="5" dataDxfId="195"/>
    <tableColumn id="6" uniqueName="6" name="AQINCLUSION_Reception" queryTableFieldId="6" dataDxfId="194"/>
    <tableColumn id="7" uniqueName="7" name="CONTACT_Reception" queryTableFieldId="7" dataDxfId="193"/>
    <tableColumn id="8" uniqueName="8" name="TypeRappel" queryTableFieldId="8" dataDxfId="192"/>
    <tableColumn id="9" uniqueName="9" name="AQ7Theo" queryTableFieldId="9" dataDxfId="191"/>
    <tableColumn id="10" uniqueName="10" name="AQJ7_Reception" queryTableFieldId="10" dataDxfId="190"/>
    <tableColumn id="11" uniqueName="11" name="AQ_M2_Theo" queryTableFieldId="11" dataDxfId="189"/>
    <tableColumn id="12" uniqueName="12" name="AQM2_Reception" queryTableFieldId="12" dataDxfId="188"/>
    <tableColumn id="13" uniqueName="13" name="VP_Theo" queryTableFieldId="13" dataDxfId="187"/>
    <tableColumn id="14" uniqueName="14" name="PRECOCE_Visite" queryTableFieldId="14" dataDxfId="186"/>
    <tableColumn id="15" uniqueName="15" name="PRECOCE_Reception" queryTableFieldId="15" dataDxfId="185"/>
    <tableColumn id="16" uniqueName="16" name="VT_Theo" queryTableFieldId="16" dataDxfId="184"/>
    <tableColumn id="17" uniqueName="17" name="TARDIF_Visite" queryTableFieldId="17" dataDxfId="183"/>
    <tableColumn id="18" uniqueName="18" name="TARDIF_Reception" queryTableFieldId="18" dataDxfId="182"/>
    <tableColumn id="19" uniqueName="19" name="Onekey" queryTableFieldId="19" dataDxfId="181"/>
    <tableColumn id="20" uniqueName="20" name="Date" queryTableFieldId="20" dataDxfId="180"/>
  </tableColumns>
  <tableStyleInfo name="TableStyleLight8 2" showFirstColumn="0" showLastColumn="0" showRowStripes="1" showColumnStripes="0"/>
</table>
</file>

<file path=xl/tables/table12.xml><?xml version="1.0" encoding="utf-8"?>
<table xmlns="http://schemas.openxmlformats.org/spreadsheetml/2006/main" id="8" name="Tableau_Lancer_la_requête_à_partir_de_MS_Access_Database456789" displayName="Tableau_Lancer_la_requête_à_partir_de_MS_Access_Database456789" ref="B9:U14" tableType="queryTable" totalsRowShown="0">
  <autoFilter ref="B9:U14"/>
  <tableColumns count="20">
    <tableColumn id="1" uniqueName="1" name="Num_Centre" queryTableFieldId="1" dataDxfId="179"/>
    <tableColumn id="2" uniqueName="2" name="Investigateur" queryTableFieldId="2" dataDxfId="178"/>
    <tableColumn id="3" uniqueName="3" name="Num_Patient" queryTableFieldId="3" dataDxfId="177"/>
    <tableColumn id="4" uniqueName="4" name="INCLUSION_Visite" queryTableFieldId="4" dataDxfId="176"/>
    <tableColumn id="5" uniqueName="5" name="INCLUSION_Reception" queryTableFieldId="5" dataDxfId="175"/>
    <tableColumn id="6" uniqueName="6" name="AQINCLUSION_Reception" queryTableFieldId="6" dataDxfId="174"/>
    <tableColumn id="7" uniqueName="7" name="CONTACT_Reception" queryTableFieldId="7" dataDxfId="173"/>
    <tableColumn id="8" uniqueName="8" name="TypeRappel" queryTableFieldId="8" dataDxfId="172"/>
    <tableColumn id="9" uniqueName="9" name="AQ7Theo" queryTableFieldId="9" dataDxfId="171"/>
    <tableColumn id="10" uniqueName="10" name="AQJ7_Reception" queryTableFieldId="10" dataDxfId="170"/>
    <tableColumn id="11" uniqueName="11" name="AQ_M2_Theo" queryTableFieldId="11" dataDxfId="169"/>
    <tableColumn id="12" uniqueName="12" name="AQM2_Reception" queryTableFieldId="12" dataDxfId="168"/>
    <tableColumn id="13" uniqueName="13" name="VP_Theo" queryTableFieldId="13" dataDxfId="167"/>
    <tableColumn id="14" uniqueName="14" name="PRECOCE_Visite" queryTableFieldId="14" dataDxfId="166"/>
    <tableColumn id="15" uniqueName="15" name="PRECOCE_Reception" queryTableFieldId="15" dataDxfId="165"/>
    <tableColumn id="16" uniqueName="16" name="VT_Theo" queryTableFieldId="16" dataDxfId="164"/>
    <tableColumn id="17" uniqueName="17" name="TARDIF_Visite" queryTableFieldId="17" dataDxfId="163"/>
    <tableColumn id="18" uniqueName="18" name="TARDIF_Reception" queryTableFieldId="18" dataDxfId="162"/>
    <tableColumn id="19" uniqueName="19" name="Onekey" queryTableFieldId="19" dataDxfId="161"/>
    <tableColumn id="20" uniqueName="20" name="Date" queryTableFieldId="20" dataDxfId="160"/>
  </tableColumns>
  <tableStyleInfo name="TableStyleLight8 2" showFirstColumn="0" showLastColumn="0" showRowStripes="1" showColumnStripes="0"/>
</table>
</file>

<file path=xl/tables/table13.xml><?xml version="1.0" encoding="utf-8"?>
<table xmlns="http://schemas.openxmlformats.org/spreadsheetml/2006/main" id="17" name="Tableau_Lancer_la_requête_à_partir_de_MS_Access_Database45678918" displayName="Tableau_Lancer_la_requête_à_partir_de_MS_Access_Database45678918" ref="B9:U12" tableType="queryTable" totalsRowShown="0">
  <autoFilter ref="B9:U12"/>
  <tableColumns count="20">
    <tableColumn id="1" uniqueName="1" name="Num_Centre" queryTableFieldId="1" dataDxfId="159"/>
    <tableColumn id="2" uniqueName="2" name="Investigateur" queryTableFieldId="2" dataDxfId="158"/>
    <tableColumn id="3" uniqueName="3" name="Num_Patient" queryTableFieldId="3" dataDxfId="157"/>
    <tableColumn id="4" uniqueName="4" name="INCLUSION_Visite" queryTableFieldId="4" dataDxfId="156"/>
    <tableColumn id="5" uniqueName="5" name="INCLUSION_Reception" queryTableFieldId="5" dataDxfId="155"/>
    <tableColumn id="6" uniqueName="6" name="AQINCLUSION_Reception" queryTableFieldId="6" dataDxfId="154"/>
    <tableColumn id="7" uniqueName="7" name="CONTACT_Reception" queryTableFieldId="7" dataDxfId="153"/>
    <tableColumn id="8" uniqueName="8" name="TypeRappel" queryTableFieldId="8" dataDxfId="152"/>
    <tableColumn id="9" uniqueName="9" name="AQ7Theo" queryTableFieldId="9" dataDxfId="151"/>
    <tableColumn id="10" uniqueName="10" name="AQJ7_Reception" queryTableFieldId="10" dataDxfId="150"/>
    <tableColumn id="11" uniqueName="11" name="AQ_M2_Theo" queryTableFieldId="11" dataDxfId="149"/>
    <tableColumn id="12" uniqueName="12" name="AQM2_Reception" queryTableFieldId="12" dataDxfId="148"/>
    <tableColumn id="13" uniqueName="13" name="VP_Theo" queryTableFieldId="13" dataDxfId="147"/>
    <tableColumn id="14" uniqueName="14" name="PRECOCE_Visite" queryTableFieldId="14" dataDxfId="146"/>
    <tableColumn id="15" uniqueName="15" name="PRECOCE_Reception" queryTableFieldId="15" dataDxfId="145"/>
    <tableColumn id="16" uniqueName="16" name="VT_Theo" queryTableFieldId="16" dataDxfId="144"/>
    <tableColumn id="17" uniqueName="17" name="TARDIF_Visite" queryTableFieldId="17" dataDxfId="143"/>
    <tableColumn id="18" uniqueName="18" name="TARDIF_Reception" queryTableFieldId="18" dataDxfId="142"/>
    <tableColumn id="19" uniqueName="19" name="Onekey" queryTableFieldId="19" dataDxfId="141"/>
    <tableColumn id="20" uniqueName="20" name="Date" queryTableFieldId="20" dataDxfId="140"/>
  </tableColumns>
  <tableStyleInfo name="TableStyleLight8 2" showFirstColumn="0" showLastColumn="0" showRowStripes="1" showColumnStripes="0"/>
</table>
</file>

<file path=xl/tables/table14.xml><?xml version="1.0" encoding="utf-8"?>
<table xmlns="http://schemas.openxmlformats.org/spreadsheetml/2006/main" id="19" name="Tableau_Lancer_la_requête_à_partir_de_MS_Access_Database4567891820" displayName="Tableau_Lancer_la_requête_à_partir_de_MS_Access_Database4567891820" ref="B9:U12" tableType="queryTable" totalsRowShown="0">
  <autoFilter ref="B9:U12"/>
  <tableColumns count="20">
    <tableColumn id="1" uniqueName="1" name="Num_Centre" queryTableFieldId="1" dataDxfId="139"/>
    <tableColumn id="2" uniqueName="2" name="Investigateur" queryTableFieldId="2" dataDxfId="138"/>
    <tableColumn id="3" uniqueName="3" name="Num_Patient" queryTableFieldId="3" dataDxfId="137"/>
    <tableColumn id="4" uniqueName="4" name="INCLUSION_Visite" queryTableFieldId="4" dataDxfId="136"/>
    <tableColumn id="5" uniqueName="5" name="INCLUSION_Reception" queryTableFieldId="5" dataDxfId="135"/>
    <tableColumn id="6" uniqueName="6" name="AQINCLUSION_Reception" queryTableFieldId="6" dataDxfId="134"/>
    <tableColumn id="7" uniqueName="7" name="CONTACT_Reception" queryTableFieldId="7" dataDxfId="133"/>
    <tableColumn id="8" uniqueName="8" name="TypeRappel" queryTableFieldId="8" dataDxfId="132"/>
    <tableColumn id="9" uniqueName="9" name="AQ7Theo" queryTableFieldId="9" dataDxfId="131"/>
    <tableColumn id="10" uniqueName="10" name="AQJ7_Reception" queryTableFieldId="10" dataDxfId="130"/>
    <tableColumn id="11" uniqueName="11" name="AQ_M2_Theo" queryTableFieldId="11" dataDxfId="129"/>
    <tableColumn id="12" uniqueName="12" name="AQM2_Reception" queryTableFieldId="12" dataDxfId="128"/>
    <tableColumn id="13" uniqueName="13" name="VP_Theo" queryTableFieldId="13" dataDxfId="127"/>
    <tableColumn id="14" uniqueName="14" name="PRECOCE_Visite" queryTableFieldId="14" dataDxfId="126"/>
    <tableColumn id="15" uniqueName="15" name="PRECOCE_Reception" queryTableFieldId="15" dataDxfId="125"/>
    <tableColumn id="16" uniqueName="16" name="VT_Theo" queryTableFieldId="16" dataDxfId="124"/>
    <tableColumn id="17" uniqueName="17" name="TARDIF_Visite" queryTableFieldId="17" dataDxfId="123"/>
    <tableColumn id="18" uniqueName="18" name="TARDIF_Reception" queryTableFieldId="18" dataDxfId="122"/>
    <tableColumn id="19" uniqueName="19" name="Onekey" queryTableFieldId="19" dataDxfId="121"/>
    <tableColumn id="20" uniqueName="20" name="Date" queryTableFieldId="20" dataDxfId="120"/>
  </tableColumns>
  <tableStyleInfo name="TableStyleLight8 2" showFirstColumn="0" showLastColumn="0" showRowStripes="1" showColumnStripes="0"/>
</table>
</file>

<file path=xl/tables/table15.xml><?xml version="1.0" encoding="utf-8"?>
<table xmlns="http://schemas.openxmlformats.org/spreadsheetml/2006/main" id="9" name="Tableau_Lancer_la_requête_à_partir_de_MS_Access_Database45678910" displayName="Tableau_Lancer_la_requête_à_partir_de_MS_Access_Database45678910" ref="B9:U15" tableType="queryTable" totalsRowShown="0">
  <autoFilter ref="B9:U15"/>
  <tableColumns count="20">
    <tableColumn id="1" uniqueName="1" name="Num_Centre" queryTableFieldId="1" dataDxfId="119"/>
    <tableColumn id="2" uniqueName="2" name="Investigateur" queryTableFieldId="2" dataDxfId="118"/>
    <tableColumn id="3" uniqueName="3" name="Num_Patient" queryTableFieldId="3" dataDxfId="117"/>
    <tableColumn id="4" uniqueName="4" name="INCLUSION_Visite" queryTableFieldId="4" dataDxfId="116"/>
    <tableColumn id="5" uniqueName="5" name="INCLUSION_Reception" queryTableFieldId="5" dataDxfId="115"/>
    <tableColumn id="6" uniqueName="6" name="AQINCLUSION_Reception" queryTableFieldId="6" dataDxfId="114"/>
    <tableColumn id="7" uniqueName="7" name="CONTACT_Reception" queryTableFieldId="7" dataDxfId="113"/>
    <tableColumn id="8" uniqueName="8" name="TypeRappel" queryTableFieldId="8" dataDxfId="112"/>
    <tableColumn id="9" uniqueName="9" name="AQ7Theo" queryTableFieldId="9" dataDxfId="111"/>
    <tableColumn id="10" uniqueName="10" name="AQJ7_Reception" queryTableFieldId="10" dataDxfId="110"/>
    <tableColumn id="11" uniqueName="11" name="AQ_M2_Theo" queryTableFieldId="11" dataDxfId="109"/>
    <tableColumn id="12" uniqueName="12" name="AQM2_Reception" queryTableFieldId="12" dataDxfId="108"/>
    <tableColumn id="13" uniqueName="13" name="VP_Theo" queryTableFieldId="13" dataDxfId="107"/>
    <tableColumn id="14" uniqueName="14" name="PRECOCE_Visite" queryTableFieldId="14" dataDxfId="106"/>
    <tableColumn id="15" uniqueName="15" name="PRECOCE_Reception" queryTableFieldId="15" dataDxfId="105"/>
    <tableColumn id="16" uniqueName="16" name="VT_Theo" queryTableFieldId="16" dataDxfId="104"/>
    <tableColumn id="17" uniqueName="17" name="TARDIF_Visite" queryTableFieldId="17" dataDxfId="103"/>
    <tableColumn id="18" uniqueName="18" name="TARDIF_Reception" queryTableFieldId="18" dataDxfId="102"/>
    <tableColumn id="19" uniqueName="19" name="Onekey" queryTableFieldId="19" dataDxfId="101"/>
    <tableColumn id="20" uniqueName="20" name="Date" queryTableFieldId="20" dataDxfId="100"/>
  </tableColumns>
  <tableStyleInfo name="TableStyleLight8 2" showFirstColumn="0" showLastColumn="0" showRowStripes="1" showColumnStripes="0"/>
</table>
</file>

<file path=xl/tables/table16.xml><?xml version="1.0" encoding="utf-8"?>
<table xmlns="http://schemas.openxmlformats.org/spreadsheetml/2006/main" id="10" name="Tableau_Lancer_la_requête_à_partir_de_MS_Access_Database4567891011" displayName="Tableau_Lancer_la_requête_à_partir_de_MS_Access_Database4567891011" ref="B9:U12" tableType="queryTable" totalsRowShown="0">
  <autoFilter ref="B9:U12"/>
  <tableColumns count="20">
    <tableColumn id="1" uniqueName="1" name="Num_Centre" queryTableFieldId="1" dataDxfId="99"/>
    <tableColumn id="2" uniqueName="2" name="Investigateur" queryTableFieldId="2" dataDxfId="98"/>
    <tableColumn id="3" uniqueName="3" name="Num_Patient" queryTableFieldId="3" dataDxfId="97"/>
    <tableColumn id="4" uniqueName="4" name="INCLUSION_Visite" queryTableFieldId="4" dataDxfId="96"/>
    <tableColumn id="5" uniqueName="5" name="INCLUSION_Reception" queryTableFieldId="5" dataDxfId="95"/>
    <tableColumn id="6" uniqueName="6" name="AQINCLUSION_Reception" queryTableFieldId="6" dataDxfId="94"/>
    <tableColumn id="7" uniqueName="7" name="CONTACT_Reception" queryTableFieldId="7" dataDxfId="93"/>
    <tableColumn id="8" uniqueName="8" name="TypeRappel" queryTableFieldId="8" dataDxfId="92"/>
    <tableColumn id="9" uniqueName="9" name="AQ7Theo" queryTableFieldId="9" dataDxfId="91"/>
    <tableColumn id="10" uniqueName="10" name="AQJ7_Reception" queryTableFieldId="10" dataDxfId="90"/>
    <tableColumn id="11" uniqueName="11" name="AQ_M2_Theo" queryTableFieldId="11" dataDxfId="89"/>
    <tableColumn id="12" uniqueName="12" name="AQM2_Reception" queryTableFieldId="12" dataDxfId="88"/>
    <tableColumn id="13" uniqueName="13" name="VP_Theo" queryTableFieldId="13" dataDxfId="87"/>
    <tableColumn id="14" uniqueName="14" name="PRECOCE_Visite" queryTableFieldId="14" dataDxfId="86"/>
    <tableColumn id="15" uniqueName="15" name="PRECOCE_Reception" queryTableFieldId="15" dataDxfId="85"/>
    <tableColumn id="16" uniqueName="16" name="VT_Theo" queryTableFieldId="16" dataDxfId="84"/>
    <tableColumn id="17" uniqueName="17" name="TARDIF_Visite" queryTableFieldId="17" dataDxfId="83"/>
    <tableColumn id="18" uniqueName="18" name="TARDIF_Reception" queryTableFieldId="18" dataDxfId="82"/>
    <tableColumn id="19" uniqueName="19" name="Onekey" queryTableFieldId="19" dataDxfId="81"/>
    <tableColumn id="20" uniqueName="20" name="Date" queryTableFieldId="20" dataDxfId="80"/>
  </tableColumns>
  <tableStyleInfo name="TableStyleLight8 2" showFirstColumn="0" showLastColumn="0" showRowStripes="1" showColumnStripes="0"/>
</table>
</file>

<file path=xl/tables/table17.xml><?xml version="1.0" encoding="utf-8"?>
<table xmlns="http://schemas.openxmlformats.org/spreadsheetml/2006/main" id="11" name="Tableau_Lancer_la_requête_à_partir_de_MS_Access_Database456789101112" displayName="Tableau_Lancer_la_requête_à_partir_de_MS_Access_Database456789101112" ref="B9:U12" tableType="queryTable" totalsRowShown="0">
  <autoFilter ref="B9:U12"/>
  <tableColumns count="20">
    <tableColumn id="1" uniqueName="1" name="Num_Centre" queryTableFieldId="1" dataDxfId="79"/>
    <tableColumn id="2" uniqueName="2" name="Investigateur" queryTableFieldId="2" dataDxfId="78"/>
    <tableColumn id="3" uniqueName="3" name="Num_Patient" queryTableFieldId="3" dataDxfId="77"/>
    <tableColumn id="4" uniqueName="4" name="INCLUSION_Visite" queryTableFieldId="4" dataDxfId="76"/>
    <tableColumn id="5" uniqueName="5" name="INCLUSION_Reception" queryTableFieldId="5" dataDxfId="75"/>
    <tableColumn id="6" uniqueName="6" name="AQINCLUSION_Reception" queryTableFieldId="6" dataDxfId="74"/>
    <tableColumn id="7" uniqueName="7" name="CONTACT_Reception" queryTableFieldId="7" dataDxfId="73"/>
    <tableColumn id="8" uniqueName="8" name="TypeRappel" queryTableFieldId="8" dataDxfId="72"/>
    <tableColumn id="9" uniqueName="9" name="AQ7Theo" queryTableFieldId="9" dataDxfId="71"/>
    <tableColumn id="10" uniqueName="10" name="AQJ7_Reception" queryTableFieldId="10" dataDxfId="70"/>
    <tableColumn id="11" uniqueName="11" name="AQ_M2_Theo" queryTableFieldId="11" dataDxfId="69"/>
    <tableColumn id="12" uniqueName="12" name="AQM2_Reception" queryTableFieldId="12" dataDxfId="68"/>
    <tableColumn id="13" uniqueName="13" name="VP_Theo" queryTableFieldId="13" dataDxfId="67"/>
    <tableColumn id="14" uniqueName="14" name="PRECOCE_Visite" queryTableFieldId="14" dataDxfId="66"/>
    <tableColumn id="15" uniqueName="15" name="PRECOCE_Reception" queryTableFieldId="15" dataDxfId="65"/>
    <tableColumn id="16" uniqueName="16" name="VT_Theo" queryTableFieldId="16" dataDxfId="64"/>
    <tableColumn id="17" uniqueName="17" name="TARDIF_Visite" queryTableFieldId="17" dataDxfId="63"/>
    <tableColumn id="18" uniqueName="18" name="TARDIF_Reception" queryTableFieldId="18" dataDxfId="62"/>
    <tableColumn id="19" uniqueName="19" name="Onekey" queryTableFieldId="19" dataDxfId="61"/>
    <tableColumn id="20" uniqueName="20" name="Date" queryTableFieldId="20" dataDxfId="60"/>
  </tableColumns>
  <tableStyleInfo name="TableStyleLight8 2" showFirstColumn="0" showLastColumn="0" showRowStripes="1" showColumnStripes="0"/>
</table>
</file>

<file path=xl/tables/table18.xml><?xml version="1.0" encoding="utf-8"?>
<table xmlns="http://schemas.openxmlformats.org/spreadsheetml/2006/main" id="12" name="Tableau_Lancer_la_requête_à_partir_de_MS_Access_Database45678910111213" displayName="Tableau_Lancer_la_requête_à_partir_de_MS_Access_Database45678910111213" ref="B9:U14" tableType="queryTable" totalsRowShown="0">
  <autoFilter ref="B9:U14"/>
  <tableColumns count="20">
    <tableColumn id="1" uniqueName="1" name="Num_Centre" queryTableFieldId="1" dataDxfId="59"/>
    <tableColumn id="2" uniqueName="2" name="Investigateur" queryTableFieldId="2" dataDxfId="58"/>
    <tableColumn id="3" uniqueName="3" name="Num_Patient" queryTableFieldId="3" dataDxfId="57"/>
    <tableColumn id="4" uniqueName="4" name="INCLUSION_Visite" queryTableFieldId="4" dataDxfId="56"/>
    <tableColumn id="5" uniqueName="5" name="INCLUSION_Reception" queryTableFieldId="5" dataDxfId="55"/>
    <tableColumn id="6" uniqueName="6" name="AQINCLUSION_Reception" queryTableFieldId="6" dataDxfId="54"/>
    <tableColumn id="7" uniqueName="7" name="CONTACT_Reception" queryTableFieldId="7" dataDxfId="53"/>
    <tableColumn id="8" uniqueName="8" name="TypeRappel" queryTableFieldId="8" dataDxfId="52"/>
    <tableColumn id="9" uniqueName="9" name="AQ7Theo" queryTableFieldId="9" dataDxfId="51"/>
    <tableColumn id="10" uniqueName="10" name="AQJ7_Reception" queryTableFieldId="10" dataDxfId="50"/>
    <tableColumn id="11" uniqueName="11" name="AQ_M2_Theo" queryTableFieldId="11" dataDxfId="49"/>
    <tableColumn id="12" uniqueName="12" name="AQM2_Reception" queryTableFieldId="12" dataDxfId="48"/>
    <tableColumn id="13" uniqueName="13" name="VP_Theo" queryTableFieldId="13" dataDxfId="47"/>
    <tableColumn id="14" uniqueName="14" name="PRECOCE_Visite" queryTableFieldId="14" dataDxfId="46"/>
    <tableColumn id="15" uniqueName="15" name="PRECOCE_Reception" queryTableFieldId="15" dataDxfId="45"/>
    <tableColumn id="16" uniqueName="16" name="VT_Theo" queryTableFieldId="16" dataDxfId="44"/>
    <tableColumn id="17" uniqueName="17" name="TARDIF_Visite" queryTableFieldId="17" dataDxfId="43"/>
    <tableColumn id="18" uniqueName="18" name="TARDIF_Reception" queryTableFieldId="18" dataDxfId="42"/>
    <tableColumn id="19" uniqueName="19" name="Onekey" queryTableFieldId="19" dataDxfId="41"/>
    <tableColumn id="20" uniqueName="20" name="Date" queryTableFieldId="20" dataDxfId="40"/>
  </tableColumns>
  <tableStyleInfo name="TableStyleLight8 2" showFirstColumn="0" showLastColumn="0" showRowStripes="1" showColumnStripes="0"/>
</table>
</file>

<file path=xl/tables/table19.xml><?xml version="1.0" encoding="utf-8"?>
<table xmlns="http://schemas.openxmlformats.org/spreadsheetml/2006/main" id="15" name="Tableau_Lancer_la_requête_à_partir_de_MS_Access_Database4567891011121316" displayName="Tableau_Lancer_la_requête_à_partir_de_MS_Access_Database4567891011121316" ref="B9:U12" tableType="queryTable" totalsRowShown="0">
  <autoFilter ref="B9:U12"/>
  <tableColumns count="20">
    <tableColumn id="1" uniqueName="1" name="Num_Centre" queryTableFieldId="1" dataDxfId="39"/>
    <tableColumn id="2" uniqueName="2" name="Investigateur" queryTableFieldId="2" dataDxfId="38"/>
    <tableColumn id="3" uniqueName="3" name="Num_Patient" queryTableFieldId="3" dataDxfId="37"/>
    <tableColumn id="4" uniqueName="4" name="INCLUSION_Visite" queryTableFieldId="4" dataDxfId="36"/>
    <tableColumn id="5" uniqueName="5" name="INCLUSION_Reception" queryTableFieldId="5" dataDxfId="35"/>
    <tableColumn id="6" uniqueName="6" name="AQINCLUSION_Reception" queryTableFieldId="6" dataDxfId="34"/>
    <tableColumn id="7" uniqueName="7" name="CONTACT_Reception" queryTableFieldId="7" dataDxfId="33"/>
    <tableColumn id="8" uniqueName="8" name="TypeRappel" queryTableFieldId="8" dataDxfId="32"/>
    <tableColumn id="9" uniqueName="9" name="AQ7Theo" queryTableFieldId="9" dataDxfId="31"/>
    <tableColumn id="10" uniqueName="10" name="AQJ7_Reception" queryTableFieldId="10" dataDxfId="30"/>
    <tableColumn id="11" uniqueName="11" name="AQ_M2_Theo" queryTableFieldId="11" dataDxfId="29"/>
    <tableColumn id="12" uniqueName="12" name="AQM2_Reception" queryTableFieldId="12" dataDxfId="28"/>
    <tableColumn id="13" uniqueName="13" name="VP_Theo" queryTableFieldId="13" dataDxfId="27"/>
    <tableColumn id="14" uniqueName="14" name="PRECOCE_Visite" queryTableFieldId="14" dataDxfId="26"/>
    <tableColumn id="15" uniqueName="15" name="PRECOCE_Reception" queryTableFieldId="15" dataDxfId="25"/>
    <tableColumn id="16" uniqueName="16" name="VT_Theo" queryTableFieldId="16" dataDxfId="24"/>
    <tableColumn id="17" uniqueName="17" name="TARDIF_Visite" queryTableFieldId="17" dataDxfId="23"/>
    <tableColumn id="18" uniqueName="18" name="TARDIF_Reception" queryTableFieldId="18" dataDxfId="22"/>
    <tableColumn id="19" uniqueName="19" name="Onekey" queryTableFieldId="19" dataDxfId="21"/>
    <tableColumn id="20" uniqueName="20" name="Date" queryTableFieldId="20" dataDxfId="20"/>
  </tableColumns>
  <tableStyleInfo name="TableStyleLight8 2" showFirstColumn="0" showLastColumn="0" showRowStripes="1" showColumnStripes="0"/>
</table>
</file>

<file path=xl/tables/table20.xml><?xml version="1.0" encoding="utf-8"?>
<table xmlns="http://schemas.openxmlformats.org/spreadsheetml/2006/main" id="18" name="Tableau_Lancer_la_requête_à_partir_de_MS_Access_Database456789101112131619" displayName="Tableau_Lancer_la_requête_à_partir_de_MS_Access_Database456789101112131619" ref="B9:U12" tableType="queryTable" totalsRowShown="0">
  <autoFilter ref="B9:U12"/>
  <tableColumns count="20">
    <tableColumn id="1" uniqueName="1" name="Num_Centre" queryTableFieldId="1" dataDxfId="19"/>
    <tableColumn id="2" uniqueName="2" name="Investigateur" queryTableFieldId="2" dataDxfId="18"/>
    <tableColumn id="3" uniqueName="3" name="Num_Patient" queryTableFieldId="3" dataDxfId="17"/>
    <tableColumn id="4" uniqueName="4" name="INCLUSION_Visite" queryTableFieldId="4" dataDxfId="16"/>
    <tableColumn id="5" uniqueName="5" name="INCLUSION_Reception" queryTableFieldId="5" dataDxfId="15"/>
    <tableColumn id="6" uniqueName="6" name="AQINCLUSION_Reception" queryTableFieldId="6" dataDxfId="14"/>
    <tableColumn id="7" uniqueName="7" name="CONTACT_Reception" queryTableFieldId="7" dataDxfId="13"/>
    <tableColumn id="8" uniqueName="8" name="TypeRappel" queryTableFieldId="8" dataDxfId="12"/>
    <tableColumn id="9" uniqueName="9" name="AQ7Theo" queryTableFieldId="9" dataDxfId="11"/>
    <tableColumn id="10" uniqueName="10" name="AQJ7_Reception" queryTableFieldId="10" dataDxfId="10"/>
    <tableColumn id="11" uniqueName="11" name="AQ_M2_Theo" queryTableFieldId="11" dataDxfId="9"/>
    <tableColumn id="12" uniqueName="12" name="AQM2_Reception" queryTableFieldId="12" dataDxfId="8"/>
    <tableColumn id="13" uniqueName="13" name="VP_Theo" queryTableFieldId="13" dataDxfId="7"/>
    <tableColumn id="14" uniqueName="14" name="PRECOCE_Visite" queryTableFieldId="14" dataDxfId="6"/>
    <tableColumn id="15" uniqueName="15" name="PRECOCE_Reception" queryTableFieldId="15" dataDxfId="5"/>
    <tableColumn id="16" uniqueName="16" name="VT_Theo" queryTableFieldId="16" dataDxfId="4"/>
    <tableColumn id="17" uniqueName="17" name="TARDIF_Visite" queryTableFieldId="17" dataDxfId="3"/>
    <tableColumn id="18" uniqueName="18" name="TARDIF_Reception" queryTableFieldId="18" dataDxfId="2"/>
    <tableColumn id="19" uniqueName="19" name="Onekey" queryTableFieldId="19" dataDxfId="1"/>
    <tableColumn id="20" uniqueName="20" name="Date" queryTableFieldId="20" dataDxfId="0"/>
  </tableColumns>
  <tableStyleInfo name="TableStyleLight8 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sheetPr codeName="Feuil1"/>
  <dimension ref="A1:Q29"/>
  <sheetViews>
    <sheetView tabSelected="1" topLeftCell="C1" workbookViewId="0">
      <selection activeCell="C6" sqref="C6"/>
    </sheetView>
  </sheetViews>
  <sheetFormatPr baseColWidth="10" defaultRowHeight="15"/>
  <cols>
    <col min="1" max="1" width="15" hidden="1" customWidth="1"/>
    <col min="2" max="2" width="21.85546875" hidden="1" customWidth="1"/>
    <col min="3" max="3" width="19" style="19" customWidth="1"/>
    <col min="4" max="4" width="34.42578125" customWidth="1"/>
    <col min="5" max="5" width="18" style="25" customWidth="1"/>
    <col min="6" max="6" width="17.5703125" style="25" customWidth="1"/>
    <col min="7" max="7" width="17.85546875" style="25" customWidth="1"/>
    <col min="8" max="8" width="19.28515625" style="25" customWidth="1"/>
    <col min="9" max="9" width="17.28515625" style="19" customWidth="1"/>
    <col min="10" max="10" width="58.85546875" customWidth="1"/>
    <col min="11" max="11" width="13.7109375" style="12" hidden="1" customWidth="1"/>
  </cols>
  <sheetData>
    <row r="1" spans="1:17" s="3" customFormat="1" ht="27">
      <c r="C1" s="20" t="s">
        <v>0</v>
      </c>
      <c r="D1" s="1"/>
      <c r="E1" s="24"/>
      <c r="F1" s="22"/>
      <c r="G1" s="22"/>
      <c r="H1" s="22"/>
      <c r="I1" s="17"/>
      <c r="K1" s="2"/>
    </row>
    <row r="2" spans="1:17" s="3" customFormat="1" ht="15.75">
      <c r="C2" s="17"/>
      <c r="D2" s="4"/>
      <c r="E2" s="11" t="s">
        <v>13</v>
      </c>
      <c r="F2" s="30" t="str">
        <f>$A$26</f>
        <v>DE0204</v>
      </c>
      <c r="G2" s="126" t="str">
        <f>$B$26</f>
        <v>GABRIEL Valérie</v>
      </c>
      <c r="H2" s="126"/>
      <c r="I2" s="126"/>
      <c r="K2" s="13"/>
      <c r="L2" s="14"/>
      <c r="M2" s="14"/>
      <c r="N2" s="14"/>
      <c r="O2" s="5"/>
    </row>
    <row r="3" spans="1:17" s="3" customFormat="1">
      <c r="C3" s="21" t="s">
        <v>1</v>
      </c>
      <c r="D3" s="6">
        <f>$K$26</f>
        <v>42306</v>
      </c>
      <c r="E3" s="22"/>
      <c r="F3" s="22"/>
      <c r="G3" s="22"/>
      <c r="H3" s="22"/>
      <c r="I3" s="17"/>
      <c r="K3" s="2"/>
    </row>
    <row r="4" spans="1:17" s="3" customFormat="1">
      <c r="C4" s="17"/>
      <c r="D4" s="4"/>
      <c r="E4" s="22"/>
      <c r="F4" s="22"/>
      <c r="G4" s="22"/>
      <c r="H4" s="22"/>
      <c r="I4" s="17"/>
      <c r="K4" s="2"/>
    </row>
    <row r="5" spans="1:17" s="3" customFormat="1">
      <c r="C5" s="18"/>
      <c r="D5" s="8"/>
      <c r="E5" s="23"/>
      <c r="F5" s="23"/>
      <c r="G5" s="23"/>
      <c r="H5" s="23"/>
      <c r="I5" s="18"/>
      <c r="J5" s="7"/>
      <c r="K5" s="9"/>
      <c r="L5" s="7"/>
      <c r="M5" s="7"/>
      <c r="N5" s="7"/>
      <c r="O5" s="7"/>
      <c r="P5" s="7"/>
      <c r="Q5" s="7"/>
    </row>
    <row r="6" spans="1:17">
      <c r="C6" s="27"/>
      <c r="D6" s="28"/>
      <c r="E6" s="29"/>
      <c r="F6" s="29"/>
      <c r="G6" s="29"/>
      <c r="H6" s="29"/>
      <c r="I6" s="27"/>
      <c r="J6" s="28"/>
    </row>
    <row r="7" spans="1:17" s="15" customFormat="1" ht="53.25" customHeight="1">
      <c r="A7" s="15" t="s">
        <v>2</v>
      </c>
      <c r="B7" s="15" t="s">
        <v>3</v>
      </c>
      <c r="C7" s="15" t="s">
        <v>12</v>
      </c>
      <c r="D7" s="15" t="s">
        <v>4</v>
      </c>
      <c r="E7" s="16" t="s">
        <v>5</v>
      </c>
      <c r="F7" s="16" t="s">
        <v>6</v>
      </c>
      <c r="G7" s="16" t="s">
        <v>7</v>
      </c>
      <c r="H7" s="16" t="s">
        <v>8</v>
      </c>
      <c r="I7" s="15" t="s">
        <v>9</v>
      </c>
      <c r="J7" s="15" t="s">
        <v>10</v>
      </c>
      <c r="K7" s="16" t="s">
        <v>11</v>
      </c>
    </row>
    <row r="8" spans="1:17" s="78" customFormat="1">
      <c r="A8" s="78" t="s">
        <v>59</v>
      </c>
      <c r="B8" s="78" t="s">
        <v>60</v>
      </c>
      <c r="C8" s="79" t="s">
        <v>85</v>
      </c>
      <c r="D8" s="76" t="s">
        <v>86</v>
      </c>
      <c r="E8" s="16">
        <v>41806</v>
      </c>
      <c r="F8" s="16">
        <v>41859</v>
      </c>
      <c r="G8" s="16">
        <v>41859</v>
      </c>
      <c r="H8" s="16"/>
      <c r="I8" s="15">
        <v>4</v>
      </c>
      <c r="J8" s="76"/>
      <c r="K8" s="80">
        <v>42306</v>
      </c>
    </row>
    <row r="9" spans="1:17" s="78" customFormat="1" ht="60">
      <c r="A9" s="78" t="s">
        <v>59</v>
      </c>
      <c r="B9" s="78" t="s">
        <v>60</v>
      </c>
      <c r="C9" s="79" t="s">
        <v>83</v>
      </c>
      <c r="D9" s="76" t="s">
        <v>84</v>
      </c>
      <c r="E9" s="16">
        <v>41781</v>
      </c>
      <c r="F9" s="16">
        <v>41787</v>
      </c>
      <c r="G9" s="16">
        <v>41785</v>
      </c>
      <c r="H9" s="16"/>
      <c r="I9" s="15">
        <v>2</v>
      </c>
      <c r="J9" s="76" t="s">
        <v>103</v>
      </c>
      <c r="K9" s="80">
        <v>42306</v>
      </c>
    </row>
    <row r="10" spans="1:17" s="78" customFormat="1">
      <c r="A10" s="78" t="s">
        <v>59</v>
      </c>
      <c r="B10" s="78" t="s">
        <v>60</v>
      </c>
      <c r="C10" s="79" t="s">
        <v>61</v>
      </c>
      <c r="D10" s="76" t="s">
        <v>62</v>
      </c>
      <c r="E10" s="16">
        <v>41712</v>
      </c>
      <c r="F10" s="16">
        <v>41766</v>
      </c>
      <c r="G10" s="16">
        <v>41764</v>
      </c>
      <c r="H10" s="16"/>
      <c r="I10" s="15">
        <v>5</v>
      </c>
      <c r="J10" s="76" t="s">
        <v>119</v>
      </c>
      <c r="K10" s="80">
        <v>42306</v>
      </c>
    </row>
    <row r="11" spans="1:17" s="78" customFormat="1">
      <c r="A11" s="78" t="s">
        <v>59</v>
      </c>
      <c r="B11" s="78" t="s">
        <v>60</v>
      </c>
      <c r="C11" s="79" t="s">
        <v>63</v>
      </c>
      <c r="D11" s="76" t="s">
        <v>64</v>
      </c>
      <c r="E11" s="16">
        <v>41702</v>
      </c>
      <c r="F11" s="16">
        <v>41754</v>
      </c>
      <c r="G11" s="16">
        <v>41751</v>
      </c>
      <c r="H11" s="16"/>
      <c r="I11" s="15">
        <v>2</v>
      </c>
      <c r="J11" s="76"/>
      <c r="K11" s="80">
        <v>42306</v>
      </c>
    </row>
    <row r="12" spans="1:17" s="78" customFormat="1">
      <c r="A12" s="78" t="s">
        <v>59</v>
      </c>
      <c r="B12" s="78" t="s">
        <v>60</v>
      </c>
      <c r="C12" s="79" t="s">
        <v>65</v>
      </c>
      <c r="D12" s="76" t="s">
        <v>66</v>
      </c>
      <c r="E12" s="16">
        <v>41710</v>
      </c>
      <c r="F12" s="16">
        <v>41752</v>
      </c>
      <c r="G12" s="16">
        <v>41751</v>
      </c>
      <c r="H12" s="16"/>
      <c r="I12" s="15">
        <v>5</v>
      </c>
      <c r="J12" s="76"/>
      <c r="K12" s="80">
        <v>42306</v>
      </c>
    </row>
    <row r="13" spans="1:17" s="78" customFormat="1" ht="30">
      <c r="A13" s="78" t="s">
        <v>59</v>
      </c>
      <c r="B13" s="78" t="s">
        <v>60</v>
      </c>
      <c r="C13" s="79" t="s">
        <v>67</v>
      </c>
      <c r="D13" s="76" t="s">
        <v>68</v>
      </c>
      <c r="E13" s="16">
        <v>41697</v>
      </c>
      <c r="F13" s="16">
        <v>41757</v>
      </c>
      <c r="G13" s="16">
        <v>41757</v>
      </c>
      <c r="H13" s="16"/>
      <c r="I13" s="15"/>
      <c r="J13" s="76" t="s">
        <v>104</v>
      </c>
      <c r="K13" s="80">
        <v>42306</v>
      </c>
    </row>
    <row r="14" spans="1:17" s="78" customFormat="1">
      <c r="A14" s="78" t="s">
        <v>59</v>
      </c>
      <c r="B14" s="78" t="s">
        <v>60</v>
      </c>
      <c r="C14" s="79" t="s">
        <v>89</v>
      </c>
      <c r="D14" s="76" t="s">
        <v>90</v>
      </c>
      <c r="E14" s="16">
        <v>41821</v>
      </c>
      <c r="F14" s="16"/>
      <c r="G14" s="16"/>
      <c r="H14" s="16">
        <v>41905</v>
      </c>
      <c r="I14" s="15"/>
      <c r="J14" s="76"/>
      <c r="K14" s="80">
        <v>42306</v>
      </c>
    </row>
    <row r="15" spans="1:17" s="78" customFormat="1" ht="30">
      <c r="A15" s="78" t="s">
        <v>59</v>
      </c>
      <c r="B15" s="78" t="s">
        <v>60</v>
      </c>
      <c r="C15" s="79" t="s">
        <v>69</v>
      </c>
      <c r="D15" s="76" t="s">
        <v>70</v>
      </c>
      <c r="E15" s="16">
        <v>41695</v>
      </c>
      <c r="F15" s="16">
        <v>41780</v>
      </c>
      <c r="G15" s="16">
        <v>41775</v>
      </c>
      <c r="H15" s="16"/>
      <c r="I15" s="15">
        <v>1</v>
      </c>
      <c r="J15" s="76" t="s">
        <v>101</v>
      </c>
      <c r="K15" s="80">
        <v>42306</v>
      </c>
    </row>
    <row r="16" spans="1:17" s="78" customFormat="1" ht="30">
      <c r="A16" s="78" t="s">
        <v>59</v>
      </c>
      <c r="B16" s="78" t="s">
        <v>60</v>
      </c>
      <c r="C16" s="79" t="s">
        <v>71</v>
      </c>
      <c r="D16" s="76" t="s">
        <v>72</v>
      </c>
      <c r="E16" s="16">
        <v>41696</v>
      </c>
      <c r="F16" s="16">
        <v>41752</v>
      </c>
      <c r="G16" s="16">
        <v>41747</v>
      </c>
      <c r="H16" s="16"/>
      <c r="I16" s="15">
        <v>4</v>
      </c>
      <c r="J16" s="76" t="s">
        <v>102</v>
      </c>
      <c r="K16" s="80">
        <v>42306</v>
      </c>
    </row>
    <row r="17" spans="1:11" s="78" customFormat="1">
      <c r="A17" s="78" t="s">
        <v>59</v>
      </c>
      <c r="B17" s="78" t="s">
        <v>60</v>
      </c>
      <c r="C17" s="79" t="s">
        <v>116</v>
      </c>
      <c r="D17" s="76" t="s">
        <v>117</v>
      </c>
      <c r="E17" s="16">
        <v>41968</v>
      </c>
      <c r="F17" s="16">
        <v>41992</v>
      </c>
      <c r="G17" s="16">
        <v>41978</v>
      </c>
      <c r="H17" s="16"/>
      <c r="I17" s="15"/>
      <c r="J17" s="76" t="s">
        <v>120</v>
      </c>
      <c r="K17" s="80">
        <v>42306</v>
      </c>
    </row>
    <row r="18" spans="1:11" s="78" customFormat="1">
      <c r="A18" s="78" t="s">
        <v>59</v>
      </c>
      <c r="B18" s="78" t="s">
        <v>60</v>
      </c>
      <c r="C18" s="79" t="s">
        <v>73</v>
      </c>
      <c r="D18" s="77" t="s">
        <v>74</v>
      </c>
      <c r="E18" s="16">
        <v>41701</v>
      </c>
      <c r="F18" s="16">
        <v>41745</v>
      </c>
      <c r="G18" s="16">
        <v>41743</v>
      </c>
      <c r="H18" s="16"/>
      <c r="I18" s="15">
        <v>5</v>
      </c>
      <c r="J18" s="77" t="s">
        <v>105</v>
      </c>
      <c r="K18" s="80">
        <v>42306</v>
      </c>
    </row>
    <row r="19" spans="1:11" s="78" customFormat="1">
      <c r="A19" s="78" t="s">
        <v>59</v>
      </c>
      <c r="B19" s="78" t="s">
        <v>60</v>
      </c>
      <c r="C19" s="79" t="s">
        <v>108</v>
      </c>
      <c r="D19" s="77" t="s">
        <v>109</v>
      </c>
      <c r="E19" s="16">
        <v>41925</v>
      </c>
      <c r="F19" s="16">
        <v>41955</v>
      </c>
      <c r="G19" s="16">
        <v>41950</v>
      </c>
      <c r="H19" s="16"/>
      <c r="I19" s="15">
        <v>3</v>
      </c>
      <c r="J19" s="77"/>
      <c r="K19" s="80">
        <v>42306</v>
      </c>
    </row>
    <row r="20" spans="1:11">
      <c r="A20" s="78" t="s">
        <v>59</v>
      </c>
      <c r="B20" s="78" t="s">
        <v>60</v>
      </c>
      <c r="C20" s="79" t="s">
        <v>113</v>
      </c>
      <c r="D20" s="77" t="s">
        <v>114</v>
      </c>
      <c r="E20" s="16">
        <v>41955</v>
      </c>
      <c r="F20" s="16">
        <v>41964</v>
      </c>
      <c r="G20" s="16">
        <v>41963</v>
      </c>
      <c r="H20" s="16"/>
      <c r="I20" s="15">
        <v>3</v>
      </c>
      <c r="J20" s="77"/>
      <c r="K20" s="80">
        <v>42306</v>
      </c>
    </row>
    <row r="21" spans="1:11">
      <c r="A21" s="78" t="s">
        <v>59</v>
      </c>
      <c r="B21" s="78" t="s">
        <v>60</v>
      </c>
      <c r="C21" s="79" t="s">
        <v>111</v>
      </c>
      <c r="D21" s="77" t="s">
        <v>110</v>
      </c>
      <c r="E21" s="16">
        <v>41935</v>
      </c>
      <c r="F21" s="16">
        <v>41970</v>
      </c>
      <c r="G21" s="16">
        <v>41967</v>
      </c>
      <c r="H21" s="16"/>
      <c r="I21" s="15">
        <v>1</v>
      </c>
      <c r="J21" s="77"/>
      <c r="K21" s="80">
        <v>42306</v>
      </c>
    </row>
    <row r="22" spans="1:11">
      <c r="A22" s="78" t="s">
        <v>59</v>
      </c>
      <c r="B22" s="78" t="s">
        <v>60</v>
      </c>
      <c r="C22" s="79" t="s">
        <v>75</v>
      </c>
      <c r="D22" s="77" t="s">
        <v>76</v>
      </c>
      <c r="E22" s="16">
        <v>41719</v>
      </c>
      <c r="F22" s="16">
        <v>41752</v>
      </c>
      <c r="G22" s="16">
        <v>41751</v>
      </c>
      <c r="H22" s="16"/>
      <c r="I22" s="15">
        <v>6</v>
      </c>
      <c r="J22" s="77" t="s">
        <v>106</v>
      </c>
      <c r="K22" s="80">
        <v>42306</v>
      </c>
    </row>
    <row r="23" spans="1:11">
      <c r="A23" s="78" t="s">
        <v>59</v>
      </c>
      <c r="B23" s="78" t="s">
        <v>60</v>
      </c>
      <c r="C23" s="79" t="s">
        <v>77</v>
      </c>
      <c r="D23" s="77" t="s">
        <v>78</v>
      </c>
      <c r="E23" s="16">
        <v>41701</v>
      </c>
      <c r="F23" s="16">
        <v>41745</v>
      </c>
      <c r="G23" s="16">
        <v>41744</v>
      </c>
      <c r="H23" s="16"/>
      <c r="I23" s="15">
        <v>3</v>
      </c>
      <c r="J23" s="77"/>
      <c r="K23" s="80">
        <v>42306</v>
      </c>
    </row>
    <row r="24" spans="1:11" ht="45">
      <c r="A24" s="78" t="s">
        <v>59</v>
      </c>
      <c r="B24" s="78" t="s">
        <v>60</v>
      </c>
      <c r="C24" s="79" t="s">
        <v>79</v>
      </c>
      <c r="D24" s="109" t="s">
        <v>80</v>
      </c>
      <c r="E24" s="16">
        <v>41698</v>
      </c>
      <c r="F24" s="16">
        <v>41740</v>
      </c>
      <c r="G24" s="16">
        <v>41739</v>
      </c>
      <c r="H24" s="16"/>
      <c r="I24" s="15">
        <v>3</v>
      </c>
      <c r="J24" s="109" t="s">
        <v>121</v>
      </c>
      <c r="K24" s="80">
        <v>42306</v>
      </c>
    </row>
    <row r="25" spans="1:11" ht="30">
      <c r="A25" s="78" t="s">
        <v>59</v>
      </c>
      <c r="B25" s="78" t="s">
        <v>60</v>
      </c>
      <c r="C25" s="79" t="s">
        <v>81</v>
      </c>
      <c r="D25" s="109" t="s">
        <v>82</v>
      </c>
      <c r="E25" s="16">
        <v>41695</v>
      </c>
      <c r="F25" s="16">
        <v>41752</v>
      </c>
      <c r="G25" s="16">
        <v>41747</v>
      </c>
      <c r="H25" s="16"/>
      <c r="I25" s="15">
        <v>5</v>
      </c>
      <c r="J25" s="109" t="s">
        <v>112</v>
      </c>
      <c r="K25" s="80">
        <v>42306</v>
      </c>
    </row>
    <row r="26" spans="1:11" ht="30">
      <c r="A26" s="78" t="s">
        <v>59</v>
      </c>
      <c r="B26" s="78" t="s">
        <v>60</v>
      </c>
      <c r="C26" s="79" t="s">
        <v>87</v>
      </c>
      <c r="D26" s="109" t="s">
        <v>88</v>
      </c>
      <c r="E26" s="16">
        <v>41813</v>
      </c>
      <c r="F26" s="16">
        <v>41893</v>
      </c>
      <c r="G26" s="16">
        <v>41890</v>
      </c>
      <c r="H26" s="16"/>
      <c r="I26" s="15">
        <v>2</v>
      </c>
      <c r="J26" s="109" t="s">
        <v>118</v>
      </c>
      <c r="K26" s="80">
        <v>42306</v>
      </c>
    </row>
    <row r="27" spans="1:11">
      <c r="A27" s="28"/>
      <c r="B27" s="28"/>
      <c r="C27" s="27" t="s">
        <v>15</v>
      </c>
      <c r="D27" s="33">
        <f>SUBTOTAL(3,D8:D26)</f>
        <v>19</v>
      </c>
      <c r="E27" s="33">
        <f>SUBTOTAL(3,[Date de réception convention financière])</f>
        <v>19</v>
      </c>
      <c r="F27" s="33">
        <f>SUBTOTAL(3,[Date de réception AR kit])</f>
        <v>18</v>
      </c>
      <c r="G27" s="33">
        <f>SUBTOTAL(3,[Date de MEP])</f>
        <v>18</v>
      </c>
      <c r="H27" s="85">
        <f>SUBTOTAL(3,[Desistement])</f>
        <v>1</v>
      </c>
      <c r="I27" s="27">
        <f>SUBTOTAL(109,I8:I26)</f>
        <v>54</v>
      </c>
      <c r="J27" s="31"/>
      <c r="K27" s="32"/>
    </row>
    <row r="28" spans="1:11">
      <c r="D28" s="10"/>
      <c r="J28" s="10"/>
    </row>
    <row r="29" spans="1:11">
      <c r="C29" s="26" t="s">
        <v>14</v>
      </c>
    </row>
  </sheetData>
  <mergeCells count="1">
    <mergeCell ref="G2:I2"/>
  </mergeCell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sheetPr codeName="Feuil2"/>
  <dimension ref="B1:AV13"/>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81"/>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$U$13</f>
        <v>42306</v>
      </c>
      <c r="G4" s="50"/>
      <c r="H4" s="50"/>
      <c r="I4" s="34"/>
      <c r="J4" s="50"/>
      <c r="K4" s="50"/>
      <c r="L4" s="82" t="s">
        <v>17</v>
      </c>
      <c r="M4" s="63">
        <f>$B$13</f>
        <v>382</v>
      </c>
      <c r="N4" s="140" t="str">
        <f>$C$13</f>
        <v>AUBIN François</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84" t="s">
        <v>32</v>
      </c>
      <c r="M8" s="84" t="s">
        <v>31</v>
      </c>
      <c r="N8" s="83" t="s">
        <v>33</v>
      </c>
      <c r="O8" s="83" t="s">
        <v>34</v>
      </c>
      <c r="P8" s="83"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382</v>
      </c>
      <c r="C10" s="42" t="s">
        <v>86</v>
      </c>
      <c r="D10" s="19">
        <v>1</v>
      </c>
      <c r="E10" s="25">
        <v>41848</v>
      </c>
      <c r="F10" s="25">
        <v>41850</v>
      </c>
      <c r="G10" s="25">
        <v>41850</v>
      </c>
      <c r="H10" s="25">
        <v>41855</v>
      </c>
      <c r="I10" s="71" t="s">
        <v>97</v>
      </c>
      <c r="J10" s="25">
        <v>41860</v>
      </c>
      <c r="K10" s="25">
        <v>41890</v>
      </c>
      <c r="L10" s="25">
        <v>41919</v>
      </c>
      <c r="M10" s="25"/>
      <c r="N10" s="25">
        <v>41968</v>
      </c>
      <c r="O10" s="25"/>
      <c r="P10" s="25"/>
      <c r="Q10" s="25">
        <v>42213</v>
      </c>
      <c r="R10" s="25"/>
      <c r="S10" s="25"/>
      <c r="T10" s="42" t="s">
        <v>85</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94">
        <v>382</v>
      </c>
      <c r="C11" s="95" t="s">
        <v>86</v>
      </c>
      <c r="D11" s="19">
        <v>2</v>
      </c>
      <c r="E11" s="25">
        <v>41932</v>
      </c>
      <c r="F11" s="25">
        <v>41934</v>
      </c>
      <c r="G11" s="25">
        <v>41934</v>
      </c>
      <c r="H11" s="25">
        <v>41934</v>
      </c>
      <c r="I11" s="71" t="s">
        <v>97</v>
      </c>
      <c r="J11" s="25">
        <v>41944</v>
      </c>
      <c r="K11" s="25">
        <v>41974</v>
      </c>
      <c r="L11" s="25">
        <v>42003</v>
      </c>
      <c r="M11" s="25">
        <v>42117</v>
      </c>
      <c r="N11" s="25">
        <v>42052</v>
      </c>
      <c r="Q11" s="25">
        <v>42297</v>
      </c>
      <c r="T11" s="95" t="s">
        <v>85</v>
      </c>
      <c r="U11" s="12">
        <v>42306</v>
      </c>
    </row>
    <row r="12" spans="2:48" ht="16.5" customHeight="1">
      <c r="B12" s="94">
        <v>382</v>
      </c>
      <c r="C12" s="95" t="s">
        <v>86</v>
      </c>
      <c r="D12" s="19">
        <v>3</v>
      </c>
      <c r="E12" s="25">
        <v>41948</v>
      </c>
      <c r="F12" s="25">
        <v>41950</v>
      </c>
      <c r="G12" s="25">
        <v>41950</v>
      </c>
      <c r="H12" s="25">
        <v>41950</v>
      </c>
      <c r="I12" s="98" t="s">
        <v>94</v>
      </c>
      <c r="J12" s="25">
        <v>41960</v>
      </c>
      <c r="K12" s="25">
        <v>41962</v>
      </c>
      <c r="L12" s="25">
        <v>42019</v>
      </c>
      <c r="M12" s="25">
        <v>42027</v>
      </c>
      <c r="N12" s="25">
        <v>42068</v>
      </c>
      <c r="Q12" s="25">
        <v>42313</v>
      </c>
      <c r="T12" s="95" t="s">
        <v>85</v>
      </c>
      <c r="U12" s="12">
        <v>42306</v>
      </c>
    </row>
    <row r="13" spans="2:48" ht="25.5">
      <c r="B13" s="122">
        <v>382</v>
      </c>
      <c r="C13" s="123" t="s">
        <v>86</v>
      </c>
      <c r="D13" s="19">
        <v>4</v>
      </c>
      <c r="E13" s="25">
        <v>41962</v>
      </c>
      <c r="F13" s="25">
        <v>41967</v>
      </c>
      <c r="G13" s="25">
        <v>41969</v>
      </c>
      <c r="H13" s="25">
        <v>41969</v>
      </c>
      <c r="I13" s="98" t="s">
        <v>97</v>
      </c>
      <c r="J13" s="25">
        <v>41974</v>
      </c>
      <c r="L13" s="25">
        <v>42033</v>
      </c>
      <c r="M13" s="25">
        <v>42009</v>
      </c>
      <c r="N13" s="25">
        <v>42082</v>
      </c>
      <c r="Q13" s="25">
        <v>42327</v>
      </c>
      <c r="T13" s="123" t="s">
        <v>85</v>
      </c>
      <c r="U13"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sheetPr codeName="Feuil3"/>
  <dimension ref="B1:AV12"/>
  <sheetViews>
    <sheetView workbookViewId="0">
      <selection activeCell="D5" sqref="D5"/>
    </sheetView>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72"/>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73" t="s">
        <v>17</v>
      </c>
      <c r="M4" s="63">
        <f>$B$12</f>
        <v>284</v>
      </c>
      <c r="N4" s="140" t="str">
        <f>$C$12</f>
        <v>BOTTOU-JARDOT Arièle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75" t="s">
        <v>32</v>
      </c>
      <c r="M8" s="75" t="s">
        <v>31</v>
      </c>
      <c r="N8" s="74" t="s">
        <v>33</v>
      </c>
      <c r="O8" s="74" t="s">
        <v>34</v>
      </c>
      <c r="P8" s="74"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284</v>
      </c>
      <c r="C10" s="42" t="s">
        <v>84</v>
      </c>
      <c r="D10" s="19">
        <v>1</v>
      </c>
      <c r="E10" s="25">
        <v>41787</v>
      </c>
      <c r="F10" s="25">
        <v>41796</v>
      </c>
      <c r="G10" s="25">
        <v>41796</v>
      </c>
      <c r="H10" s="25"/>
      <c r="I10" s="44" t="s">
        <v>57</v>
      </c>
      <c r="J10" s="25">
        <v>41799</v>
      </c>
      <c r="K10" s="25"/>
      <c r="L10" s="25">
        <v>41858</v>
      </c>
      <c r="M10" s="25"/>
      <c r="N10" s="25">
        <v>41907</v>
      </c>
      <c r="O10" s="25"/>
      <c r="P10" s="25"/>
      <c r="Q10" s="25">
        <v>42152</v>
      </c>
      <c r="R10" s="25"/>
      <c r="S10" s="25"/>
      <c r="T10" s="42" t="s">
        <v>83</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43">
        <v>284</v>
      </c>
      <c r="C11" s="68" t="s">
        <v>84</v>
      </c>
      <c r="D11" s="19">
        <v>2</v>
      </c>
      <c r="E11" s="25">
        <v>41915</v>
      </c>
      <c r="F11" s="25">
        <v>41920</v>
      </c>
      <c r="G11" s="25">
        <v>41920</v>
      </c>
      <c r="H11" s="25">
        <v>41925</v>
      </c>
      <c r="I11" s="44" t="s">
        <v>92</v>
      </c>
      <c r="J11" s="25">
        <v>41927</v>
      </c>
      <c r="K11" s="25">
        <v>41925</v>
      </c>
      <c r="L11" s="25">
        <v>41986</v>
      </c>
      <c r="M11" s="25">
        <v>42002</v>
      </c>
      <c r="N11" s="25">
        <v>42035</v>
      </c>
      <c r="O11" s="25">
        <v>41997</v>
      </c>
      <c r="P11" s="25">
        <v>42002</v>
      </c>
      <c r="Q11" s="25">
        <v>42280</v>
      </c>
      <c r="T11" s="68" t="s">
        <v>83</v>
      </c>
      <c r="U11" s="12">
        <v>42306</v>
      </c>
    </row>
    <row r="12" spans="2:48" ht="16.5" customHeight="1">
      <c r="B12" s="43">
        <v>284</v>
      </c>
      <c r="C12" s="68" t="s">
        <v>84</v>
      </c>
      <c r="D12" s="19">
        <v>3</v>
      </c>
      <c r="I12" s="44" t="s">
        <v>57</v>
      </c>
      <c r="T12" s="68" t="s">
        <v>83</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B1:AV14"/>
  <sheetViews>
    <sheetView workbookViewId="0">
      <selection activeCell="E10" sqref="E10"/>
    </sheetView>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56"/>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$U$14</f>
        <v>42306</v>
      </c>
      <c r="G4" s="50"/>
      <c r="H4" s="50"/>
      <c r="I4" s="34"/>
      <c r="J4" s="50"/>
      <c r="K4" s="50"/>
      <c r="L4" s="57" t="s">
        <v>17</v>
      </c>
      <c r="M4" s="63">
        <f>$B$14</f>
        <v>117</v>
      </c>
      <c r="N4" s="140" t="str">
        <f>$C$14</f>
        <v>BOUILLY-AUVRAY Danielle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0" t="s">
        <v>32</v>
      </c>
      <c r="M8" s="60" t="s">
        <v>31</v>
      </c>
      <c r="N8" s="61" t="s">
        <v>33</v>
      </c>
      <c r="O8" s="61" t="s">
        <v>34</v>
      </c>
      <c r="P8" s="61"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117</v>
      </c>
      <c r="C10" s="42" t="s">
        <v>62</v>
      </c>
      <c r="D10" s="19">
        <v>1</v>
      </c>
      <c r="E10" s="25">
        <v>41786</v>
      </c>
      <c r="F10" s="25">
        <v>41871</v>
      </c>
      <c r="G10" s="25"/>
      <c r="H10" s="25">
        <v>41792</v>
      </c>
      <c r="I10" s="44" t="s">
        <v>91</v>
      </c>
      <c r="J10" s="25">
        <v>41798</v>
      </c>
      <c r="K10" s="25"/>
      <c r="L10" s="25">
        <v>41857</v>
      </c>
      <c r="M10" s="25"/>
      <c r="N10" s="25">
        <v>41906</v>
      </c>
      <c r="O10" s="25"/>
      <c r="P10" s="25"/>
      <c r="Q10" s="25">
        <v>42151</v>
      </c>
      <c r="R10" s="25"/>
      <c r="S10" s="25"/>
      <c r="T10" s="42" t="s">
        <v>61</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69">
        <v>117</v>
      </c>
      <c r="C11" s="70" t="s">
        <v>62</v>
      </c>
      <c r="D11" s="19">
        <v>2</v>
      </c>
      <c r="E11" s="25">
        <v>41789</v>
      </c>
      <c r="F11" s="25">
        <v>41871</v>
      </c>
      <c r="H11" s="25">
        <v>41792</v>
      </c>
      <c r="I11" s="44" t="s">
        <v>92</v>
      </c>
      <c r="J11" s="25">
        <v>41801</v>
      </c>
      <c r="K11" s="25">
        <v>41801</v>
      </c>
      <c r="L11" s="25">
        <v>41860</v>
      </c>
      <c r="M11" s="25">
        <v>41862</v>
      </c>
      <c r="N11" s="25">
        <v>41909</v>
      </c>
      <c r="O11" s="25">
        <v>41821</v>
      </c>
      <c r="P11" s="25">
        <v>41823</v>
      </c>
      <c r="Q11" s="25">
        <v>42154</v>
      </c>
      <c r="R11" s="25">
        <v>41897</v>
      </c>
      <c r="S11" s="25">
        <v>41899</v>
      </c>
      <c r="T11" s="70" t="s">
        <v>61</v>
      </c>
      <c r="U11" s="12">
        <v>42306</v>
      </c>
    </row>
    <row r="12" spans="2:48" ht="25.5">
      <c r="B12" s="69">
        <v>117</v>
      </c>
      <c r="C12" s="70" t="s">
        <v>62</v>
      </c>
      <c r="D12" s="19">
        <v>3</v>
      </c>
      <c r="E12" s="25">
        <v>41793</v>
      </c>
      <c r="F12" s="25">
        <v>41795</v>
      </c>
      <c r="H12" s="25">
        <v>41795</v>
      </c>
      <c r="I12" s="71" t="s">
        <v>92</v>
      </c>
      <c r="J12" s="25">
        <v>41805</v>
      </c>
      <c r="L12" s="25">
        <v>41864</v>
      </c>
      <c r="M12" s="25">
        <v>41870</v>
      </c>
      <c r="N12" s="25">
        <v>41913</v>
      </c>
      <c r="O12" s="25">
        <v>41817</v>
      </c>
      <c r="P12" s="25">
        <v>41820</v>
      </c>
      <c r="Q12" s="25">
        <v>42158</v>
      </c>
      <c r="T12" s="70" t="s">
        <v>61</v>
      </c>
      <c r="U12" s="12">
        <v>42306</v>
      </c>
    </row>
    <row r="13" spans="2:48" ht="25.5">
      <c r="B13" s="99">
        <v>117</v>
      </c>
      <c r="C13" s="100" t="s">
        <v>62</v>
      </c>
      <c r="D13" s="19">
        <v>4</v>
      </c>
      <c r="E13" s="25">
        <v>41912</v>
      </c>
      <c r="F13" s="25">
        <v>41913</v>
      </c>
      <c r="H13" s="25">
        <v>41913</v>
      </c>
      <c r="I13" s="71" t="s">
        <v>92</v>
      </c>
      <c r="J13" s="25">
        <v>41924</v>
      </c>
      <c r="K13" s="25">
        <v>41928</v>
      </c>
      <c r="L13" s="25">
        <v>41983</v>
      </c>
      <c r="M13" s="25">
        <v>41981</v>
      </c>
      <c r="N13" s="25">
        <v>42032</v>
      </c>
      <c r="O13" s="25">
        <v>41978</v>
      </c>
      <c r="P13" s="25">
        <v>41981</v>
      </c>
      <c r="Q13" s="25">
        <v>42277</v>
      </c>
      <c r="T13" s="100" t="s">
        <v>61</v>
      </c>
      <c r="U13" s="12">
        <v>42306</v>
      </c>
    </row>
    <row r="14" spans="2:48" ht="25.5">
      <c r="B14" s="99">
        <v>117</v>
      </c>
      <c r="C14" s="100" t="s">
        <v>62</v>
      </c>
      <c r="D14" s="19">
        <v>5</v>
      </c>
      <c r="E14" s="25">
        <v>41919</v>
      </c>
      <c r="F14" s="25">
        <v>41920</v>
      </c>
      <c r="G14" s="25">
        <v>41920</v>
      </c>
      <c r="I14" s="71" t="s">
        <v>57</v>
      </c>
      <c r="J14" s="25">
        <v>41931</v>
      </c>
      <c r="K14" s="25">
        <v>41928</v>
      </c>
      <c r="L14" s="25">
        <v>41990</v>
      </c>
      <c r="N14" s="25">
        <v>42039</v>
      </c>
      <c r="O14" s="25">
        <v>41978</v>
      </c>
      <c r="P14" s="25">
        <v>41981</v>
      </c>
      <c r="Q14" s="25">
        <v>42284</v>
      </c>
      <c r="T14" s="100" t="s">
        <v>61</v>
      </c>
      <c r="U14" s="12">
        <v>42306</v>
      </c>
    </row>
  </sheetData>
  <mergeCells count="10">
    <mergeCell ref="G2:S2"/>
    <mergeCell ref="L3:N3"/>
    <mergeCell ref="N4:R4"/>
    <mergeCell ref="D6:S6"/>
    <mergeCell ref="E7:I7"/>
    <mergeCell ref="J7:K7"/>
    <mergeCell ref="L7:M7"/>
    <mergeCell ref="N7:P7"/>
    <mergeCell ref="Q7:S7"/>
    <mergeCell ref="D4:E4"/>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sheetPr codeName="Feuil5"/>
  <dimension ref="B1:AV12"/>
  <sheetViews>
    <sheetView workbookViewId="0">
      <selection activeCell="E10" sqref="E10"/>
    </sheetView>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65" t="s">
        <v>17</v>
      </c>
      <c r="M4" s="63">
        <f>$B$12</f>
        <v>121</v>
      </c>
      <c r="N4" s="140" t="str">
        <f>$C$12</f>
        <v>CAUSERET Anne-Sophie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121</v>
      </c>
      <c r="C10" s="42" t="s">
        <v>64</v>
      </c>
      <c r="D10" s="19">
        <v>1</v>
      </c>
      <c r="E10" s="25">
        <v>41771</v>
      </c>
      <c r="F10" s="25">
        <v>41778</v>
      </c>
      <c r="G10" s="25">
        <v>41778</v>
      </c>
      <c r="H10" s="25">
        <v>41778</v>
      </c>
      <c r="I10" s="44" t="s">
        <v>93</v>
      </c>
      <c r="J10" s="25">
        <v>41783</v>
      </c>
      <c r="K10" s="25"/>
      <c r="L10" s="25">
        <v>41842</v>
      </c>
      <c r="M10" s="25"/>
      <c r="N10" s="25">
        <v>41891</v>
      </c>
      <c r="O10" s="25">
        <v>41827</v>
      </c>
      <c r="P10" s="25">
        <v>41829</v>
      </c>
      <c r="Q10" s="25">
        <v>42136</v>
      </c>
      <c r="R10" s="25">
        <v>41925</v>
      </c>
      <c r="S10" s="25">
        <v>42048</v>
      </c>
      <c r="T10" s="42" t="s">
        <v>63</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69">
        <v>121</v>
      </c>
      <c r="C11" s="70" t="s">
        <v>64</v>
      </c>
      <c r="D11" s="19">
        <v>2</v>
      </c>
      <c r="E11" s="25">
        <v>41828</v>
      </c>
      <c r="F11" s="25">
        <v>41835</v>
      </c>
      <c r="G11" s="25">
        <v>41835</v>
      </c>
      <c r="H11" s="25">
        <v>41835</v>
      </c>
      <c r="I11" s="71" t="s">
        <v>100</v>
      </c>
      <c r="J11" s="25">
        <v>41840</v>
      </c>
      <c r="K11" s="25">
        <v>41845</v>
      </c>
      <c r="L11" s="25">
        <v>41899</v>
      </c>
      <c r="M11" s="25">
        <v>41897</v>
      </c>
      <c r="N11" s="25">
        <v>41948</v>
      </c>
      <c r="O11" s="25">
        <v>41905</v>
      </c>
      <c r="P11" s="25">
        <v>41908</v>
      </c>
      <c r="Q11" s="25">
        <v>42193</v>
      </c>
      <c r="T11" s="70" t="s">
        <v>63</v>
      </c>
      <c r="U11" s="12">
        <v>42306</v>
      </c>
    </row>
    <row r="12" spans="2:48" ht="25.5">
      <c r="B12" s="69">
        <v>121</v>
      </c>
      <c r="C12" s="70" t="s">
        <v>64</v>
      </c>
      <c r="D12" s="19">
        <v>3</v>
      </c>
      <c r="I12" s="71" t="s">
        <v>57</v>
      </c>
      <c r="T12" s="70" t="s">
        <v>63</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sheetPr codeName="Feuil6"/>
  <dimension ref="B1:AV14"/>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$U$14</f>
        <v>42306</v>
      </c>
      <c r="G4" s="50"/>
      <c r="H4" s="50"/>
      <c r="I4" s="34"/>
      <c r="J4" s="50"/>
      <c r="K4" s="50"/>
      <c r="L4" s="65" t="s">
        <v>17</v>
      </c>
      <c r="M4" s="63">
        <f>$B$14</f>
        <v>124</v>
      </c>
      <c r="N4" s="140" t="str">
        <f>$C$14</f>
        <v>CORGIBET Florence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124</v>
      </c>
      <c r="C10" s="42" t="s">
        <v>66</v>
      </c>
      <c r="D10" s="19">
        <v>1</v>
      </c>
      <c r="E10" s="25">
        <v>41806</v>
      </c>
      <c r="F10" s="25">
        <v>41808</v>
      </c>
      <c r="G10" s="25">
        <v>41808</v>
      </c>
      <c r="H10" s="25">
        <v>41810</v>
      </c>
      <c r="I10" s="44" t="s">
        <v>94</v>
      </c>
      <c r="J10" s="25">
        <v>41818</v>
      </c>
      <c r="K10" s="25">
        <v>41848</v>
      </c>
      <c r="L10" s="25">
        <v>41877</v>
      </c>
      <c r="M10" s="25">
        <v>41893</v>
      </c>
      <c r="N10" s="25">
        <v>41926</v>
      </c>
      <c r="O10" s="25">
        <v>41842</v>
      </c>
      <c r="P10" s="25">
        <v>41844</v>
      </c>
      <c r="Q10" s="25">
        <v>42171</v>
      </c>
      <c r="R10" s="25"/>
      <c r="S10" s="25"/>
      <c r="T10" s="42" t="s">
        <v>65</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69">
        <v>124</v>
      </c>
      <c r="C11" s="70" t="s">
        <v>66</v>
      </c>
      <c r="D11" s="19">
        <v>2</v>
      </c>
      <c r="E11" s="25">
        <v>41807</v>
      </c>
      <c r="F11" s="25">
        <v>41808</v>
      </c>
      <c r="G11" s="25">
        <v>41808</v>
      </c>
      <c r="H11" s="25">
        <v>41822</v>
      </c>
      <c r="I11" s="71" t="s">
        <v>95</v>
      </c>
      <c r="J11" s="25">
        <v>41819</v>
      </c>
      <c r="K11" s="25">
        <v>41837</v>
      </c>
      <c r="L11" s="25">
        <v>41878</v>
      </c>
      <c r="M11" s="25">
        <v>41891</v>
      </c>
      <c r="N11" s="25">
        <v>41927</v>
      </c>
      <c r="O11" s="25">
        <v>41839</v>
      </c>
      <c r="P11" s="25">
        <v>41843</v>
      </c>
      <c r="Q11" s="25">
        <v>42172</v>
      </c>
      <c r="T11" s="70" t="s">
        <v>65</v>
      </c>
      <c r="U11" s="12">
        <v>42306</v>
      </c>
    </row>
    <row r="12" spans="2:48" ht="25.5">
      <c r="B12" s="69">
        <v>124</v>
      </c>
      <c r="C12" s="70" t="s">
        <v>66</v>
      </c>
      <c r="D12" s="19">
        <v>3</v>
      </c>
      <c r="E12" s="25">
        <v>41821</v>
      </c>
      <c r="F12" s="25">
        <v>41823</v>
      </c>
      <c r="G12" s="25">
        <v>41823</v>
      </c>
      <c r="H12" s="25">
        <v>41823</v>
      </c>
      <c r="I12" s="71" t="s">
        <v>96</v>
      </c>
      <c r="J12" s="25">
        <v>41833</v>
      </c>
      <c r="K12" s="25">
        <v>41831</v>
      </c>
      <c r="L12" s="25">
        <v>41892</v>
      </c>
      <c r="M12" s="25">
        <v>41897</v>
      </c>
      <c r="N12" s="25">
        <v>41941</v>
      </c>
      <c r="O12" s="25">
        <v>41842</v>
      </c>
      <c r="P12" s="25">
        <v>41843</v>
      </c>
      <c r="Q12" s="25">
        <v>42186</v>
      </c>
      <c r="R12" s="25">
        <v>41992</v>
      </c>
      <c r="S12" s="25">
        <v>42066</v>
      </c>
      <c r="T12" s="70" t="s">
        <v>65</v>
      </c>
      <c r="U12" s="12">
        <v>42306</v>
      </c>
    </row>
    <row r="13" spans="2:48" ht="25.5">
      <c r="B13" s="96">
        <v>124</v>
      </c>
      <c r="C13" s="97" t="s">
        <v>66</v>
      </c>
      <c r="D13" s="19">
        <v>4</v>
      </c>
      <c r="E13" s="25">
        <v>41890</v>
      </c>
      <c r="F13" s="25">
        <v>41892</v>
      </c>
      <c r="G13" s="25">
        <v>41893</v>
      </c>
      <c r="H13" s="25">
        <v>41892</v>
      </c>
      <c r="I13" s="98" t="s">
        <v>100</v>
      </c>
      <c r="J13" s="25">
        <v>41902</v>
      </c>
      <c r="K13" s="25">
        <v>41936</v>
      </c>
      <c r="L13" s="25">
        <v>41961</v>
      </c>
      <c r="M13" s="25">
        <v>41975</v>
      </c>
      <c r="N13" s="25">
        <v>42010</v>
      </c>
      <c r="O13" s="25">
        <v>41925</v>
      </c>
      <c r="P13" s="25">
        <v>41928</v>
      </c>
      <c r="Q13" s="25">
        <v>42255</v>
      </c>
      <c r="R13" s="25">
        <v>42052</v>
      </c>
      <c r="S13" s="25">
        <v>42054</v>
      </c>
      <c r="T13" s="97" t="s">
        <v>65</v>
      </c>
      <c r="U13" s="12">
        <v>42306</v>
      </c>
    </row>
    <row r="14" spans="2:48" ht="25.5">
      <c r="B14" s="96">
        <v>124</v>
      </c>
      <c r="C14" s="97" t="s">
        <v>66</v>
      </c>
      <c r="D14" s="19">
        <v>5</v>
      </c>
      <c r="E14" s="25">
        <v>41891</v>
      </c>
      <c r="F14" s="25">
        <v>41893</v>
      </c>
      <c r="G14" s="25">
        <v>41893</v>
      </c>
      <c r="H14" s="25">
        <v>41893</v>
      </c>
      <c r="I14" s="98" t="s">
        <v>97</v>
      </c>
      <c r="J14" s="25">
        <v>41903</v>
      </c>
      <c r="K14" s="25">
        <v>41906</v>
      </c>
      <c r="L14" s="25">
        <v>41962</v>
      </c>
      <c r="M14" s="25">
        <v>41956</v>
      </c>
      <c r="N14" s="25">
        <v>42011</v>
      </c>
      <c r="Q14" s="25">
        <v>42256</v>
      </c>
      <c r="T14" s="97" t="s">
        <v>65</v>
      </c>
      <c r="U14"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sheetPr codeName="Feuil7"/>
  <dimension ref="B1:AV12"/>
  <sheetViews>
    <sheetView workbookViewId="0">
      <selection activeCell="E10" sqref="E10"/>
    </sheetView>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65" t="s">
        <v>17</v>
      </c>
      <c r="M4" s="63">
        <f>$B$12</f>
        <v>114</v>
      </c>
      <c r="N4" s="140" t="str">
        <f>$C$12</f>
        <v>DESSERTENNE-DODANE Paulette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114</v>
      </c>
      <c r="C10" s="42" t="s">
        <v>68</v>
      </c>
      <c r="D10" s="19">
        <v>1</v>
      </c>
      <c r="E10" s="25"/>
      <c r="F10" s="25"/>
      <c r="G10" s="25"/>
      <c r="H10" s="25"/>
      <c r="I10" s="44" t="s">
        <v>57</v>
      </c>
      <c r="J10" s="25"/>
      <c r="K10" s="25"/>
      <c r="L10" s="25"/>
      <c r="M10" s="25"/>
      <c r="N10" s="25"/>
      <c r="O10" s="25"/>
      <c r="P10" s="25"/>
      <c r="Q10" s="25"/>
      <c r="R10" s="25"/>
      <c r="S10" s="25"/>
      <c r="T10" s="42" t="s">
        <v>67</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69">
        <v>114</v>
      </c>
      <c r="C11" s="70" t="s">
        <v>68</v>
      </c>
      <c r="D11" s="19">
        <v>2</v>
      </c>
      <c r="I11" s="71" t="s">
        <v>57</v>
      </c>
      <c r="T11" s="70" t="s">
        <v>67</v>
      </c>
      <c r="U11" s="12">
        <v>42306</v>
      </c>
    </row>
    <row r="12" spans="2:48" ht="25.5">
      <c r="B12" s="69">
        <v>114</v>
      </c>
      <c r="C12" s="70" t="s">
        <v>68</v>
      </c>
      <c r="D12" s="19">
        <v>3</v>
      </c>
      <c r="I12" s="71" t="s">
        <v>57</v>
      </c>
      <c r="T12" s="70" t="s">
        <v>67</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sheetPr codeName="Feuil8"/>
  <dimension ref="B1:AV10"/>
  <sheetViews>
    <sheetView workbookViewId="0">
      <selection activeCell="I19" sqref="I19"/>
    </sheetView>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92"/>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$U$10</f>
        <v>42306</v>
      </c>
      <c r="G4" s="50"/>
      <c r="H4" s="50"/>
      <c r="I4" s="34"/>
      <c r="J4" s="50"/>
      <c r="K4" s="50"/>
      <c r="L4" s="93" t="s">
        <v>17</v>
      </c>
      <c r="M4" s="63">
        <f>$B$10</f>
        <v>0</v>
      </c>
      <c r="N4" s="140" t="str">
        <f>$C$10</f>
        <v>FORESTIER Jean-François</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91" t="s">
        <v>32</v>
      </c>
      <c r="M8" s="91" t="s">
        <v>31</v>
      </c>
      <c r="N8" s="90" t="s">
        <v>33</v>
      </c>
      <c r="O8" s="90" t="s">
        <v>34</v>
      </c>
      <c r="P8" s="90"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C10" s="42" t="s">
        <v>90</v>
      </c>
      <c r="D10" s="19"/>
      <c r="E10" s="25"/>
      <c r="F10" s="25"/>
      <c r="G10" s="25"/>
      <c r="H10" s="25"/>
      <c r="I10" s="71" t="s">
        <v>57</v>
      </c>
      <c r="J10" s="25"/>
      <c r="K10" s="25"/>
      <c r="L10" s="25"/>
      <c r="M10" s="25"/>
      <c r="N10" s="25"/>
      <c r="O10" s="25"/>
      <c r="P10" s="25"/>
      <c r="Q10" s="25"/>
      <c r="R10" s="25"/>
      <c r="S10" s="25"/>
      <c r="T10" s="42" t="s">
        <v>89</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sheetData>
  <mergeCells count="10">
    <mergeCell ref="E7:I7"/>
    <mergeCell ref="J7:K7"/>
    <mergeCell ref="L7:M7"/>
    <mergeCell ref="N7:P7"/>
    <mergeCell ref="Q7:S7"/>
    <mergeCell ref="G2:S2"/>
    <mergeCell ref="L3:N3"/>
    <mergeCell ref="D4:E4"/>
    <mergeCell ref="N4:R4"/>
    <mergeCell ref="D6:S6"/>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sheetPr codeName="Feuil9"/>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65" t="s">
        <v>17</v>
      </c>
      <c r="M4" s="63">
        <f>$B$12</f>
        <v>285</v>
      </c>
      <c r="N4" s="140" t="str">
        <f>$C$12</f>
        <v>JEUNET-MANCY Claude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285</v>
      </c>
      <c r="C10" s="42" t="s">
        <v>70</v>
      </c>
      <c r="D10" s="19">
        <v>1</v>
      </c>
      <c r="E10" s="25">
        <v>41810</v>
      </c>
      <c r="F10" s="25">
        <v>41813</v>
      </c>
      <c r="G10" s="25">
        <v>41813</v>
      </c>
      <c r="H10" s="25">
        <v>41813</v>
      </c>
      <c r="I10" s="44" t="s">
        <v>97</v>
      </c>
      <c r="J10" s="25">
        <v>41822</v>
      </c>
      <c r="K10" s="25">
        <v>41827</v>
      </c>
      <c r="L10" s="25">
        <v>41881</v>
      </c>
      <c r="M10" s="25"/>
      <c r="N10" s="25">
        <v>41930</v>
      </c>
      <c r="O10" s="25">
        <v>41894</v>
      </c>
      <c r="P10" s="25">
        <v>41898</v>
      </c>
      <c r="Q10" s="25">
        <v>42175</v>
      </c>
      <c r="R10" s="25"/>
      <c r="S10" s="25"/>
      <c r="T10" s="42" t="s">
        <v>69</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43">
        <v>285</v>
      </c>
      <c r="C11" s="68" t="s">
        <v>70</v>
      </c>
      <c r="D11" s="19">
        <v>2</v>
      </c>
      <c r="I11" s="44" t="s">
        <v>57</v>
      </c>
      <c r="T11" s="68" t="s">
        <v>69</v>
      </c>
      <c r="U11" s="12">
        <v>42306</v>
      </c>
    </row>
    <row r="12" spans="2:48" ht="25.5">
      <c r="B12" s="43">
        <v>285</v>
      </c>
      <c r="C12" s="68" t="s">
        <v>70</v>
      </c>
      <c r="D12" s="19">
        <v>3</v>
      </c>
      <c r="I12" s="44" t="s">
        <v>57</v>
      </c>
      <c r="T12" s="68" t="s">
        <v>69</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sheetPr codeName="Feuil10"/>
  <dimension ref="B1:AV14"/>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$U$14</f>
        <v>42306</v>
      </c>
      <c r="G4" s="50"/>
      <c r="H4" s="50"/>
      <c r="I4" s="34"/>
      <c r="J4" s="50"/>
      <c r="K4" s="50"/>
      <c r="L4" s="65" t="s">
        <v>17</v>
      </c>
      <c r="M4" s="63">
        <f>$B$14</f>
        <v>119</v>
      </c>
      <c r="N4" s="140" t="str">
        <f>$C$14</f>
        <v>LAUNAY Philippe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119</v>
      </c>
      <c r="C10" s="42" t="s">
        <v>72</v>
      </c>
      <c r="D10" s="19">
        <v>1</v>
      </c>
      <c r="E10" s="25">
        <v>41759</v>
      </c>
      <c r="F10" s="25">
        <v>41765</v>
      </c>
      <c r="G10" s="25">
        <v>41779</v>
      </c>
      <c r="H10" s="25"/>
      <c r="I10" s="44" t="s">
        <v>57</v>
      </c>
      <c r="J10" s="25">
        <v>41771</v>
      </c>
      <c r="K10" s="25"/>
      <c r="L10" s="25">
        <v>41830</v>
      </c>
      <c r="M10" s="25"/>
      <c r="N10" s="25">
        <v>41879</v>
      </c>
      <c r="O10" s="25"/>
      <c r="P10" s="25"/>
      <c r="Q10" s="25">
        <v>42124</v>
      </c>
      <c r="R10" s="25"/>
      <c r="S10" s="25"/>
      <c r="T10" s="42" t="s">
        <v>71</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69">
        <v>119</v>
      </c>
      <c r="C11" s="70" t="s">
        <v>72</v>
      </c>
      <c r="D11" s="19">
        <v>2</v>
      </c>
      <c r="E11" s="25">
        <v>41771</v>
      </c>
      <c r="F11" s="25">
        <v>41774</v>
      </c>
      <c r="G11" s="25">
        <v>41779</v>
      </c>
      <c r="I11" s="71" t="s">
        <v>57</v>
      </c>
      <c r="J11" s="25">
        <v>41783</v>
      </c>
      <c r="K11" s="25">
        <v>41800</v>
      </c>
      <c r="L11" s="25">
        <v>41842</v>
      </c>
      <c r="M11" s="25">
        <v>41822</v>
      </c>
      <c r="N11" s="25">
        <v>41891</v>
      </c>
      <c r="O11" s="25">
        <v>41820</v>
      </c>
      <c r="P11" s="25">
        <v>41822</v>
      </c>
      <c r="Q11" s="25">
        <v>42136</v>
      </c>
      <c r="T11" s="70" t="s">
        <v>71</v>
      </c>
      <c r="U11" s="12">
        <v>42306</v>
      </c>
    </row>
    <row r="12" spans="2:48" ht="25.5">
      <c r="B12" s="69">
        <v>119</v>
      </c>
      <c r="C12" s="70" t="s">
        <v>72</v>
      </c>
      <c r="D12" s="19">
        <v>3</v>
      </c>
      <c r="E12" s="25">
        <v>41786</v>
      </c>
      <c r="F12" s="25">
        <v>41792</v>
      </c>
      <c r="G12" s="25">
        <v>41792</v>
      </c>
      <c r="H12" s="25">
        <v>41824</v>
      </c>
      <c r="I12" s="71" t="s">
        <v>92</v>
      </c>
      <c r="J12" s="25">
        <v>41798</v>
      </c>
      <c r="K12" s="25">
        <v>41800</v>
      </c>
      <c r="L12" s="25">
        <v>41857</v>
      </c>
      <c r="M12" s="25">
        <v>41900</v>
      </c>
      <c r="N12" s="25">
        <v>41906</v>
      </c>
      <c r="O12" s="25">
        <v>41822</v>
      </c>
      <c r="P12" s="25">
        <v>41824</v>
      </c>
      <c r="Q12" s="25">
        <v>42151</v>
      </c>
      <c r="T12" s="70" t="s">
        <v>71</v>
      </c>
      <c r="U12" s="12">
        <v>42306</v>
      </c>
    </row>
    <row r="13" spans="2:48" ht="25.5">
      <c r="B13" s="43">
        <v>119</v>
      </c>
      <c r="C13" s="68" t="s">
        <v>72</v>
      </c>
      <c r="D13" s="19">
        <v>4</v>
      </c>
      <c r="E13" s="25">
        <v>41793</v>
      </c>
      <c r="F13" s="25">
        <v>41801</v>
      </c>
      <c r="G13" s="25">
        <v>41801</v>
      </c>
      <c r="H13" s="25">
        <v>41801</v>
      </c>
      <c r="I13" s="71" t="s">
        <v>96</v>
      </c>
      <c r="J13" s="25">
        <v>41805</v>
      </c>
      <c r="K13" s="25">
        <v>41807</v>
      </c>
      <c r="L13" s="25">
        <v>41864</v>
      </c>
      <c r="M13" s="25">
        <v>41871</v>
      </c>
      <c r="N13" s="25">
        <v>41913</v>
      </c>
      <c r="Q13" s="25">
        <v>42158</v>
      </c>
      <c r="T13" s="68" t="s">
        <v>71</v>
      </c>
      <c r="U13" s="12">
        <v>42306</v>
      </c>
    </row>
    <row r="14" spans="2:48" ht="25.5">
      <c r="B14" s="43">
        <v>119</v>
      </c>
      <c r="C14" s="68" t="s">
        <v>72</v>
      </c>
      <c r="D14" s="19">
        <v>5</v>
      </c>
      <c r="I14" s="71" t="s">
        <v>57</v>
      </c>
      <c r="T14" s="68" t="s">
        <v>71</v>
      </c>
      <c r="U14"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sheetPr codeName="Feuil20"/>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116"/>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117" t="s">
        <v>17</v>
      </c>
      <c r="M4" s="63">
        <f>$B$12</f>
        <v>427</v>
      </c>
      <c r="N4" s="140" t="str">
        <f>$C$12</f>
        <v>LEVEQUE Laurent</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119" t="s">
        <v>32</v>
      </c>
      <c r="M8" s="119" t="s">
        <v>31</v>
      </c>
      <c r="N8" s="118" t="s">
        <v>33</v>
      </c>
      <c r="O8" s="118" t="s">
        <v>34</v>
      </c>
      <c r="P8" s="118"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427</v>
      </c>
      <c r="C10" s="42" t="s">
        <v>117</v>
      </c>
      <c r="D10" s="19">
        <v>1</v>
      </c>
      <c r="E10" s="25"/>
      <c r="F10" s="25"/>
      <c r="G10" s="25"/>
      <c r="H10" s="25"/>
      <c r="I10" s="98" t="s">
        <v>57</v>
      </c>
      <c r="J10" s="25"/>
      <c r="K10" s="25"/>
      <c r="L10" s="25"/>
      <c r="M10" s="25"/>
      <c r="N10" s="25"/>
      <c r="O10" s="25"/>
      <c r="P10" s="25"/>
      <c r="Q10" s="25"/>
      <c r="R10" s="25"/>
      <c r="S10" s="25"/>
      <c r="T10" s="42" t="s">
        <v>116</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25.5">
      <c r="B11" s="43">
        <v>427</v>
      </c>
      <c r="C11" s="68" t="s">
        <v>117</v>
      </c>
      <c r="D11" s="19">
        <v>2</v>
      </c>
      <c r="I11" s="98" t="s">
        <v>57</v>
      </c>
      <c r="T11" s="68" t="s">
        <v>116</v>
      </c>
      <c r="U11" s="12">
        <v>42306</v>
      </c>
    </row>
    <row r="12" spans="2:48" ht="25.5">
      <c r="B12" s="43">
        <v>427</v>
      </c>
      <c r="C12" s="68" t="s">
        <v>117</v>
      </c>
      <c r="D12" s="19">
        <v>3</v>
      </c>
      <c r="I12" s="98" t="s">
        <v>57</v>
      </c>
      <c r="T12" s="68" t="s">
        <v>116</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sheetPr codeName="Feuil11"/>
  <dimension ref="B1:AV14"/>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$U$14</f>
        <v>42306</v>
      </c>
      <c r="G4" s="50"/>
      <c r="H4" s="50"/>
      <c r="I4" s="34"/>
      <c r="J4" s="50"/>
      <c r="K4" s="50"/>
      <c r="L4" s="65" t="s">
        <v>17</v>
      </c>
      <c r="M4" s="63">
        <f>$B$14</f>
        <v>116</v>
      </c>
      <c r="N4" s="140" t="str">
        <f>$C$14</f>
        <v>LIMONIER Philippe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116</v>
      </c>
      <c r="C10" s="42" t="s">
        <v>74</v>
      </c>
      <c r="D10" s="19">
        <v>1</v>
      </c>
      <c r="E10" s="25">
        <v>41745</v>
      </c>
      <c r="F10" s="25">
        <v>41757</v>
      </c>
      <c r="G10" s="25">
        <v>41786</v>
      </c>
      <c r="H10" s="25">
        <v>41757</v>
      </c>
      <c r="I10" s="44" t="s">
        <v>98</v>
      </c>
      <c r="J10" s="25">
        <v>41757</v>
      </c>
      <c r="K10" s="25">
        <v>41786</v>
      </c>
      <c r="L10" s="25">
        <v>41816</v>
      </c>
      <c r="M10" s="25">
        <v>41843</v>
      </c>
      <c r="N10" s="25">
        <v>41865</v>
      </c>
      <c r="O10" s="25"/>
      <c r="P10" s="25"/>
      <c r="Q10" s="25">
        <v>42110</v>
      </c>
      <c r="R10" s="25"/>
      <c r="S10" s="25"/>
      <c r="T10" s="42" t="s">
        <v>73</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43">
        <v>116</v>
      </c>
      <c r="C11" s="68" t="s">
        <v>74</v>
      </c>
      <c r="D11" s="19">
        <v>2</v>
      </c>
      <c r="E11" s="25">
        <v>41746</v>
      </c>
      <c r="F11" s="25">
        <v>41757</v>
      </c>
      <c r="H11" s="25">
        <v>41757</v>
      </c>
      <c r="I11" s="44" t="s">
        <v>98</v>
      </c>
      <c r="J11" s="25">
        <v>41758</v>
      </c>
      <c r="L11" s="25">
        <v>41817</v>
      </c>
      <c r="M11" s="25">
        <v>41820</v>
      </c>
      <c r="N11" s="25">
        <v>41866</v>
      </c>
      <c r="Q11" s="25">
        <v>42111</v>
      </c>
      <c r="T11" s="68" t="s">
        <v>73</v>
      </c>
      <c r="U11" s="12">
        <v>42306</v>
      </c>
    </row>
    <row r="12" spans="2:48" ht="16.5" customHeight="1">
      <c r="B12" s="43">
        <v>116</v>
      </c>
      <c r="C12" s="68" t="s">
        <v>74</v>
      </c>
      <c r="D12" s="19">
        <v>3</v>
      </c>
      <c r="E12" s="25">
        <v>41753</v>
      </c>
      <c r="F12" s="25">
        <v>41757</v>
      </c>
      <c r="H12" s="25">
        <v>41757</v>
      </c>
      <c r="I12" s="71" t="s">
        <v>99</v>
      </c>
      <c r="J12" s="25">
        <v>41765</v>
      </c>
      <c r="K12" s="25">
        <v>41801</v>
      </c>
      <c r="L12" s="25">
        <v>41824</v>
      </c>
      <c r="M12" s="25">
        <v>41859</v>
      </c>
      <c r="N12" s="25">
        <v>41873</v>
      </c>
      <c r="Q12" s="25">
        <v>42118</v>
      </c>
      <c r="T12" s="68" t="s">
        <v>73</v>
      </c>
      <c r="U12" s="12">
        <v>42306</v>
      </c>
    </row>
    <row r="13" spans="2:48" ht="25.5">
      <c r="B13" s="99">
        <v>116</v>
      </c>
      <c r="C13" s="100" t="s">
        <v>74</v>
      </c>
      <c r="D13" s="19">
        <v>4</v>
      </c>
      <c r="E13" s="25">
        <v>41911</v>
      </c>
      <c r="F13" s="25">
        <v>41964</v>
      </c>
      <c r="H13" s="25">
        <v>41915</v>
      </c>
      <c r="I13" s="71" t="s">
        <v>107</v>
      </c>
      <c r="J13" s="25">
        <v>41923</v>
      </c>
      <c r="K13" s="25">
        <v>41919</v>
      </c>
      <c r="L13" s="25">
        <v>41982</v>
      </c>
      <c r="M13" s="25">
        <v>41981</v>
      </c>
      <c r="N13" s="25">
        <v>42031</v>
      </c>
      <c r="Q13" s="25">
        <v>42276</v>
      </c>
      <c r="T13" s="100" t="s">
        <v>73</v>
      </c>
      <c r="U13" s="12">
        <v>42306</v>
      </c>
    </row>
    <row r="14" spans="2:48" ht="25.5">
      <c r="B14" s="99">
        <v>116</v>
      </c>
      <c r="C14" s="100" t="s">
        <v>74</v>
      </c>
      <c r="D14" s="19">
        <v>5</v>
      </c>
      <c r="E14" s="25">
        <v>41912</v>
      </c>
      <c r="F14" s="25">
        <v>41964</v>
      </c>
      <c r="H14" s="25">
        <v>41928</v>
      </c>
      <c r="I14" s="71" t="s">
        <v>98</v>
      </c>
      <c r="J14" s="25">
        <v>41924</v>
      </c>
      <c r="K14" s="25">
        <v>41981</v>
      </c>
      <c r="L14" s="25">
        <v>41983</v>
      </c>
      <c r="M14" s="25">
        <v>41981</v>
      </c>
      <c r="N14" s="25">
        <v>42032</v>
      </c>
      <c r="Q14" s="25">
        <v>42277</v>
      </c>
      <c r="T14" s="100" t="s">
        <v>73</v>
      </c>
      <c r="U14"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3.xml><?xml version="1.0" encoding="utf-8"?>
<worksheet xmlns="http://schemas.openxmlformats.org/spreadsheetml/2006/main" xmlns:r="http://schemas.openxmlformats.org/officeDocument/2006/relationships">
  <sheetPr codeName="Feuil12"/>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103"/>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104" t="s">
        <v>17</v>
      </c>
      <c r="M4" s="63">
        <f>$B$12</f>
        <v>408</v>
      </c>
      <c r="N4" s="140" t="str">
        <f>$C$12</f>
        <v>MERMET GINET Isabelle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102" t="s">
        <v>32</v>
      </c>
      <c r="M8" s="102" t="s">
        <v>31</v>
      </c>
      <c r="N8" s="101" t="s">
        <v>33</v>
      </c>
      <c r="O8" s="101" t="s">
        <v>34</v>
      </c>
      <c r="P8" s="101"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408</v>
      </c>
      <c r="C10" s="42" t="s">
        <v>109</v>
      </c>
      <c r="D10" s="19">
        <v>1</v>
      </c>
      <c r="E10" s="25">
        <v>41950</v>
      </c>
      <c r="F10" s="25">
        <v>41955</v>
      </c>
      <c r="G10" s="25">
        <v>41955</v>
      </c>
      <c r="H10" s="25">
        <v>41955</v>
      </c>
      <c r="I10" s="98" t="s">
        <v>115</v>
      </c>
      <c r="J10" s="25">
        <v>41962</v>
      </c>
      <c r="K10" s="25">
        <v>41962</v>
      </c>
      <c r="L10" s="25">
        <v>42021</v>
      </c>
      <c r="M10" s="25">
        <v>42041</v>
      </c>
      <c r="N10" s="25">
        <v>42070</v>
      </c>
      <c r="O10" s="25">
        <v>42047</v>
      </c>
      <c r="P10" s="25">
        <v>42163</v>
      </c>
      <c r="Q10" s="25">
        <v>42315</v>
      </c>
      <c r="R10" s="25">
        <v>42160</v>
      </c>
      <c r="S10" s="25">
        <v>42164</v>
      </c>
      <c r="T10" s="42" t="s">
        <v>108</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114">
        <v>408</v>
      </c>
      <c r="C11" s="115" t="s">
        <v>109</v>
      </c>
      <c r="D11" s="19">
        <v>2</v>
      </c>
      <c r="E11" s="25">
        <v>41970</v>
      </c>
      <c r="F11" s="25">
        <v>41974</v>
      </c>
      <c r="G11" s="25">
        <v>41974</v>
      </c>
      <c r="H11" s="25">
        <v>41974</v>
      </c>
      <c r="I11" s="98" t="s">
        <v>97</v>
      </c>
      <c r="J11" s="25">
        <v>41982</v>
      </c>
      <c r="K11" s="25">
        <v>42023</v>
      </c>
      <c r="L11" s="25">
        <v>42041</v>
      </c>
      <c r="N11" s="25">
        <v>42090</v>
      </c>
      <c r="O11" s="25">
        <v>42019</v>
      </c>
      <c r="P11" s="25">
        <v>42023</v>
      </c>
      <c r="Q11" s="25">
        <v>42335</v>
      </c>
      <c r="R11" s="25">
        <v>42122</v>
      </c>
      <c r="S11" s="25">
        <v>42128</v>
      </c>
      <c r="T11" s="115" t="s">
        <v>108</v>
      </c>
      <c r="U11" s="12">
        <v>42306</v>
      </c>
    </row>
    <row r="12" spans="2:48" ht="16.5" customHeight="1">
      <c r="B12" s="114">
        <v>408</v>
      </c>
      <c r="C12" s="115" t="s">
        <v>109</v>
      </c>
      <c r="D12" s="19">
        <v>3</v>
      </c>
      <c r="E12" s="25">
        <v>41977</v>
      </c>
      <c r="F12" s="25">
        <v>41981</v>
      </c>
      <c r="G12" s="25">
        <v>41981</v>
      </c>
      <c r="H12" s="25">
        <v>41981</v>
      </c>
      <c r="I12" s="98" t="s">
        <v>100</v>
      </c>
      <c r="J12" s="25">
        <v>41989</v>
      </c>
      <c r="L12" s="25">
        <v>42048</v>
      </c>
      <c r="N12" s="25">
        <v>42097</v>
      </c>
      <c r="O12" s="25">
        <v>42145</v>
      </c>
      <c r="P12" s="25">
        <v>42150</v>
      </c>
      <c r="Q12" s="25">
        <v>42342</v>
      </c>
      <c r="T12" s="115" t="s">
        <v>108</v>
      </c>
      <c r="U12" s="12">
        <v>42306</v>
      </c>
    </row>
  </sheetData>
  <mergeCells count="10">
    <mergeCell ref="E7:I7"/>
    <mergeCell ref="J7:K7"/>
    <mergeCell ref="L7:M7"/>
    <mergeCell ref="N7:P7"/>
    <mergeCell ref="Q7:S7"/>
    <mergeCell ref="G2:S2"/>
    <mergeCell ref="L3:N3"/>
    <mergeCell ref="D4:E4"/>
    <mergeCell ref="N4:R4"/>
    <mergeCell ref="D6:S6"/>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4.xml><?xml version="1.0" encoding="utf-8"?>
<worksheet xmlns="http://schemas.openxmlformats.org/spreadsheetml/2006/main" xmlns:r="http://schemas.openxmlformats.org/officeDocument/2006/relationships">
  <sheetPr codeName="Feuil19"/>
  <dimension ref="B1:AV12"/>
  <sheetViews>
    <sheetView workbookViewId="0">
      <selection activeCell="L27" sqref="L27"/>
    </sheetView>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110"/>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111" t="s">
        <v>17</v>
      </c>
      <c r="M4" s="63">
        <f>$B$12</f>
        <v>441</v>
      </c>
      <c r="N4" s="140" t="str">
        <f>$C$12</f>
        <v>MEYER-LIDOYNE Martine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113" t="s">
        <v>32</v>
      </c>
      <c r="M8" s="113" t="s">
        <v>31</v>
      </c>
      <c r="N8" s="112" t="s">
        <v>33</v>
      </c>
      <c r="O8" s="112" t="s">
        <v>34</v>
      </c>
      <c r="P8" s="112"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441</v>
      </c>
      <c r="C10" s="42" t="s">
        <v>114</v>
      </c>
      <c r="D10" s="19">
        <v>1</v>
      </c>
      <c r="E10" s="25">
        <v>41982</v>
      </c>
      <c r="F10" s="25">
        <v>41984</v>
      </c>
      <c r="G10" s="25">
        <v>41984</v>
      </c>
      <c r="H10" s="25"/>
      <c r="I10" s="98" t="s">
        <v>57</v>
      </c>
      <c r="J10" s="25">
        <v>41994</v>
      </c>
      <c r="K10" s="25"/>
      <c r="L10" s="25">
        <v>42053</v>
      </c>
      <c r="M10" s="25">
        <v>42040</v>
      </c>
      <c r="N10" s="25">
        <v>42102</v>
      </c>
      <c r="O10" s="25">
        <v>41989</v>
      </c>
      <c r="P10" s="25">
        <v>41991</v>
      </c>
      <c r="Q10" s="25">
        <v>42347</v>
      </c>
      <c r="R10" s="25"/>
      <c r="S10" s="25"/>
      <c r="T10" s="42" t="s">
        <v>113</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120">
        <v>441</v>
      </c>
      <c r="C11" s="121" t="s">
        <v>114</v>
      </c>
      <c r="D11" s="19">
        <v>2</v>
      </c>
      <c r="E11" s="25">
        <v>41984</v>
      </c>
      <c r="F11" s="25">
        <v>41989</v>
      </c>
      <c r="G11" s="25">
        <v>41989</v>
      </c>
      <c r="I11" s="98" t="s">
        <v>57</v>
      </c>
      <c r="J11" s="25">
        <v>41996</v>
      </c>
      <c r="K11" s="25">
        <v>41995</v>
      </c>
      <c r="L11" s="25">
        <v>42055</v>
      </c>
      <c r="M11" s="25">
        <v>42060</v>
      </c>
      <c r="N11" s="25">
        <v>42104</v>
      </c>
      <c r="O11" s="25">
        <v>41992</v>
      </c>
      <c r="P11" s="25">
        <v>41995</v>
      </c>
      <c r="Q11" s="25">
        <v>42349</v>
      </c>
      <c r="T11" s="121" t="s">
        <v>113</v>
      </c>
      <c r="U11" s="12">
        <v>42306</v>
      </c>
    </row>
    <row r="12" spans="2:48" ht="16.5" customHeight="1">
      <c r="B12" s="120">
        <v>441</v>
      </c>
      <c r="C12" s="121" t="s">
        <v>114</v>
      </c>
      <c r="D12" s="19">
        <v>3</v>
      </c>
      <c r="E12" s="25">
        <v>42013</v>
      </c>
      <c r="F12" s="25">
        <v>42016</v>
      </c>
      <c r="G12" s="25">
        <v>42016</v>
      </c>
      <c r="I12" s="98" t="s">
        <v>57</v>
      </c>
      <c r="J12" s="25">
        <v>42025</v>
      </c>
      <c r="L12" s="25">
        <v>42084</v>
      </c>
      <c r="N12" s="25">
        <v>42133</v>
      </c>
      <c r="Q12" s="25">
        <v>42378</v>
      </c>
      <c r="T12" s="121" t="s">
        <v>113</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5.xml><?xml version="1.0" encoding="utf-8"?>
<worksheet xmlns="http://schemas.openxmlformats.org/spreadsheetml/2006/main" xmlns:r="http://schemas.openxmlformats.org/officeDocument/2006/relationships">
  <sheetPr codeName="Feuil13"/>
  <dimension ref="B1:AV15"/>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$U$15</f>
        <v>42306</v>
      </c>
      <c r="G4" s="50"/>
      <c r="H4" s="50"/>
      <c r="I4" s="34"/>
      <c r="J4" s="50"/>
      <c r="K4" s="50"/>
      <c r="L4" s="65" t="s">
        <v>17</v>
      </c>
      <c r="M4" s="63">
        <f>$B$15</f>
        <v>122</v>
      </c>
      <c r="N4" s="140" t="str">
        <f>$C$15</f>
        <v>MOUNICQ Françoise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122</v>
      </c>
      <c r="C10" s="42" t="s">
        <v>76</v>
      </c>
      <c r="D10" s="19">
        <v>1</v>
      </c>
      <c r="E10" s="25">
        <v>41753</v>
      </c>
      <c r="F10" s="25">
        <v>41780</v>
      </c>
      <c r="G10" s="25">
        <v>41780</v>
      </c>
      <c r="H10" s="25"/>
      <c r="I10" s="44" t="s">
        <v>57</v>
      </c>
      <c r="J10" s="25">
        <v>41765</v>
      </c>
      <c r="K10" s="25">
        <v>41787</v>
      </c>
      <c r="L10" s="25">
        <v>41824</v>
      </c>
      <c r="M10" s="25"/>
      <c r="N10" s="25">
        <v>41873</v>
      </c>
      <c r="O10" s="25"/>
      <c r="P10" s="25"/>
      <c r="Q10" s="25">
        <v>42118</v>
      </c>
      <c r="R10" s="25"/>
      <c r="S10" s="25"/>
      <c r="T10" s="42" t="s">
        <v>75</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69">
        <v>122</v>
      </c>
      <c r="C11" s="70" t="s">
        <v>76</v>
      </c>
      <c r="D11" s="19">
        <v>2</v>
      </c>
      <c r="E11" s="25">
        <v>41753</v>
      </c>
      <c r="F11" s="25">
        <v>41780</v>
      </c>
      <c r="G11" s="25">
        <v>41780</v>
      </c>
      <c r="H11" s="25">
        <v>41787</v>
      </c>
      <c r="I11" s="71" t="s">
        <v>96</v>
      </c>
      <c r="J11" s="25">
        <v>41765</v>
      </c>
      <c r="K11" s="25">
        <v>41787</v>
      </c>
      <c r="L11" s="25">
        <v>41824</v>
      </c>
      <c r="M11" s="25">
        <v>41787</v>
      </c>
      <c r="N11" s="25">
        <v>41873</v>
      </c>
      <c r="Q11" s="25">
        <v>42118</v>
      </c>
      <c r="T11" s="70" t="s">
        <v>75</v>
      </c>
      <c r="U11" s="12">
        <v>42306</v>
      </c>
    </row>
    <row r="12" spans="2:48" ht="16.5" customHeight="1">
      <c r="B12" s="69">
        <v>122</v>
      </c>
      <c r="C12" s="70" t="s">
        <v>76</v>
      </c>
      <c r="D12" s="19">
        <v>3</v>
      </c>
      <c r="E12" s="25">
        <v>41753</v>
      </c>
      <c r="F12" s="25">
        <v>41787</v>
      </c>
      <c r="G12" s="25">
        <v>41787</v>
      </c>
      <c r="H12" s="25">
        <v>41796</v>
      </c>
      <c r="I12" s="71" t="s">
        <v>96</v>
      </c>
      <c r="J12" s="25">
        <v>41765</v>
      </c>
      <c r="K12" s="25">
        <v>41814</v>
      </c>
      <c r="L12" s="25">
        <v>41824</v>
      </c>
      <c r="M12" s="25">
        <v>41865</v>
      </c>
      <c r="N12" s="25">
        <v>41873</v>
      </c>
      <c r="O12" s="25">
        <v>41862</v>
      </c>
      <c r="P12" s="25">
        <v>41876</v>
      </c>
      <c r="Q12" s="25">
        <v>42118</v>
      </c>
      <c r="T12" s="70" t="s">
        <v>75</v>
      </c>
      <c r="U12" s="12">
        <v>42306</v>
      </c>
    </row>
    <row r="13" spans="2:48" ht="25.5">
      <c r="B13" s="99">
        <v>122</v>
      </c>
      <c r="C13" s="100" t="s">
        <v>76</v>
      </c>
      <c r="D13" s="19">
        <v>4</v>
      </c>
      <c r="E13" s="25">
        <v>41913</v>
      </c>
      <c r="F13" s="25">
        <v>41977</v>
      </c>
      <c r="G13" s="25">
        <v>41977</v>
      </c>
      <c r="H13" s="25">
        <v>42013</v>
      </c>
      <c r="I13" s="71" t="s">
        <v>94</v>
      </c>
      <c r="J13" s="25">
        <v>41925</v>
      </c>
      <c r="K13" s="25">
        <v>42013</v>
      </c>
      <c r="L13" s="25">
        <v>41984</v>
      </c>
      <c r="M13" s="25">
        <v>42054</v>
      </c>
      <c r="N13" s="25">
        <v>42033</v>
      </c>
      <c r="Q13" s="25">
        <v>42278</v>
      </c>
      <c r="T13" s="100" t="s">
        <v>75</v>
      </c>
      <c r="U13" s="12">
        <v>42306</v>
      </c>
    </row>
    <row r="14" spans="2:48" ht="25.5">
      <c r="B14" s="99">
        <v>122</v>
      </c>
      <c r="C14" s="100" t="s">
        <v>76</v>
      </c>
      <c r="D14" s="19">
        <v>5</v>
      </c>
      <c r="E14" s="25">
        <v>41914</v>
      </c>
      <c r="F14" s="25">
        <v>41977</v>
      </c>
      <c r="G14" s="25">
        <v>41977</v>
      </c>
      <c r="H14" s="25">
        <v>41925</v>
      </c>
      <c r="I14" s="98" t="s">
        <v>98</v>
      </c>
      <c r="J14" s="25">
        <v>41926</v>
      </c>
      <c r="K14" s="25">
        <v>41928</v>
      </c>
      <c r="L14" s="25">
        <v>41985</v>
      </c>
      <c r="M14" s="25">
        <v>41989</v>
      </c>
      <c r="N14" s="25">
        <v>42034</v>
      </c>
      <c r="Q14" s="25">
        <v>42279</v>
      </c>
      <c r="T14" s="100" t="s">
        <v>75</v>
      </c>
      <c r="U14" s="12">
        <v>42306</v>
      </c>
    </row>
    <row r="15" spans="2:48" ht="25.5">
      <c r="B15" s="124">
        <v>122</v>
      </c>
      <c r="C15" s="125" t="s">
        <v>76</v>
      </c>
      <c r="D15" s="19">
        <v>6</v>
      </c>
      <c r="E15" s="25">
        <v>41795</v>
      </c>
      <c r="F15" s="25">
        <v>42013</v>
      </c>
      <c r="G15" s="25">
        <v>42013</v>
      </c>
      <c r="I15" s="98" t="s">
        <v>57</v>
      </c>
      <c r="J15" s="25">
        <v>41807</v>
      </c>
      <c r="L15" s="25">
        <v>41866</v>
      </c>
      <c r="N15" s="25">
        <v>41915</v>
      </c>
      <c r="Q15" s="25">
        <v>42160</v>
      </c>
      <c r="T15" s="125" t="s">
        <v>75</v>
      </c>
      <c r="U15"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6.xml><?xml version="1.0" encoding="utf-8"?>
<worksheet xmlns="http://schemas.openxmlformats.org/spreadsheetml/2006/main" xmlns:r="http://schemas.openxmlformats.org/officeDocument/2006/relationships">
  <sheetPr codeName="Feuil14"/>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65" t="s">
        <v>17</v>
      </c>
      <c r="M4" s="63">
        <f>$B$12</f>
        <v>115</v>
      </c>
      <c r="N4" s="140" t="str">
        <f>$C$12</f>
        <v>PETIGNY Maryse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115</v>
      </c>
      <c r="C10" s="42" t="s">
        <v>78</v>
      </c>
      <c r="D10" s="19">
        <v>1</v>
      </c>
      <c r="E10" s="25">
        <v>41751</v>
      </c>
      <c r="F10" s="25">
        <v>41794</v>
      </c>
      <c r="G10" s="25">
        <v>41850</v>
      </c>
      <c r="H10" s="25">
        <v>41794</v>
      </c>
      <c r="I10" s="44" t="s">
        <v>96</v>
      </c>
      <c r="J10" s="25">
        <v>41763</v>
      </c>
      <c r="K10" s="25">
        <v>41792</v>
      </c>
      <c r="L10" s="25">
        <v>41822</v>
      </c>
      <c r="M10" s="25">
        <v>41912</v>
      </c>
      <c r="N10" s="25">
        <v>41871</v>
      </c>
      <c r="O10" s="25"/>
      <c r="P10" s="25"/>
      <c r="Q10" s="25">
        <v>42116</v>
      </c>
      <c r="R10" s="25"/>
      <c r="S10" s="25"/>
      <c r="T10" s="42" t="s">
        <v>77</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43">
        <v>115</v>
      </c>
      <c r="C11" s="68" t="s">
        <v>78</v>
      </c>
      <c r="D11" s="19">
        <v>2</v>
      </c>
      <c r="E11" s="25">
        <v>41761</v>
      </c>
      <c r="F11" s="25">
        <v>41815</v>
      </c>
      <c r="G11" s="25">
        <v>41780</v>
      </c>
      <c r="H11" s="25">
        <v>41850</v>
      </c>
      <c r="I11" s="44" t="s">
        <v>96</v>
      </c>
      <c r="J11" s="25">
        <v>41773</v>
      </c>
      <c r="K11" s="25">
        <v>41792</v>
      </c>
      <c r="L11" s="25">
        <v>41832</v>
      </c>
      <c r="N11" s="25">
        <v>41881</v>
      </c>
      <c r="O11" s="25">
        <v>41810</v>
      </c>
      <c r="P11" s="25">
        <v>41815</v>
      </c>
      <c r="Q11" s="25">
        <v>42126</v>
      </c>
      <c r="T11" s="68" t="s">
        <v>77</v>
      </c>
      <c r="U11" s="12">
        <v>42306</v>
      </c>
    </row>
    <row r="12" spans="2:48" ht="16.5" customHeight="1">
      <c r="B12" s="43">
        <v>115</v>
      </c>
      <c r="C12" s="68" t="s">
        <v>78</v>
      </c>
      <c r="D12" s="19">
        <v>3</v>
      </c>
      <c r="E12" s="25">
        <v>41789</v>
      </c>
      <c r="F12" s="25">
        <v>41794</v>
      </c>
      <c r="G12" s="25">
        <v>41850</v>
      </c>
      <c r="H12" s="25">
        <v>41794</v>
      </c>
      <c r="I12" s="44" t="s">
        <v>96</v>
      </c>
      <c r="J12" s="25">
        <v>41801</v>
      </c>
      <c r="K12" s="25">
        <v>41822</v>
      </c>
      <c r="L12" s="25">
        <v>41860</v>
      </c>
      <c r="M12" s="25">
        <v>41877</v>
      </c>
      <c r="N12" s="25">
        <v>41909</v>
      </c>
      <c r="Q12" s="25">
        <v>42154</v>
      </c>
      <c r="R12" s="25">
        <v>42150</v>
      </c>
      <c r="S12" s="25">
        <v>42159</v>
      </c>
      <c r="T12" s="68" t="s">
        <v>77</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7.xml><?xml version="1.0" encoding="utf-8"?>
<worksheet xmlns="http://schemas.openxmlformats.org/spreadsheetml/2006/main" xmlns:r="http://schemas.openxmlformats.org/officeDocument/2006/relationships">
  <sheetPr codeName="Feuil15"/>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65" t="s">
        <v>17</v>
      </c>
      <c r="M4" s="63">
        <f>$B$12</f>
        <v>123</v>
      </c>
      <c r="N4" s="140" t="str">
        <f>$C$12</f>
        <v>ROCA Frédérique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123</v>
      </c>
      <c r="C10" s="42" t="s">
        <v>80</v>
      </c>
      <c r="D10" s="19">
        <v>1</v>
      </c>
      <c r="E10" s="25">
        <v>41744</v>
      </c>
      <c r="F10" s="25">
        <v>41747</v>
      </c>
      <c r="G10" s="25">
        <v>41747</v>
      </c>
      <c r="H10" s="25">
        <v>41747</v>
      </c>
      <c r="I10" s="44" t="s">
        <v>91</v>
      </c>
      <c r="J10" s="25">
        <v>41756</v>
      </c>
      <c r="K10" s="25">
        <v>41757</v>
      </c>
      <c r="L10" s="25">
        <v>41815</v>
      </c>
      <c r="M10" s="25">
        <v>41813</v>
      </c>
      <c r="N10" s="25">
        <v>41864</v>
      </c>
      <c r="O10" s="25">
        <v>41807</v>
      </c>
      <c r="P10" s="25">
        <v>41820</v>
      </c>
      <c r="Q10" s="25">
        <v>42109</v>
      </c>
      <c r="R10" s="25"/>
      <c r="S10" s="25"/>
      <c r="T10" s="42" t="s">
        <v>79</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43">
        <v>123</v>
      </c>
      <c r="C11" s="68" t="s">
        <v>80</v>
      </c>
      <c r="D11" s="19">
        <v>2</v>
      </c>
      <c r="E11" s="25">
        <v>41761</v>
      </c>
      <c r="F11" s="25">
        <v>41771</v>
      </c>
      <c r="G11" s="25">
        <v>41771</v>
      </c>
      <c r="I11" s="44" t="s">
        <v>57</v>
      </c>
      <c r="J11" s="25">
        <v>41773</v>
      </c>
      <c r="K11" s="25">
        <v>41775</v>
      </c>
      <c r="L11" s="25">
        <v>41832</v>
      </c>
      <c r="M11" s="25">
        <v>41828</v>
      </c>
      <c r="N11" s="25">
        <v>41881</v>
      </c>
      <c r="O11" s="25">
        <v>41828</v>
      </c>
      <c r="P11" s="25">
        <v>41830</v>
      </c>
      <c r="Q11" s="25">
        <v>42126</v>
      </c>
      <c r="T11" s="68" t="s">
        <v>79</v>
      </c>
      <c r="U11" s="12">
        <v>42306</v>
      </c>
    </row>
    <row r="12" spans="2:48" ht="16.5" customHeight="1">
      <c r="B12" s="43">
        <v>123</v>
      </c>
      <c r="C12" s="68" t="s">
        <v>80</v>
      </c>
      <c r="D12" s="19">
        <v>3</v>
      </c>
      <c r="E12" s="25">
        <v>41765</v>
      </c>
      <c r="F12" s="25">
        <v>41771</v>
      </c>
      <c r="G12" s="25">
        <v>41771</v>
      </c>
      <c r="H12" s="25">
        <v>41771</v>
      </c>
      <c r="I12" s="44" t="s">
        <v>96</v>
      </c>
      <c r="J12" s="25">
        <v>41777</v>
      </c>
      <c r="K12" s="25">
        <v>41792</v>
      </c>
      <c r="L12" s="25">
        <v>41836</v>
      </c>
      <c r="M12" s="25">
        <v>41841</v>
      </c>
      <c r="N12" s="25">
        <v>41885</v>
      </c>
      <c r="O12" s="25">
        <v>41829</v>
      </c>
      <c r="P12" s="25">
        <v>41835</v>
      </c>
      <c r="Q12" s="25">
        <v>42130</v>
      </c>
      <c r="T12" s="68" t="s">
        <v>79</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8.xml><?xml version="1.0" encoding="utf-8"?>
<worksheet xmlns="http://schemas.openxmlformats.org/spreadsheetml/2006/main" xmlns:r="http://schemas.openxmlformats.org/officeDocument/2006/relationships">
  <sheetPr codeName="Feuil16"/>
  <dimension ref="B1:AV14"/>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64"/>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$U$14</f>
        <v>42306</v>
      </c>
      <c r="G4" s="50"/>
      <c r="H4" s="50"/>
      <c r="I4" s="34"/>
      <c r="J4" s="50"/>
      <c r="K4" s="50"/>
      <c r="L4" s="65" t="s">
        <v>17</v>
      </c>
      <c r="M4" s="63">
        <f>$B$14</f>
        <v>120</v>
      </c>
      <c r="N4" s="140" t="str">
        <f>$C$14</f>
        <v>VAN LANDUYT Hervé</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67" t="s">
        <v>32</v>
      </c>
      <c r="M8" s="67" t="s">
        <v>31</v>
      </c>
      <c r="N8" s="66" t="s">
        <v>33</v>
      </c>
      <c r="O8" s="66" t="s">
        <v>34</v>
      </c>
      <c r="P8" s="66"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120</v>
      </c>
      <c r="C10" s="42" t="s">
        <v>82</v>
      </c>
      <c r="D10" s="19">
        <v>1</v>
      </c>
      <c r="E10" s="25">
        <v>41752</v>
      </c>
      <c r="F10" s="25">
        <v>41757</v>
      </c>
      <c r="G10" s="25">
        <v>41757</v>
      </c>
      <c r="H10" s="25"/>
      <c r="I10" s="44" t="s">
        <v>57</v>
      </c>
      <c r="J10" s="25">
        <v>41764</v>
      </c>
      <c r="K10" s="25">
        <v>41764</v>
      </c>
      <c r="L10" s="25">
        <v>41823</v>
      </c>
      <c r="M10" s="25">
        <v>41792</v>
      </c>
      <c r="N10" s="25">
        <v>41872</v>
      </c>
      <c r="O10" s="25">
        <v>41786</v>
      </c>
      <c r="P10" s="25">
        <v>41787</v>
      </c>
      <c r="Q10" s="25">
        <v>42117</v>
      </c>
      <c r="R10" s="25">
        <v>41897</v>
      </c>
      <c r="S10" s="25">
        <v>41899</v>
      </c>
      <c r="T10" s="42" t="s">
        <v>81</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69">
        <v>120</v>
      </c>
      <c r="C11" s="70" t="s">
        <v>82</v>
      </c>
      <c r="D11" s="19">
        <v>2</v>
      </c>
      <c r="E11" s="25">
        <v>41761</v>
      </c>
      <c r="F11" s="25">
        <v>41765</v>
      </c>
      <c r="G11" s="25">
        <v>41765</v>
      </c>
      <c r="H11" s="25">
        <v>41765</v>
      </c>
      <c r="I11" s="71" t="s">
        <v>92</v>
      </c>
      <c r="J11" s="25">
        <v>41773</v>
      </c>
      <c r="K11" s="25">
        <v>41772</v>
      </c>
      <c r="L11" s="25">
        <v>41832</v>
      </c>
      <c r="M11" s="25">
        <v>41821</v>
      </c>
      <c r="N11" s="25">
        <v>41881</v>
      </c>
      <c r="O11" s="25">
        <v>41794</v>
      </c>
      <c r="P11" s="25">
        <v>41796</v>
      </c>
      <c r="Q11" s="25">
        <v>42126</v>
      </c>
      <c r="R11" s="25">
        <v>41920</v>
      </c>
      <c r="S11" s="25">
        <v>41921</v>
      </c>
      <c r="T11" s="70" t="s">
        <v>81</v>
      </c>
      <c r="U11" s="12">
        <v>42306</v>
      </c>
    </row>
    <row r="12" spans="2:48" ht="16.5" customHeight="1">
      <c r="B12" s="69">
        <v>120</v>
      </c>
      <c r="C12" s="70" t="s">
        <v>82</v>
      </c>
      <c r="D12" s="19">
        <v>3</v>
      </c>
      <c r="E12" s="25">
        <v>41765</v>
      </c>
      <c r="F12" s="25">
        <v>41771</v>
      </c>
      <c r="G12" s="25">
        <v>41771</v>
      </c>
      <c r="H12" s="25">
        <v>41771</v>
      </c>
      <c r="I12" s="71" t="s">
        <v>57</v>
      </c>
      <c r="J12" s="25">
        <v>41777</v>
      </c>
      <c r="K12" s="25">
        <v>41774</v>
      </c>
      <c r="L12" s="25">
        <v>41836</v>
      </c>
      <c r="M12" s="25">
        <v>41828</v>
      </c>
      <c r="N12" s="25">
        <v>41885</v>
      </c>
      <c r="O12" s="25">
        <v>41800</v>
      </c>
      <c r="P12" s="25">
        <v>41802</v>
      </c>
      <c r="Q12" s="25">
        <v>42130</v>
      </c>
      <c r="R12" s="25">
        <v>41936</v>
      </c>
      <c r="S12" s="25">
        <v>41940</v>
      </c>
      <c r="T12" s="70" t="s">
        <v>81</v>
      </c>
      <c r="U12" s="12">
        <v>42306</v>
      </c>
    </row>
    <row r="13" spans="2:48" ht="25.5">
      <c r="B13" s="99">
        <v>120</v>
      </c>
      <c r="C13" s="100" t="s">
        <v>82</v>
      </c>
      <c r="D13" s="19">
        <v>4</v>
      </c>
      <c r="E13" s="25">
        <v>41913</v>
      </c>
      <c r="F13" s="25">
        <v>41915</v>
      </c>
      <c r="G13" s="25">
        <v>41915</v>
      </c>
      <c r="H13" s="25">
        <v>41915</v>
      </c>
      <c r="I13" s="71" t="s">
        <v>92</v>
      </c>
      <c r="J13" s="25">
        <v>41925</v>
      </c>
      <c r="K13" s="25">
        <v>41922</v>
      </c>
      <c r="L13" s="25">
        <v>41984</v>
      </c>
      <c r="M13" s="25">
        <v>41983</v>
      </c>
      <c r="N13" s="25">
        <v>42033</v>
      </c>
      <c r="O13" s="25">
        <v>41982</v>
      </c>
      <c r="P13" s="25">
        <v>41983</v>
      </c>
      <c r="Q13" s="25">
        <v>42278</v>
      </c>
      <c r="R13" s="25">
        <v>42062</v>
      </c>
      <c r="S13" s="25">
        <v>42066</v>
      </c>
      <c r="T13" s="100" t="s">
        <v>81</v>
      </c>
      <c r="U13" s="12">
        <v>42306</v>
      </c>
    </row>
    <row r="14" spans="2:48" ht="25.5">
      <c r="B14" s="99">
        <v>120</v>
      </c>
      <c r="C14" s="100" t="s">
        <v>82</v>
      </c>
      <c r="D14" s="19">
        <v>5</v>
      </c>
      <c r="E14" s="25">
        <v>41918</v>
      </c>
      <c r="F14" s="25">
        <v>41921</v>
      </c>
      <c r="G14" s="25">
        <v>41921</v>
      </c>
      <c r="H14" s="25">
        <v>41921</v>
      </c>
      <c r="I14" s="71" t="s">
        <v>92</v>
      </c>
      <c r="J14" s="25">
        <v>41930</v>
      </c>
      <c r="K14" s="25">
        <v>41928</v>
      </c>
      <c r="L14" s="25">
        <v>41989</v>
      </c>
      <c r="M14" s="25">
        <v>42002</v>
      </c>
      <c r="N14" s="25">
        <v>42038</v>
      </c>
      <c r="O14" s="25">
        <v>41999</v>
      </c>
      <c r="P14" s="25">
        <v>42061</v>
      </c>
      <c r="Q14" s="25">
        <v>42283</v>
      </c>
      <c r="R14" s="25">
        <v>42065</v>
      </c>
      <c r="S14" s="25">
        <v>42066</v>
      </c>
      <c r="T14" s="100" t="s">
        <v>81</v>
      </c>
      <c r="U14"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19.xml><?xml version="1.0" encoding="utf-8"?>
<worksheet xmlns="http://schemas.openxmlformats.org/spreadsheetml/2006/main" xmlns:r="http://schemas.openxmlformats.org/officeDocument/2006/relationships">
  <sheetPr codeName="Feuil17"/>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86"/>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87" t="s">
        <v>17</v>
      </c>
      <c r="M4" s="63">
        <f>$B$12</f>
        <v>355</v>
      </c>
      <c r="N4" s="140" t="str">
        <f>$C$12</f>
        <v>VIGAN Martine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89" t="s">
        <v>32</v>
      </c>
      <c r="M8" s="89" t="s">
        <v>31</v>
      </c>
      <c r="N8" s="88" t="s">
        <v>33</v>
      </c>
      <c r="O8" s="88" t="s">
        <v>34</v>
      </c>
      <c r="P8" s="88"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355</v>
      </c>
      <c r="C10" s="42" t="s">
        <v>88</v>
      </c>
      <c r="D10" s="19">
        <v>1</v>
      </c>
      <c r="E10" s="25"/>
      <c r="F10" s="25"/>
      <c r="G10" s="25"/>
      <c r="H10" s="25"/>
      <c r="I10" s="71" t="s">
        <v>57</v>
      </c>
      <c r="J10" s="25"/>
      <c r="K10" s="25"/>
      <c r="L10" s="25"/>
      <c r="M10" s="25"/>
      <c r="N10" s="25"/>
      <c r="O10" s="25"/>
      <c r="P10" s="25"/>
      <c r="Q10" s="25"/>
      <c r="R10" s="25"/>
      <c r="S10" s="25"/>
      <c r="T10" s="42" t="s">
        <v>87</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99">
        <v>355</v>
      </c>
      <c r="C11" s="100" t="s">
        <v>88</v>
      </c>
      <c r="D11" s="19">
        <v>2</v>
      </c>
      <c r="E11" s="25">
        <v>42011</v>
      </c>
      <c r="F11" s="25">
        <v>42013</v>
      </c>
      <c r="I11" s="71" t="s">
        <v>57</v>
      </c>
      <c r="J11" s="25">
        <v>42023</v>
      </c>
      <c r="L11" s="25">
        <v>42082</v>
      </c>
      <c r="N11" s="25">
        <v>42131</v>
      </c>
      <c r="Q11" s="25">
        <v>42376</v>
      </c>
      <c r="T11" s="100" t="s">
        <v>87</v>
      </c>
      <c r="U11" s="12">
        <v>42306</v>
      </c>
    </row>
    <row r="12" spans="2:48" ht="16.5" customHeight="1">
      <c r="B12" s="99">
        <v>355</v>
      </c>
      <c r="C12" s="100" t="s">
        <v>88</v>
      </c>
      <c r="D12" s="19">
        <v>3</v>
      </c>
      <c r="E12" s="25">
        <v>41935</v>
      </c>
      <c r="F12" s="25">
        <v>41970</v>
      </c>
      <c r="I12" s="71" t="s">
        <v>57</v>
      </c>
      <c r="J12" s="25">
        <v>41947</v>
      </c>
      <c r="L12" s="25">
        <v>42006</v>
      </c>
      <c r="N12" s="25">
        <v>42055</v>
      </c>
      <c r="Q12" s="25">
        <v>42300</v>
      </c>
      <c r="T12" s="100" t="s">
        <v>87</v>
      </c>
      <c r="U12" s="12">
        <v>42306</v>
      </c>
    </row>
  </sheetData>
  <mergeCells count="10">
    <mergeCell ref="G2:S2"/>
    <mergeCell ref="L3:N3"/>
    <mergeCell ref="D4:E4"/>
    <mergeCell ref="N4:R4"/>
    <mergeCell ref="D6:S6"/>
    <mergeCell ref="E7:I7"/>
    <mergeCell ref="J7:K7"/>
    <mergeCell ref="L7:M7"/>
    <mergeCell ref="N7:P7"/>
    <mergeCell ref="Q7:S7"/>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xl/worksheets/sheet20.xml><?xml version="1.0" encoding="utf-8"?>
<worksheet xmlns="http://schemas.openxmlformats.org/spreadsheetml/2006/main" xmlns:r="http://schemas.openxmlformats.org/officeDocument/2006/relationships">
  <sheetPr codeName="Feuil18"/>
  <dimension ref="B1:AV12"/>
  <sheetViews>
    <sheetView workbookViewId="0"/>
  </sheetViews>
  <sheetFormatPr baseColWidth="10" defaultRowHeight="15"/>
  <cols>
    <col min="1" max="1" width="3" customWidth="1"/>
    <col min="2" max="2" width="16.7109375" hidden="1" customWidth="1"/>
    <col min="3" max="3" width="17.28515625" hidden="1" customWidth="1"/>
    <col min="4" max="4" width="9.5703125" style="19" customWidth="1"/>
    <col min="5" max="5" width="15.85546875" style="25" customWidth="1"/>
    <col min="6" max="6" width="20.28515625" style="25" customWidth="1"/>
    <col min="7" max="7" width="19.42578125" style="25" customWidth="1"/>
    <col min="8" max="8" width="17" style="25" customWidth="1"/>
    <col min="9" max="9" width="21" customWidth="1"/>
    <col min="10" max="10" width="13.7109375" style="25" customWidth="1"/>
    <col min="11" max="11" width="17.7109375" style="25" customWidth="1"/>
    <col min="12" max="12" width="15.28515625" style="25" customWidth="1"/>
    <col min="13" max="13" width="19" style="25" customWidth="1"/>
    <col min="14" max="14" width="13.7109375" style="25" customWidth="1"/>
    <col min="15" max="15" width="17.42578125" style="25" customWidth="1"/>
    <col min="16" max="16" width="21.42578125" style="25" customWidth="1"/>
    <col min="17" max="17" width="13.7109375" style="25" bestFit="1" customWidth="1"/>
    <col min="18" max="18" width="15.7109375" style="25" customWidth="1"/>
    <col min="19" max="19" width="19.7109375" style="25" customWidth="1"/>
    <col min="20" max="20" width="14.7109375" hidden="1" customWidth="1"/>
    <col min="21" max="21" width="13.7109375" style="12" hidden="1" customWidth="1"/>
  </cols>
  <sheetData>
    <row r="1" spans="2:48">
      <c r="C1" s="34"/>
      <c r="D1" s="54"/>
      <c r="E1" s="50"/>
      <c r="F1" s="50"/>
      <c r="G1" s="50"/>
      <c r="H1" s="50"/>
      <c r="I1" s="34"/>
      <c r="J1" s="50"/>
      <c r="K1" s="50"/>
      <c r="L1" s="50"/>
      <c r="M1" s="50"/>
      <c r="N1" s="50"/>
      <c r="O1" s="50"/>
      <c r="P1" s="50"/>
      <c r="Q1" s="50"/>
      <c r="R1" s="50"/>
      <c r="S1" s="50"/>
      <c r="T1" s="34"/>
      <c r="U1" s="45"/>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row>
    <row r="2" spans="2:48" ht="27">
      <c r="C2" s="34"/>
      <c r="D2" s="20" t="s">
        <v>0</v>
      </c>
      <c r="E2" s="51"/>
      <c r="F2" s="52"/>
      <c r="G2" s="136" t="s">
        <v>16</v>
      </c>
      <c r="H2" s="137"/>
      <c r="I2" s="137"/>
      <c r="J2" s="137"/>
      <c r="K2" s="137"/>
      <c r="L2" s="137"/>
      <c r="M2" s="137"/>
      <c r="N2" s="137"/>
      <c r="O2" s="137"/>
      <c r="P2" s="137"/>
      <c r="Q2" s="137"/>
      <c r="R2" s="137"/>
      <c r="S2" s="137"/>
      <c r="T2" s="34"/>
      <c r="U2" s="45"/>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row>
    <row r="3" spans="2:48" ht="27">
      <c r="C3" s="34"/>
      <c r="D3" s="55"/>
      <c r="E3" s="52"/>
      <c r="F3" s="52"/>
      <c r="G3" s="50"/>
      <c r="H3" s="50"/>
      <c r="I3" s="34"/>
      <c r="J3" s="50"/>
      <c r="K3" s="50"/>
      <c r="L3" s="138"/>
      <c r="M3" s="138"/>
      <c r="N3" s="138"/>
      <c r="O3" s="107"/>
      <c r="P3" s="50"/>
      <c r="Q3" s="50"/>
      <c r="R3" s="50"/>
      <c r="S3" s="50"/>
      <c r="T3" s="34"/>
      <c r="U3" s="45"/>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row>
    <row r="4" spans="2:48" ht="24" customHeight="1">
      <c r="C4" s="34"/>
      <c r="D4" s="139" t="s">
        <v>58</v>
      </c>
      <c r="E4" s="139"/>
      <c r="F4" s="53">
        <f>$U$12</f>
        <v>42306</v>
      </c>
      <c r="G4" s="50"/>
      <c r="H4" s="50"/>
      <c r="I4" s="34"/>
      <c r="J4" s="50"/>
      <c r="K4" s="50"/>
      <c r="L4" s="108" t="s">
        <v>17</v>
      </c>
      <c r="M4" s="63">
        <f>$B$12</f>
        <v>375</v>
      </c>
      <c r="N4" s="140" t="str">
        <f>$C$12</f>
        <v>MOUGET Yolande</v>
      </c>
      <c r="O4" s="140"/>
      <c r="P4" s="140"/>
      <c r="Q4" s="140"/>
      <c r="R4" s="140"/>
      <c r="S4" s="50"/>
      <c r="T4" s="34"/>
      <c r="U4" s="45"/>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2:48">
      <c r="C5" s="34"/>
      <c r="D5" s="54"/>
      <c r="E5" s="50"/>
      <c r="F5" s="50"/>
      <c r="G5" s="50"/>
      <c r="H5" s="50"/>
      <c r="I5" s="34"/>
      <c r="J5" s="50"/>
      <c r="K5" s="50"/>
      <c r="L5" s="50"/>
      <c r="M5" s="50"/>
      <c r="N5" s="50"/>
      <c r="O5" s="50"/>
      <c r="P5" s="50"/>
      <c r="Q5" s="50"/>
      <c r="R5" s="58" t="s">
        <v>18</v>
      </c>
      <c r="S5" s="50"/>
      <c r="T5" s="34"/>
      <c r="U5" s="45"/>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row>
    <row r="6" spans="2:48" s="36" customFormat="1" ht="19.5" customHeight="1">
      <c r="C6" s="35"/>
      <c r="D6" s="141"/>
      <c r="E6" s="142"/>
      <c r="F6" s="142"/>
      <c r="G6" s="142"/>
      <c r="H6" s="142"/>
      <c r="I6" s="142"/>
      <c r="J6" s="142"/>
      <c r="K6" s="142"/>
      <c r="L6" s="142"/>
      <c r="M6" s="142"/>
      <c r="N6" s="142"/>
      <c r="O6" s="142"/>
      <c r="P6" s="142"/>
      <c r="Q6" s="142"/>
      <c r="R6" s="142"/>
      <c r="S6" s="142"/>
      <c r="T6" s="35"/>
      <c r="U6" s="4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row>
    <row r="7" spans="2:48" s="36" customFormat="1" ht="39.75" customHeight="1">
      <c r="C7" s="35"/>
      <c r="D7" s="37"/>
      <c r="E7" s="127" t="s">
        <v>19</v>
      </c>
      <c r="F7" s="128"/>
      <c r="G7" s="128"/>
      <c r="H7" s="128"/>
      <c r="I7" s="128"/>
      <c r="J7" s="129" t="s">
        <v>20</v>
      </c>
      <c r="K7" s="130"/>
      <c r="L7" s="131" t="s">
        <v>21</v>
      </c>
      <c r="M7" s="131"/>
      <c r="N7" s="132" t="s">
        <v>22</v>
      </c>
      <c r="O7" s="133"/>
      <c r="P7" s="134"/>
      <c r="Q7" s="135" t="s">
        <v>23</v>
      </c>
      <c r="R7" s="133"/>
      <c r="S7" s="134"/>
      <c r="T7" s="35"/>
      <c r="U7" s="46"/>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row>
    <row r="8" spans="2:48" s="41" customFormat="1" ht="76.5">
      <c r="C8" s="38"/>
      <c r="D8" s="39" t="s">
        <v>24</v>
      </c>
      <c r="E8" s="49" t="s">
        <v>25</v>
      </c>
      <c r="F8" s="49" t="s">
        <v>26</v>
      </c>
      <c r="G8" s="49" t="s">
        <v>27</v>
      </c>
      <c r="H8" s="49" t="s">
        <v>28</v>
      </c>
      <c r="I8" s="40" t="s">
        <v>29</v>
      </c>
      <c r="J8" s="59" t="s">
        <v>30</v>
      </c>
      <c r="K8" s="59" t="s">
        <v>31</v>
      </c>
      <c r="L8" s="106" t="s">
        <v>32</v>
      </c>
      <c r="M8" s="106" t="s">
        <v>31</v>
      </c>
      <c r="N8" s="105" t="s">
        <v>33</v>
      </c>
      <c r="O8" s="105" t="s">
        <v>34</v>
      </c>
      <c r="P8" s="105" t="s">
        <v>35</v>
      </c>
      <c r="Q8" s="62" t="s">
        <v>36</v>
      </c>
      <c r="R8" s="62" t="s">
        <v>34</v>
      </c>
      <c r="S8" s="62" t="s">
        <v>37</v>
      </c>
      <c r="T8" s="38"/>
      <c r="U8" s="47"/>
      <c r="V8" s="38"/>
      <c r="W8" s="38"/>
      <c r="X8" s="38"/>
      <c r="Y8" s="38"/>
      <c r="Z8" s="38"/>
      <c r="AA8" s="38"/>
      <c r="AB8" s="38"/>
      <c r="AC8" s="38"/>
      <c r="AD8" s="38"/>
      <c r="AE8" s="38"/>
      <c r="AF8" s="38"/>
      <c r="AG8" s="38"/>
      <c r="AH8" s="38"/>
      <c r="AI8" s="38"/>
      <c r="AJ8" s="38"/>
      <c r="AK8" s="38"/>
      <c r="AL8" s="38"/>
      <c r="AM8" s="38"/>
      <c r="AN8" s="38"/>
      <c r="AO8" s="38"/>
      <c r="AP8" s="38"/>
      <c r="AQ8" s="38"/>
      <c r="AR8" s="38"/>
      <c r="AS8" s="38"/>
    </row>
    <row r="9" spans="2:48" s="43" customFormat="1" hidden="1">
      <c r="B9" s="43" t="s">
        <v>38</v>
      </c>
      <c r="C9" s="42" t="s">
        <v>39</v>
      </c>
      <c r="D9" s="19" t="s">
        <v>40</v>
      </c>
      <c r="E9" s="25" t="s">
        <v>41</v>
      </c>
      <c r="F9" s="25" t="s">
        <v>42</v>
      </c>
      <c r="G9" s="25" t="s">
        <v>43</v>
      </c>
      <c r="H9" s="25" t="s">
        <v>44</v>
      </c>
      <c r="I9" t="s">
        <v>45</v>
      </c>
      <c r="J9" s="25" t="s">
        <v>46</v>
      </c>
      <c r="K9" s="25" t="s">
        <v>47</v>
      </c>
      <c r="L9" s="25" t="s">
        <v>48</v>
      </c>
      <c r="M9" s="25" t="s">
        <v>49</v>
      </c>
      <c r="N9" s="25" t="s">
        <v>50</v>
      </c>
      <c r="O9" s="25" t="s">
        <v>51</v>
      </c>
      <c r="P9" s="25" t="s">
        <v>52</v>
      </c>
      <c r="Q9" s="25" t="s">
        <v>53</v>
      </c>
      <c r="R9" s="25" t="s">
        <v>54</v>
      </c>
      <c r="S9" s="25" t="s">
        <v>55</v>
      </c>
      <c r="T9" s="42" t="s">
        <v>56</v>
      </c>
      <c r="U9" s="48" t="s">
        <v>11</v>
      </c>
      <c r="V9" s="42"/>
      <c r="W9" s="42"/>
      <c r="X9" s="42"/>
      <c r="Y9" s="42"/>
      <c r="Z9" s="42"/>
      <c r="AA9" s="42"/>
      <c r="AB9" s="42"/>
      <c r="AC9" s="42"/>
      <c r="AD9" s="42"/>
      <c r="AE9" s="42"/>
      <c r="AF9" s="42"/>
      <c r="AG9" s="42"/>
      <c r="AH9" s="42"/>
      <c r="AI9" s="42"/>
      <c r="AJ9" s="42"/>
      <c r="AK9" s="42"/>
      <c r="AL9" s="42"/>
      <c r="AM9" s="42"/>
      <c r="AN9" s="42"/>
      <c r="AO9" s="42"/>
      <c r="AP9" s="42"/>
      <c r="AQ9" s="42"/>
      <c r="AR9" s="42"/>
      <c r="AS9" s="42"/>
    </row>
    <row r="10" spans="2:48" s="43" customFormat="1" ht="17.25" customHeight="1">
      <c r="B10" s="43">
        <v>375</v>
      </c>
      <c r="C10" s="42" t="s">
        <v>110</v>
      </c>
      <c r="D10" s="19">
        <v>1</v>
      </c>
      <c r="E10" s="25">
        <v>41990</v>
      </c>
      <c r="F10" s="25">
        <v>41995</v>
      </c>
      <c r="G10" s="25">
        <v>41995</v>
      </c>
      <c r="H10" s="25"/>
      <c r="I10" s="98" t="s">
        <v>57</v>
      </c>
      <c r="J10" s="25">
        <v>42002</v>
      </c>
      <c r="K10" s="25">
        <v>42032</v>
      </c>
      <c r="L10" s="25">
        <v>42061</v>
      </c>
      <c r="M10" s="25">
        <v>42038</v>
      </c>
      <c r="N10" s="25">
        <v>42110</v>
      </c>
      <c r="O10" s="25">
        <v>42032</v>
      </c>
      <c r="P10" s="25">
        <v>42034</v>
      </c>
      <c r="Q10" s="25">
        <v>42355</v>
      </c>
      <c r="R10" s="25"/>
      <c r="S10" s="25"/>
      <c r="T10" s="42" t="s">
        <v>111</v>
      </c>
      <c r="U10" s="12">
        <v>42306</v>
      </c>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row>
    <row r="11" spans="2:48" ht="18" customHeight="1">
      <c r="B11" s="122">
        <v>375</v>
      </c>
      <c r="C11" s="123" t="s">
        <v>110</v>
      </c>
      <c r="D11" s="19">
        <v>2</v>
      </c>
      <c r="I11" s="98" t="s">
        <v>57</v>
      </c>
      <c r="T11" s="123" t="s">
        <v>111</v>
      </c>
      <c r="U11" s="12">
        <v>42306</v>
      </c>
    </row>
    <row r="12" spans="2:48" ht="16.5" customHeight="1">
      <c r="B12" s="122">
        <v>375</v>
      </c>
      <c r="C12" s="123" t="s">
        <v>110</v>
      </c>
      <c r="D12" s="19">
        <v>3</v>
      </c>
      <c r="I12" s="98" t="s">
        <v>57</v>
      </c>
      <c r="T12" s="123" t="s">
        <v>111</v>
      </c>
      <c r="U12" s="12">
        <v>42306</v>
      </c>
    </row>
  </sheetData>
  <mergeCells count="10">
    <mergeCell ref="E7:I7"/>
    <mergeCell ref="J7:K7"/>
    <mergeCell ref="L7:M7"/>
    <mergeCell ref="N7:P7"/>
    <mergeCell ref="Q7:S7"/>
    <mergeCell ref="G2:S2"/>
    <mergeCell ref="L3:N3"/>
    <mergeCell ref="D4:E4"/>
    <mergeCell ref="N4:R4"/>
    <mergeCell ref="D6:S6"/>
  </mergeCells>
  <hyperlinks>
    <hyperlink ref="R5" location="'Secteur DE0101'!A1" display="Retour à la liste des médecins"/>
  </hyperlinks>
  <pageMargins left="0.31496062992125984" right="0.31496062992125984" top="0.74803149606299213" bottom="0.74803149606299213" header="0.31496062992125984" footer="0.31496062992125984"/>
  <pageSetup paperSize="9" scale="50" orientation="landscape"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20</vt:i4>
      </vt:variant>
    </vt:vector>
  </HeadingPairs>
  <TitlesOfParts>
    <vt:vector size="20" baseType="lpstr">
      <vt:lpstr>Secteur DE0204</vt:lpstr>
      <vt:lpstr>00280610</vt:lpstr>
      <vt:lpstr>01445695</vt:lpstr>
      <vt:lpstr>01202442</vt:lpstr>
      <vt:lpstr>04334496</vt:lpstr>
      <vt:lpstr>03298413</vt:lpstr>
      <vt:lpstr>02862230</vt:lpstr>
      <vt:lpstr>03573010</vt:lpstr>
      <vt:lpstr>04846389</vt:lpstr>
      <vt:lpstr>05341053</vt:lpstr>
      <vt:lpstr>05554135</vt:lpstr>
      <vt:lpstr>05813840</vt:lpstr>
      <vt:lpstr>06108765</vt:lpstr>
      <vt:lpstr>06438968</vt:lpstr>
      <vt:lpstr>06704425</vt:lpstr>
      <vt:lpstr>07235285</vt:lpstr>
      <vt:lpstr>07938128</vt:lpstr>
      <vt:lpstr>09050139</vt:lpstr>
      <vt:lpstr>09204510</vt:lpstr>
      <vt:lpstr>06690580</vt:lpstr>
    </vt:vector>
  </TitlesOfParts>
  <Company>GECEM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Alain COLAS</dc:creator>
  <cp:lastModifiedBy>GECEM</cp:lastModifiedBy>
  <cp:lastPrinted>2014-04-15T15:23:56Z</cp:lastPrinted>
  <dcterms:created xsi:type="dcterms:W3CDTF">2014-04-10T15:52:05Z</dcterms:created>
  <dcterms:modified xsi:type="dcterms:W3CDTF">2015-10-29T22:01:56Z</dcterms:modified>
</cp:coreProperties>
</file>