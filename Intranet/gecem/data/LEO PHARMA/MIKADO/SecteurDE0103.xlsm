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13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queryTables/queryTable9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tables/table9.xml" ContentType="application/vnd.openxmlformats-officedocument.spreadsheetml.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  <Default Extension="bin" ContentType="application/vnd.openxmlformats-officedocument.spreadsheetml.printerSettings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80" yWindow="-150" windowWidth="15480" windowHeight="7740"/>
  </bookViews>
  <sheets>
    <sheet name="Secteur DE0103" sheetId="1" r:id="rId1"/>
    <sheet name="03730067" sheetId="12" r:id="rId2"/>
    <sheet name="02610983" sheetId="2" r:id="rId3"/>
    <sheet name="03031245" sheetId="3" r:id="rId4"/>
    <sheet name="00037549" sheetId="10" r:id="rId5"/>
    <sheet name="03876040" sheetId="8" r:id="rId6"/>
    <sheet name="05890131" sheetId="9" r:id="rId7"/>
    <sheet name="06793225" sheetId="4" r:id="rId8"/>
    <sheet name="06719020" sheetId="5" r:id="rId9"/>
    <sheet name="07105263" sheetId="6" r:id="rId10"/>
    <sheet name="08164868" sheetId="13" r:id="rId11"/>
    <sheet name="08433883" sheetId="11" r:id="rId12"/>
    <sheet name="09053212" sheetId="7" r:id="rId13"/>
  </sheets>
  <definedNames>
    <definedName name="Lancer_la_requête_à_partir_de_MS_Access_Database" localSheetId="4" hidden="1">'00037549'!$B$9:$U$12</definedName>
    <definedName name="Lancer_la_requête_à_partir_de_MS_Access_Database" localSheetId="2" hidden="1">'02610983'!$B$9:$U$19</definedName>
    <definedName name="Lancer_la_requête_à_partir_de_MS_Access_Database" localSheetId="3" hidden="1">'03031245'!$B$9:$U$16</definedName>
    <definedName name="Lancer_la_requête_à_partir_de_MS_Access_Database" localSheetId="1" hidden="1">'03730067'!$B$9:$U$12</definedName>
    <definedName name="Lancer_la_requête_à_partir_de_MS_Access_Database" localSheetId="5" hidden="1">'03876040'!$B$9:$U$12</definedName>
    <definedName name="Lancer_la_requête_à_partir_de_MS_Access_Database" localSheetId="6" hidden="1">'05890131'!$B$9:$U$14</definedName>
    <definedName name="Lancer_la_requête_à_partir_de_MS_Access_Database" localSheetId="8" hidden="1">'06719020'!$B$9:$U$16</definedName>
    <definedName name="Lancer_la_requête_à_partir_de_MS_Access_Database" localSheetId="7" hidden="1">'06793225'!$B$9:$U$12</definedName>
    <definedName name="Lancer_la_requête_à_partir_de_MS_Access_Database" localSheetId="9" hidden="1">'07105263'!$B$9:$U$12</definedName>
    <definedName name="Lancer_la_requête_à_partir_de_MS_Access_Database" localSheetId="10" hidden="1">'08164868'!$B$9:$U$12</definedName>
    <definedName name="Lancer_la_requête_à_partir_de_MS_Access_Database" localSheetId="11" hidden="1">'08433883'!$B$9:$U$12</definedName>
    <definedName name="Lancer_la_requête_à_partir_de_MS_Access_Database" localSheetId="12" hidden="1">'09053212'!$B$9:$U$16</definedName>
    <definedName name="Lancer_la_requête_à_partir_de_MS_Access_Database_1" localSheetId="0" hidden="1">'Secteur DE0103'!$A$7:$K$19</definedName>
  </definedNames>
  <calcPr calcId="125725"/>
</workbook>
</file>

<file path=xl/calcChain.xml><?xml version="1.0" encoding="utf-8"?>
<calcChain xmlns="http://schemas.openxmlformats.org/spreadsheetml/2006/main">
  <c r="D20" i="1"/>
  <c r="E20"/>
  <c r="F20"/>
  <c r="G20"/>
  <c r="H20"/>
  <c r="I20"/>
  <c r="N4" i="13"/>
  <c r="M4"/>
  <c r="F4"/>
  <c r="N4" i="12"/>
  <c r="M4"/>
  <c r="F4"/>
  <c r="N4" i="11"/>
  <c r="M4"/>
  <c r="F4"/>
  <c r="N4" i="10" l="1"/>
  <c r="M4"/>
  <c r="F4"/>
  <c r="N4" i="9"/>
  <c r="M4"/>
  <c r="F4"/>
  <c r="N4" i="8"/>
  <c r="M4"/>
  <c r="F4"/>
  <c r="N4" i="7"/>
  <c r="M4"/>
  <c r="F4"/>
  <c r="N4" i="6"/>
  <c r="M4"/>
  <c r="F4"/>
  <c r="N4" i="5"/>
  <c r="M4"/>
  <c r="F4"/>
  <c r="N4" i="4"/>
  <c r="M4"/>
  <c r="F4"/>
  <c r="N4" i="3"/>
  <c r="M4"/>
  <c r="F4"/>
  <c r="N4" i="2"/>
  <c r="M4"/>
  <c r="F4"/>
  <c r="G2" i="1"/>
  <c r="F2"/>
  <c r="D3"/>
</calcChain>
</file>

<file path=xl/connections.xml><?xml version="1.0" encoding="utf-8"?>
<connections xmlns="http://schemas.openxmlformats.org/spreadsheetml/2006/main">
  <connection id="1" name="Lancer la requête à partir de MS Access Database" type="1" refreshedVersion="3" background="1" saveData="1">
    <dbPr connection="DSN=MS Access Database;DBQ=Z:\LEO PHARMA\MIKADO\Mikado.accdb;DefaultDir=Z:\LEO PHARMA\MIKADO;DriverId=25;FIL=MS Access;MaxBufferSize=2048;PageTimeout=5;" command="SELECT Req_REPORT_SECTEURS_GLOBAL.`Code Secteur`, Req_REPORT_SECTEURS_GLOBAL.VM, Req_REPORT_SECTEURS_GLOBAL.`Code médecin`, Req_REPORT_SECTEURS_GLOBAL.Medecin, Req_REPORT_SECTEURS_GLOBAL.`Date de réception convention financière`, Req_REPORT_SECTEURS_GLOBAL.`Date de réception AR kit`, Req_REPORT_SECTEURS_GLOBAL.`Date de MEP`, Req_REPORT_SECTEURS_GLOBAL.Desistement, Req_REPORT_SECTEURS_GLOBAL.`Nb Total Patients inclus`, Req_REPORT_SECTEURS_GLOBAL.`Comptes-rendus contact médecin-GECEM`, Req_REPORT_SECTEURS_GLOBAL.Date_x000d__x000a_FROM `Z:\LEO PHARMA\MIKADO\Mikado.accdb`.Req_REPORT_SECTEURS_GLOBAL Req_REPORT_SECTEURS_GLOBAL_x000d__x000a_WHERE (Req_REPORT_SECTEURS_GLOBAL.`Code Secteur`='DE0103')_x000d__x000a_ORDER BY Req_REPORT_SECTEURS_GLOBAL.Medecin"/>
  </connection>
  <connection id="2" name="Lancer la requête à partir de MS Access Database00037549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0037549')"/>
  </connection>
  <connection id="3" name="Lancer la requête à partir de MS Access Database0261098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2610983')"/>
  </connection>
  <connection id="4" name="Lancer la requête à partir de MS Access Database0303124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031245')"/>
  </connection>
  <connection id="5" name="Lancer la requête à partir de MS Access Database03730067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730067')"/>
  </connection>
  <connection id="6" name="Lancer la requête à partir de MS Access Database0387604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3876040')"/>
  </connection>
  <connection id="7" name="Lancer la requête à partir de MS Access Database05890131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5890131')"/>
  </connection>
  <connection id="8" name="Lancer la requête à partir de MS Access Database06719020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719020')"/>
  </connection>
  <connection id="9" name="Lancer la requête à partir de MS Access Database06793225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6793225')"/>
  </connection>
  <connection id="10" name="Lancer la requête à partir de MS Access Database0710526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7105263')"/>
  </connection>
  <connection id="11" name="Lancer la requête à partir de MS Access Database08164868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164868')"/>
  </connection>
  <connection id="12" name="Lancer la requête à partir de MS Access Database08433883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8433883')"/>
  </connection>
  <connection id="13" name="Lancer la requête à partir de MS Access Database09053212" type="1" refreshedVersion="3" background="1" saveData="1">
    <dbPr connection="DSN=MS Access Database;DBQ=Z:\LEO PHARMA\MIKADO\Mikado.accdb;DefaultDir=Z:\LEO PHARMA\MIKADO;DriverId=25;FIL=MS Access;MaxBufferSize=2048;PageTimeout=5;" command="SELECT Req_REPORT_SECTEUR_PATIENTS.Num_Centre, Req_REPORT_SECTEUR_PATIENTS.Investigateur, Req_REPORT_SECTEUR_PATIENTS.Num_Patient, Req_REPORT_SECTEUR_PATIENTS.INCLUSION_Visite, Req_REPORT_SECTEUR_PATIENTS.INCLUSION_Reception, Req_REPORT_SECTEUR_PATIENTS.AQINCLUSION_Reception, Req_REPORT_SECTEUR_PATIENTS.CONTACT_Reception, Req_REPORT_SECTEUR_PATIENTS.TypeRappel, Req_REPORT_SECTEUR_PATIENTS.AQ7Theo, Req_REPORT_SECTEUR_PATIENTS.AQJ7_Reception, Req_REPORT_SECTEUR_PATIENTS.AQ_M2_Theo, Req_REPORT_SECTEUR_PATIENTS.AQM2_Reception, Req_REPORT_SECTEUR_PATIENTS.VP_Theo, Req_REPORT_SECTEUR_PATIENTS.PRECOCE_Visite, Req_REPORT_SECTEUR_PATIENTS.PRECOCE_Reception, Req_REPORT_SECTEUR_PATIENTS.VT_Theo, Req_REPORT_SECTEUR_PATIENTS.TARDIF_Visite, Req_REPORT_SECTEUR_PATIENTS.TARDIF_Reception, Req_REPORT_SECTEUR_PATIENTS.Onekey, Req_REPORT_SECTEUR_PATIENTS.Date_x000d__x000a_FROM `Z:\LEO PHARMA\MIKADO\Mikado.accdb`.Req_REPORT_SECTEUR_PATIENTS Req_REPORT_SECTEUR_PATIENTS_x000d__x000a_WHERE (Req_REPORT_SECTEUR_PATIENTS.Onekey='WFRM09053212')"/>
  </connection>
</connections>
</file>

<file path=xl/sharedStrings.xml><?xml version="1.0" encoding="utf-8"?>
<sst xmlns="http://schemas.openxmlformats.org/spreadsheetml/2006/main" count="796" uniqueCount="106">
  <si>
    <t>Etude MIKADO</t>
  </si>
  <si>
    <t>Situation au</t>
  </si>
  <si>
    <t>Code Secteur</t>
  </si>
  <si>
    <t>VM</t>
  </si>
  <si>
    <t>Medecin</t>
  </si>
  <si>
    <t>Date de réception convention financière</t>
  </si>
  <si>
    <t>Date de réception AR kit</t>
  </si>
  <si>
    <t>Date de MEP</t>
  </si>
  <si>
    <t>Desistement</t>
  </si>
  <si>
    <t>Nb Total Patients inclus</t>
  </si>
  <si>
    <t>Comptes-rendus contact médecin-GECEM</t>
  </si>
  <si>
    <t>Date</t>
  </si>
  <si>
    <t>Code médecin</t>
  </si>
  <si>
    <t>Secteur</t>
  </si>
  <si>
    <t>(Cliquez sur le code médecin pour accèder aux données de ses patients)</t>
  </si>
  <si>
    <t>TOTAL</t>
  </si>
  <si>
    <t>Suivi des patients</t>
  </si>
  <si>
    <t xml:space="preserve">Centre n° </t>
  </si>
  <si>
    <t>Retour à la liste des médecins</t>
  </si>
  <si>
    <t>Visite d'inclusion</t>
  </si>
  <si>
    <t xml:space="preserve">Date réception 
Auto-questionnaire patient  J7
</t>
  </si>
  <si>
    <t xml:space="preserve">Date réception 
Auto-questionnaire patient 2 mois
</t>
  </si>
  <si>
    <t>Visite précoce</t>
  </si>
  <si>
    <t>Visite tardive</t>
  </si>
  <si>
    <t>N° Patient</t>
  </si>
  <si>
    <t>Date de visite inclusion</t>
  </si>
  <si>
    <t>Questionnaire médecin 
Inclusion reçu le</t>
  </si>
  <si>
    <t xml:space="preserve">Auto-questionnaire patient 
Inclusion reçu le </t>
  </si>
  <si>
    <t>Formulaire de contact patient
reçu</t>
  </si>
  <si>
    <t>Type de rappel souhaité par le patient</t>
  </si>
  <si>
    <t>Date théorique max 
(date inclusion +12j)</t>
  </si>
  <si>
    <t>Date réelle</t>
  </si>
  <si>
    <t>Date théorique max 
(date d'inclusion +71j)</t>
  </si>
  <si>
    <t>Date théorique max
(date d'inclusion +4mois)</t>
  </si>
  <si>
    <t>Date de consultation
réelle</t>
  </si>
  <si>
    <t>Questionnaire Visite précoce reçu le</t>
  </si>
  <si>
    <t>Date théorique max
(date d'inclusion+12mois)</t>
  </si>
  <si>
    <t>Questionnaire Visite tardive reçu le</t>
  </si>
  <si>
    <t>Num_Centre</t>
  </si>
  <si>
    <t>Investigateur</t>
  </si>
  <si>
    <t>Num_Patient</t>
  </si>
  <si>
    <t>INCLUSION_Visite</t>
  </si>
  <si>
    <t>INCLUSION_Reception</t>
  </si>
  <si>
    <t>AQINCLUSION_Reception</t>
  </si>
  <si>
    <t>CONTACT_Reception</t>
  </si>
  <si>
    <t>TypeRappel</t>
  </si>
  <si>
    <t>AQ7Theo</t>
  </si>
  <si>
    <t>AQJ7_Reception</t>
  </si>
  <si>
    <t>AQ_M2_Theo</t>
  </si>
  <si>
    <t>AQM2_Reception</t>
  </si>
  <si>
    <t>VP_Theo</t>
  </si>
  <si>
    <t>PRECOCE_Visite</t>
  </si>
  <si>
    <t>PRECOCE_Reception</t>
  </si>
  <si>
    <t>VT_Theo</t>
  </si>
  <si>
    <t>TARDIF_Visite</t>
  </si>
  <si>
    <t>TARDIF_Reception</t>
  </si>
  <si>
    <t>Onekey</t>
  </si>
  <si>
    <t/>
  </si>
  <si>
    <t xml:space="preserve">Situation au </t>
  </si>
  <si>
    <t>DE0103</t>
  </si>
  <si>
    <t>KUBRIJANOW Anne</t>
  </si>
  <si>
    <t>WFRM02610983</t>
  </si>
  <si>
    <t>DECHAUFOUR Florence</t>
  </si>
  <si>
    <t>WFRM03031245</t>
  </si>
  <si>
    <t>DUBEGNY Marc</t>
  </si>
  <si>
    <t>WFRM06793225</t>
  </si>
  <si>
    <t>MION-MOUTON Nathalie</t>
  </si>
  <si>
    <t>WFRM06719020</t>
  </si>
  <si>
    <t>MOUSSAY Jean</t>
  </si>
  <si>
    <t>WFRM07105263</t>
  </si>
  <si>
    <t>PAYEUR Marc</t>
  </si>
  <si>
    <t>WFRM09053212</t>
  </si>
  <si>
    <t>VAN BUTSEL Philippe</t>
  </si>
  <si>
    <t>WFRM03876040</t>
  </si>
  <si>
    <t>GAUTHIER Vincent</t>
  </si>
  <si>
    <t>WFRM05890131</t>
  </si>
  <si>
    <t>LIVORY Marianne</t>
  </si>
  <si>
    <t>WFRM00037549</t>
  </si>
  <si>
    <t>FILIP Ana-Maria</t>
  </si>
  <si>
    <t>WFRM08433883</t>
  </si>
  <si>
    <t>SANDRAPS PREVOST Emmanuelle</t>
  </si>
  <si>
    <t>17juin:A inclus 3  patients. Il enverra les documents en fin de recueil.Fonctionne habituellement ainsi. Ne pas s'inquiéter</t>
  </si>
  <si>
    <t>Via médecin</t>
  </si>
  <si>
    <t>Téléphone</t>
  </si>
  <si>
    <t>Courrier - Téléphone</t>
  </si>
  <si>
    <t>SMS</t>
  </si>
  <si>
    <t>Mail - Via médecin</t>
  </si>
  <si>
    <t>Courrier - Téléphone - Via médecin</t>
  </si>
  <si>
    <t>04juillet: a inclus son 3 patient il y a 15j, accepte d'en faire 2 supp</t>
  </si>
  <si>
    <t>Mail - Courrier</t>
  </si>
  <si>
    <t>23sept: a inclus 1 patient. Pense pouvoir inclure d'autres patients</t>
  </si>
  <si>
    <t>24sept: Dr n'a pas de temps, ne souhaite pas etre reappro.</t>
  </si>
  <si>
    <t>22sept: Souhaite recevoir 2 nv CRF; patient 02 incomplet ? Elle a adresser les pages récemment</t>
  </si>
  <si>
    <t>SMS - Courrier</t>
  </si>
  <si>
    <t>15oct: message laissé à la secretaire + mail envoyé pour savoir si elle a inclus un patient.</t>
  </si>
  <si>
    <t>WFRM03730067</t>
  </si>
  <si>
    <t>ACHER Aurélie</t>
  </si>
  <si>
    <t>WFRM08164868</t>
  </si>
  <si>
    <t>RZEZNIK Jean-Claude</t>
  </si>
  <si>
    <t>SMS - Mail - Courrier - Téléphone</t>
  </si>
  <si>
    <t>Courrier</t>
  </si>
  <si>
    <t>04nov: souhaite recevoir 2 nouveaux cahiers=&gt; envoyé le 12nov</t>
  </si>
  <si>
    <t>03nov: souhaite recevoir 2 nv CRF=&gt;envoi le 12nov</t>
  </si>
  <si>
    <t>Mail</t>
  </si>
  <si>
    <t>a relancé les patients 1820 et 1821 pour les AQ 2 mois. Le patient 1820 va le faire, le patient 1821 l'a déjà envoyé</t>
  </si>
  <si>
    <t>SMS - Mail</t>
  </si>
</sst>
</file>

<file path=xl/styles.xml><?xml version="1.0" encoding="utf-8"?>
<styleSheet xmlns="http://schemas.openxmlformats.org/spreadsheetml/2006/main">
  <numFmts count="1">
    <numFmt numFmtId="164" formatCode="dd/mm/yy;@"/>
  </numFmts>
  <fonts count="27">
    <font>
      <sz val="11"/>
      <color theme="1"/>
      <name val="Calibri"/>
      <family val="2"/>
      <scheme val="minor"/>
    </font>
    <font>
      <b/>
      <sz val="22"/>
      <color indexed="62"/>
      <name val="Verdana"/>
      <family val="2"/>
    </font>
    <font>
      <sz val="10"/>
      <name val="Arial"/>
      <family val="2"/>
    </font>
    <font>
      <b/>
      <sz val="14"/>
      <name val="Arial"/>
      <family val="2"/>
    </font>
    <font>
      <b/>
      <sz val="14"/>
      <color indexed="18"/>
      <name val="Arial"/>
      <family val="2"/>
    </font>
    <font>
      <sz val="12"/>
      <color indexed="18"/>
      <name val="Arial"/>
      <family val="2"/>
    </font>
    <font>
      <sz val="12"/>
      <name val="Arial"/>
      <family val="2"/>
    </font>
    <font>
      <b/>
      <sz val="12"/>
      <color indexed="18"/>
      <name val="Arial"/>
      <family val="2"/>
    </font>
    <font>
      <i/>
      <sz val="12"/>
      <color indexed="18"/>
      <name val="Arial"/>
      <family val="2"/>
    </font>
    <font>
      <b/>
      <sz val="12"/>
      <color indexed="21"/>
      <name val="Verdana"/>
      <family val="2"/>
    </font>
    <font>
      <b/>
      <i/>
      <sz val="11"/>
      <color rgb="FF0000FF"/>
      <name val="Calibri"/>
      <family val="2"/>
      <scheme val="minor"/>
    </font>
    <font>
      <u/>
      <sz val="11"/>
      <color theme="10"/>
      <name val="Calibri"/>
      <family val="2"/>
    </font>
    <font>
      <sz val="18"/>
      <color indexed="62"/>
      <name val="Verdana"/>
      <family val="2"/>
    </font>
    <font>
      <sz val="14"/>
      <color indexed="8"/>
      <name val="Verdana"/>
      <family val="2"/>
    </font>
    <font>
      <b/>
      <sz val="22"/>
      <color indexed="21"/>
      <name val="Verdana"/>
      <family val="2"/>
    </font>
    <font>
      <sz val="22"/>
      <color indexed="8"/>
      <name val="Verdana"/>
      <family val="2"/>
    </font>
    <font>
      <b/>
      <sz val="16"/>
      <color indexed="21"/>
      <name val="Verdana"/>
      <family val="2"/>
    </font>
    <font>
      <b/>
      <sz val="14"/>
      <color rgb="FF006600"/>
      <name val="Calibri"/>
      <family val="2"/>
      <scheme val="minor"/>
    </font>
    <font>
      <sz val="10"/>
      <color indexed="8"/>
      <name val="Arial"/>
      <family val="2"/>
    </font>
    <font>
      <sz val="10"/>
      <color indexed="18"/>
      <name val="Arial"/>
      <family val="2"/>
    </font>
    <font>
      <b/>
      <sz val="14"/>
      <color indexed="21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117">
    <xf numFmtId="0" fontId="0" fillId="0" borderId="0" xfId="0"/>
    <xf numFmtId="0" fontId="3" fillId="2" borderId="0" xfId="1" applyFont="1" applyFill="1" applyAlignment="1">
      <alignment horizontal="left"/>
    </xf>
    <xf numFmtId="164" fontId="5" fillId="2" borderId="0" xfId="1" applyNumberFormat="1" applyFont="1" applyFill="1" applyAlignment="1">
      <alignment horizontal="left"/>
    </xf>
    <xf numFmtId="0" fontId="5" fillId="2" borderId="0" xfId="1" applyFont="1" applyFill="1" applyAlignment="1">
      <alignment horizontal="left"/>
    </xf>
    <xf numFmtId="0" fontId="6" fillId="2" borderId="0" xfId="1" applyFont="1" applyFill="1" applyAlignment="1">
      <alignment horizontal="left"/>
    </xf>
    <xf numFmtId="0" fontId="8" fillId="4" borderId="0" xfId="1" applyFont="1" applyFill="1" applyAlignment="1">
      <alignment horizontal="center"/>
    </xf>
    <xf numFmtId="164" fontId="9" fillId="2" borderId="0" xfId="0" applyNumberFormat="1" applyFont="1" applyFill="1" applyBorder="1" applyAlignment="1">
      <alignment horizontal="left"/>
    </xf>
    <xf numFmtId="0" fontId="5" fillId="2" borderId="0" xfId="1" applyFont="1" applyFill="1" applyBorder="1" applyAlignment="1">
      <alignment horizontal="left"/>
    </xf>
    <xf numFmtId="0" fontId="6" fillId="2" borderId="0" xfId="1" applyFont="1" applyFill="1" applyBorder="1" applyAlignment="1">
      <alignment horizontal="left"/>
    </xf>
    <xf numFmtId="164" fontId="5" fillId="2" borderId="0" xfId="1" applyNumberFormat="1" applyFont="1" applyFill="1" applyBorder="1" applyAlignment="1">
      <alignment horizontal="left"/>
    </xf>
    <xf numFmtId="22" fontId="0" fillId="0" borderId="0" xfId="0" applyNumberFormat="1"/>
    <xf numFmtId="164" fontId="7" fillId="3" borderId="0" xfId="1" applyNumberFormat="1" applyFont="1" applyFill="1" applyAlignment="1">
      <alignment horizontal="right"/>
    </xf>
    <xf numFmtId="164" fontId="0" fillId="0" borderId="0" xfId="0" applyNumberFormat="1"/>
    <xf numFmtId="0" fontId="7" fillId="0" borderId="0" xfId="1" applyFont="1" applyFill="1" applyAlignment="1"/>
    <xf numFmtId="0" fontId="7" fillId="0" borderId="0" xfId="1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5" fillId="2" borderId="0" xfId="1" applyFont="1" applyFill="1" applyAlignment="1">
      <alignment horizontal="center"/>
    </xf>
    <xf numFmtId="0" fontId="5" fillId="2" borderId="0" xfId="1" applyFont="1" applyFill="1" applyBorder="1" applyAlignment="1">
      <alignment horizontal="center"/>
    </xf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left"/>
    </xf>
    <xf numFmtId="0" fontId="9" fillId="2" borderId="0" xfId="0" applyFont="1" applyFill="1" applyBorder="1" applyAlignment="1">
      <alignment horizontal="right"/>
    </xf>
    <xf numFmtId="164" fontId="5" fillId="2" borderId="0" xfId="1" applyNumberFormat="1" applyFont="1" applyFill="1" applyAlignment="1">
      <alignment horizontal="center"/>
    </xf>
    <xf numFmtId="164" fontId="5" fillId="2" borderId="0" xfId="1" applyNumberFormat="1" applyFont="1" applyFill="1" applyBorder="1" applyAlignment="1">
      <alignment horizontal="center"/>
    </xf>
    <xf numFmtId="164" fontId="4" fillId="2" borderId="0" xfId="1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0" fontId="10" fillId="4" borderId="0" xfId="0" applyFont="1" applyFill="1" applyAlignment="1">
      <alignment horizontal="left"/>
    </xf>
    <xf numFmtId="0" fontId="0" fillId="0" borderId="0" xfId="0" applyBorder="1" applyAlignment="1">
      <alignment horizontal="center"/>
    </xf>
    <xf numFmtId="0" fontId="0" fillId="0" borderId="0" xfId="0" applyBorder="1"/>
    <xf numFmtId="164" fontId="0" fillId="0" borderId="0" xfId="0" applyNumberFormat="1" applyBorder="1" applyAlignment="1">
      <alignment horizontal="center"/>
    </xf>
    <xf numFmtId="164" fontId="7" fillId="3" borderId="0" xfId="1" applyNumberFormat="1" applyFont="1" applyFill="1" applyAlignment="1">
      <alignment horizontal="left"/>
    </xf>
    <xf numFmtId="22" fontId="0" fillId="0" borderId="0" xfId="0" applyNumberFormat="1" applyBorder="1"/>
    <xf numFmtId="164" fontId="0" fillId="0" borderId="0" xfId="0" applyNumberFormat="1" applyBorder="1"/>
    <xf numFmtId="1" fontId="0" fillId="0" borderId="0" xfId="0" applyNumberFormat="1" applyBorder="1" applyAlignment="1">
      <alignment horizontal="center"/>
    </xf>
    <xf numFmtId="0" fontId="0" fillId="2" borderId="0" xfId="0" applyFill="1" applyBorder="1"/>
    <xf numFmtId="0" fontId="18" fillId="2" borderId="0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20" fillId="2" borderId="0" xfId="0" applyFont="1" applyFill="1" applyBorder="1" applyAlignment="1">
      <alignment horizontal="center" vertical="center"/>
    </xf>
    <xf numFmtId="0" fontId="22" fillId="2" borderId="0" xfId="0" applyFont="1" applyFill="1" applyBorder="1" applyAlignment="1">
      <alignment horizontal="center" vertical="center" wrapText="1"/>
    </xf>
    <xf numFmtId="0" fontId="22" fillId="9" borderId="4" xfId="0" applyFont="1" applyFill="1" applyBorder="1" applyAlignment="1">
      <alignment horizontal="center" vertical="center" wrapText="1"/>
    </xf>
    <xf numFmtId="0" fontId="22" fillId="10" borderId="4" xfId="0" applyFont="1" applyFill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18" fillId="2" borderId="0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14" fontId="0" fillId="0" borderId="0" xfId="0" applyNumberFormat="1"/>
    <xf numFmtId="164" fontId="0" fillId="2" borderId="0" xfId="0" applyNumberFormat="1" applyFill="1" applyBorder="1"/>
    <xf numFmtId="164" fontId="18" fillId="2" borderId="0" xfId="0" applyNumberFormat="1" applyFont="1" applyFill="1" applyBorder="1" applyAlignment="1">
      <alignment horizontal="center"/>
    </xf>
    <xf numFmtId="164" fontId="22" fillId="2" borderId="0" xfId="0" applyNumberFormat="1" applyFont="1" applyFill="1" applyBorder="1" applyAlignment="1">
      <alignment horizontal="center" vertical="center" wrapText="1"/>
    </xf>
    <xf numFmtId="164" fontId="18" fillId="2" borderId="0" xfId="0" applyNumberFormat="1" applyFont="1" applyFill="1" applyBorder="1" applyAlignment="1">
      <alignment horizontal="center" vertical="center" wrapText="1"/>
    </xf>
    <xf numFmtId="164" fontId="22" fillId="10" borderId="4" xfId="0" applyNumberFormat="1" applyFont="1" applyFill="1" applyBorder="1" applyAlignment="1">
      <alignment horizontal="center" vertical="center" wrapText="1"/>
    </xf>
    <xf numFmtId="164" fontId="0" fillId="2" borderId="0" xfId="0" applyNumberFormat="1" applyFill="1" applyBorder="1" applyAlignment="1">
      <alignment horizontal="center"/>
    </xf>
    <xf numFmtId="164" fontId="12" fillId="2" borderId="0" xfId="0" applyNumberFormat="1" applyFont="1" applyFill="1" applyBorder="1" applyAlignment="1">
      <alignment horizontal="center"/>
    </xf>
    <xf numFmtId="164" fontId="13" fillId="2" borderId="0" xfId="0" applyNumberFormat="1" applyFont="1" applyFill="1" applyBorder="1" applyAlignment="1">
      <alignment horizontal="center"/>
    </xf>
    <xf numFmtId="164" fontId="16" fillId="2" borderId="0" xfId="0" applyNumberFormat="1" applyFont="1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11" fillId="2" borderId="0" xfId="2" applyNumberFormat="1" applyFill="1" applyBorder="1" applyAlignment="1" applyProtection="1">
      <alignment horizontal="center"/>
    </xf>
    <xf numFmtId="164" fontId="22" fillId="6" borderId="4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8" borderId="3" xfId="0" applyNumberFormat="1" applyFont="1" applyFill="1" applyBorder="1" applyAlignment="1">
      <alignment horizontal="center" vertical="center" wrapText="1"/>
    </xf>
    <xf numFmtId="1" fontId="17" fillId="3" borderId="0" xfId="0" applyNumberFormat="1" applyFont="1" applyFill="1" applyBorder="1" applyAlignment="1">
      <alignment horizontal="left" vertical="center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18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3" fillId="0" borderId="0" xfId="0" applyFont="1" applyAlignment="1">
      <alignment horizontal="center" vertical="center" wrapText="1"/>
    </xf>
    <xf numFmtId="0" fontId="23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1" fillId="0" borderId="0" xfId="2" applyAlignment="1" applyProtection="1">
      <alignment horizontal="center" vertical="center" wrapText="1"/>
    </xf>
    <xf numFmtId="22" fontId="0" fillId="0" borderId="0" xfId="0" applyNumberFormat="1" applyAlignment="1">
      <alignment vertical="center" wrapText="1"/>
    </xf>
    <xf numFmtId="164" fontId="0" fillId="0" borderId="0" xfId="0" applyNumberFormat="1" applyAlignment="1">
      <alignment vertical="center" wrapText="1"/>
    </xf>
    <xf numFmtId="22" fontId="0" fillId="0" borderId="0" xfId="0" applyNumberFormat="1" applyAlignment="1">
      <alignment vertical="center" wrapText="1"/>
    </xf>
    <xf numFmtId="0" fontId="0" fillId="0" borderId="0" xfId="0" applyNumberFormat="1" applyBorder="1" applyAlignment="1">
      <alignment horizontal="center"/>
    </xf>
    <xf numFmtId="0" fontId="24" fillId="0" borderId="0" xfId="0" applyFont="1" applyAlignment="1">
      <alignment horizontal="center" vertical="center" wrapText="1"/>
    </xf>
    <xf numFmtId="0" fontId="24" fillId="2" borderId="0" xfId="0" applyFont="1" applyFill="1" applyAlignment="1">
      <alignment horizontal="center" vertical="center" wrapText="1"/>
    </xf>
    <xf numFmtId="0" fontId="11" fillId="0" borderId="0" xfId="2" applyBorder="1" applyAlignment="1" applyProtection="1">
      <alignment horizontal="center"/>
    </xf>
    <xf numFmtId="0" fontId="25" fillId="0" borderId="0" xfId="0" applyFont="1" applyAlignment="1">
      <alignment horizontal="center" vertical="center" wrapText="1"/>
    </xf>
    <xf numFmtId="0" fontId="25" fillId="2" borderId="0" xfId="0" applyFont="1" applyFill="1" applyAlignment="1">
      <alignment horizontal="center" vertical="center" wrapText="1"/>
    </xf>
    <xf numFmtId="164" fontId="15" fillId="2" borderId="0" xfId="0" applyNumberFormat="1" applyFont="1" applyFill="1" applyBorder="1" applyAlignment="1">
      <alignment horizontal="center" vertical="center"/>
    </xf>
    <xf numFmtId="164" fontId="17" fillId="3" borderId="0" xfId="0" applyNumberFormat="1" applyFont="1" applyFill="1" applyBorder="1" applyAlignment="1">
      <alignment horizontal="center" vertical="center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 wrapText="1"/>
    </xf>
    <xf numFmtId="0" fontId="26" fillId="2" borderId="0" xfId="0" applyFont="1" applyFill="1" applyAlignment="1">
      <alignment horizontal="center" vertical="center" wrapText="1"/>
    </xf>
    <xf numFmtId="14" fontId="7" fillId="3" borderId="0" xfId="1" applyNumberFormat="1" applyFont="1" applyFill="1" applyAlignment="1">
      <alignment horizontal="center"/>
    </xf>
    <xf numFmtId="0" fontId="21" fillId="5" borderId="1" xfId="0" applyFont="1" applyFill="1" applyBorder="1" applyAlignment="1">
      <alignment horizontal="center" vertical="center"/>
    </xf>
    <xf numFmtId="0" fontId="21" fillId="5" borderId="2" xfId="0" applyFont="1" applyFill="1" applyBorder="1" applyAlignment="1">
      <alignment horizontal="center" vertical="center"/>
    </xf>
    <xf numFmtId="164" fontId="22" fillId="6" borderId="1" xfId="0" applyNumberFormat="1" applyFont="1" applyFill="1" applyBorder="1" applyAlignment="1">
      <alignment horizontal="center" vertical="center" wrapText="1"/>
    </xf>
    <xf numFmtId="164" fontId="22" fillId="6" borderId="3" xfId="0" applyNumberFormat="1" applyFont="1" applyFill="1" applyBorder="1" applyAlignment="1">
      <alignment horizontal="center" vertical="center" wrapText="1"/>
    </xf>
    <xf numFmtId="164" fontId="22" fillId="7" borderId="4" xfId="0" applyNumberFormat="1" applyFont="1" applyFill="1" applyBorder="1" applyAlignment="1">
      <alignment horizontal="center" vertical="center" wrapText="1"/>
    </xf>
    <xf numFmtId="164" fontId="21" fillId="6" borderId="1" xfId="0" applyNumberFormat="1" applyFont="1" applyFill="1" applyBorder="1" applyAlignment="1">
      <alignment horizontal="center" vertical="center" wrapText="1"/>
    </xf>
    <xf numFmtId="164" fontId="0" fillId="0" borderId="2" xfId="0" applyNumberFormat="1" applyBorder="1" applyAlignment="1">
      <alignment horizontal="center" vertical="center"/>
    </xf>
    <xf numFmtId="164" fontId="0" fillId="0" borderId="3" xfId="0" applyNumberFormat="1" applyBorder="1" applyAlignment="1">
      <alignment horizontal="center" vertical="center"/>
    </xf>
    <xf numFmtId="164" fontId="21" fillId="8" borderId="1" xfId="0" applyNumberFormat="1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/>
    </xf>
    <xf numFmtId="0" fontId="0" fillId="0" borderId="0" xfId="0" applyAlignment="1"/>
    <xf numFmtId="164" fontId="15" fillId="2" borderId="0" xfId="0" applyNumberFormat="1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horizontal="left"/>
    </xf>
    <xf numFmtId="164" fontId="17" fillId="3" borderId="0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19" fillId="0" borderId="0" xfId="0" applyFont="1" applyAlignment="1">
      <alignment horizontal="center"/>
    </xf>
  </cellXfs>
  <cellStyles count="3">
    <cellStyle name="Lien hypertexte" xfId="2" builtinId="8"/>
    <cellStyle name="Normal" xfId="0" builtinId="0"/>
    <cellStyle name="Normal_MENARINI_HTA-Observance_Bilan de suivi N14 (18 MAI 2011)" xfId="1"/>
  </cellStyles>
  <dxfs count="282"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9" formatCode="m/d/yyyy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numFmt numFmtId="164" formatCode="dd/mm/yy;@"/>
      <alignment horizontal="center" vertical="bottom" textRotation="0" wrapText="0" indent="0" relativeIndent="0" justifyLastLine="0" shrinkToFit="0" mergeCell="0" readingOrder="0"/>
    </dxf>
    <dxf>
      <alignment horizontal="center" vertical="bottom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solid">
          <fgColor indexed="64"/>
          <bgColor indexed="9"/>
        </patternFill>
      </fill>
      <alignment horizontal="center" vertical="center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general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164" formatCode="dd/mm/yy;@"/>
      <alignment horizontal="center" vertical="center" textRotation="0" wrapText="1" indent="0" relativeIndent="0" justifyLastLine="0" shrinkToFit="0" mergeCell="0" readingOrder="0"/>
    </dxf>
    <dxf>
      <numFmt numFmtId="27" formatCode="m/d/yyyy\ h:mm"/>
      <alignment horizontal="general" vertical="center" textRotation="0" wrapText="1" indent="0" relativeIndent="0" justifyLastLine="0" shrinkToFit="0" mergeCell="0" readingOrder="0"/>
    </dxf>
    <dxf>
      <alignment horizontal="center" vertical="center" textRotation="0" wrapText="1" indent="0" relativeIndent="0" justifyLastLine="0" shrinkToFit="0" mergeCell="0" readingOrder="0"/>
      <protection locked="1" hidden="0"/>
    </dxf>
    <dxf>
      <alignment horizontal="general" vertical="center" textRotation="0" wrapText="1" indent="0" relativeIndent="0" justifyLastLine="0" shrinkToFit="0" mergeCell="0" readingOrder="0"/>
    </dxf>
    <dxf>
      <alignment horizontal="general" vertical="center" textRotation="0" wrapText="1" indent="0" relativeIndent="0" justifyLastLine="0" shrinkToFit="0" mergeCell="0" readingOrder="0"/>
    </dxf>
    <dxf>
      <border diagonalUp="0" diagonalDown="0" outline="0">
        <left/>
        <right/>
        <top/>
        <bottom/>
      </border>
    </dxf>
    <dxf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1" formatCode="0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0" formatCode="General"/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alignment horizontal="center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</dxf>
    <dxf>
      <numFmt numFmtId="27" formatCode="m/d/yyyy\ h:mm"/>
      <border diagonalUp="0" diagonalDown="0" outline="0">
        <left/>
        <right/>
        <top/>
        <bottom/>
      </border>
    </dxf>
    <dxf>
      <numFmt numFmtId="164" formatCode="dd/mm/yy;@"/>
      <border diagonalUp="0" diagonalDown="0" outline="0">
        <left/>
        <right/>
        <top/>
        <bottom/>
      </border>
    </dxf>
    <dxf>
      <alignment vertical="center" textRotation="0" wrapText="1" justifyLastLine="0" shrinkToFit="0" mergeCell="0" readingOrder="0"/>
    </dxf>
    <dxf>
      <alignment horizontal="center" vertical="center" textRotation="0" wrapText="1" indent="0" relativeIndent="255" justifyLastLine="0" shrinkToFit="0" readingOrder="0"/>
    </dxf>
    <dxf>
      <border>
        <left style="thin">
          <color theme="1"/>
        </left>
      </border>
    </dxf>
    <dxf>
      <border>
        <left style="thin">
          <color theme="1"/>
        </left>
      </border>
    </dxf>
    <dxf>
      <border>
        <top style="thin">
          <color theme="1"/>
        </top>
      </border>
    </dxf>
    <dxf>
      <border>
        <top style="thin">
          <color theme="1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1"/>
        </top>
      </border>
    </dxf>
    <dxf>
      <font>
        <b/>
        <color theme="0"/>
      </font>
      <fill>
        <patternFill patternType="solid">
          <fgColor theme="1"/>
          <bgColor theme="1"/>
        </patternFill>
      </fill>
    </dxf>
    <dxf>
      <font>
        <color theme="1"/>
      </font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</border>
    </dxf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  <dxf>
      <font>
        <b/>
        <color theme="1"/>
      </font>
    </dxf>
    <dxf>
      <font>
        <b/>
        <color theme="1"/>
      </font>
    </dxf>
    <dxf>
      <font>
        <b/>
        <i val="0"/>
        <color theme="0"/>
      </font>
      <fill>
        <patternFill>
          <bgColor rgb="FF008080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/>
        <color theme="0"/>
      </font>
      <fill>
        <patternFill patternType="solid">
          <fgColor theme="6"/>
          <bgColor rgb="FF00808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 style="thin">
          <color theme="1"/>
        </vertical>
        <horizontal style="thin">
          <color theme="1"/>
        </horizontal>
      </border>
    </dxf>
    <dxf>
      <font>
        <color theme="1"/>
      </font>
      <border>
        <left style="thin">
          <color rgb="FF008080"/>
        </left>
        <right style="thin">
          <color rgb="FF008080"/>
        </right>
        <top style="thin">
          <color rgb="FF008080"/>
        </top>
        <bottom style="thin">
          <color rgb="FF008080"/>
        </bottom>
        <vertical style="thin">
          <color rgb="FF008080"/>
        </vertical>
        <horizontal style="thin">
          <color rgb="FF008080"/>
        </horizontal>
      </border>
    </dxf>
  </dxfs>
  <tableStyles count="2" defaultTableStyle="TableStyleMedium9" defaultPivotStyle="PivotStyleLight16">
    <tableStyle name="MIKADO" pivot="0" count="9">
      <tableStyleElement type="wholeTable" dxfId="281"/>
      <tableStyleElement type="headerRow" dxfId="280"/>
      <tableStyleElement type="totalRow" dxfId="279"/>
      <tableStyleElement type="firstColumn" dxfId="278"/>
      <tableStyleElement type="lastColumn" dxfId="277"/>
      <tableStyleElement type="firstRowStripe" dxfId="276"/>
      <tableStyleElement type="secondRowStripe" dxfId="275"/>
      <tableStyleElement type="firstColumnStripe" dxfId="274"/>
      <tableStyleElement type="secondColumnStripe" dxfId="273"/>
    </tableStyle>
    <tableStyle name="TableStyleLight8 2" pivot="0" count="9">
      <tableStyleElement type="wholeTable" dxfId="272"/>
      <tableStyleElement type="headerRow" dxfId="271"/>
      <tableStyleElement type="totalRow" dxfId="270"/>
      <tableStyleElement type="firstColumn" dxfId="269"/>
      <tableStyleElement type="lastColumn" dxfId="268"/>
      <tableStyleElement type="firstRowStripe" dxfId="267"/>
      <tableStyleElement type="secondRowStripe" dxfId="266"/>
      <tableStyleElement type="firstColumnStripe" dxfId="265"/>
      <tableStyleElement type="secondColumnStripe" dxfId="264"/>
    </tableStyle>
  </tableStyles>
  <colors>
    <mruColors>
      <color rgb="FF008080"/>
      <color rgb="FF339933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queryTables/queryTable1.xml><?xml version="1.0" encoding="utf-8"?>
<queryTable xmlns="http://schemas.openxmlformats.org/spreadsheetml/2006/main" name="Lancer la requête à partir de MS Access Database_1" adjustColumnWidth="0" connectionId="1" autoFormatId="16" applyNumberFormats="0" applyBorderFormats="0" applyFontFormats="0" applyPatternFormats="0" applyAlignmentFormats="0" applyWidthHeightFormats="0">
  <queryTableRefresh nextId="12">
    <queryTableFields count="11">
      <queryTableField id="1" name="Code Secteur" tableColumnId="1"/>
      <queryTableField id="2" name="VM" tableColumnId="2"/>
      <queryTableField id="3" name="Code médecin" tableColumnId="3"/>
      <queryTableField id="4" name="Medecin" tableColumnId="4"/>
      <queryTableField id="5" name="Date de réception convention financière" tableColumnId="5"/>
      <queryTableField id="6" name="Date de réception AR kit" tableColumnId="6"/>
      <queryTableField id="7" name="Date de MEP" tableColumnId="7"/>
      <queryTableField id="8" name="Desistement" tableColumnId="8"/>
      <queryTableField id="9" name="Nb Total Patients inclus" tableColumnId="9"/>
      <queryTableField id="10" name="Comptes-rendus contact médecin-GECEM" tableColumnId="10"/>
      <queryTableField id="11" name="Date" tableColumnId="11"/>
    </queryTableFields>
  </queryTableRefresh>
</queryTable>
</file>

<file path=xl/queryTables/queryTable2.xml><?xml version="1.0" encoding="utf-8"?>
<queryTable xmlns="http://schemas.openxmlformats.org/spreadsheetml/2006/main" name="Lancer la requête à partir de MS Access Database" adjustColumnWidth="0" connectionId="5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3.xml><?xml version="1.0" encoding="utf-8"?>
<queryTable xmlns="http://schemas.openxmlformats.org/spreadsheetml/2006/main" name="Lancer la requête à partir de MS Access Database" adjustColumnWidth="0" connectionId="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4.xml><?xml version="1.0" encoding="utf-8"?>
<queryTable xmlns="http://schemas.openxmlformats.org/spreadsheetml/2006/main" name="Lancer la requête à partir de MS Access Database" adjustColumnWidth="0" connectionId="4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5.xml><?xml version="1.0" encoding="utf-8"?>
<queryTable xmlns="http://schemas.openxmlformats.org/spreadsheetml/2006/main" name="Lancer la requête à partir de MS Access Database" adjustColumnWidth="0" connectionId="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6.xml><?xml version="1.0" encoding="utf-8"?>
<queryTable xmlns="http://schemas.openxmlformats.org/spreadsheetml/2006/main" name="Lancer la requête à partir de MS Access Database" adjustColumnWidth="0" connectionId="6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7.xml><?xml version="1.0" encoding="utf-8"?>
<queryTable xmlns="http://schemas.openxmlformats.org/spreadsheetml/2006/main" name="Lancer la requête à partir de MS Access Database" adjustColumnWidth="0" connectionId="7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8.xml><?xml version="1.0" encoding="utf-8"?>
<queryTable xmlns="http://schemas.openxmlformats.org/spreadsheetml/2006/main" name="Lancer la requête à partir de MS Access Database" adjustColumnWidth="0" connectionId="9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9.xml><?xml version="1.0" encoding="utf-8"?>
<queryTable xmlns="http://schemas.openxmlformats.org/spreadsheetml/2006/main" name="Lancer la requête à partir de MS Access Database" adjustColumnWidth="0" connectionId="8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0.xml><?xml version="1.0" encoding="utf-8"?>
<queryTable xmlns="http://schemas.openxmlformats.org/spreadsheetml/2006/main" name="Lancer la requête à partir de MS Access Database" adjustColumnWidth="0" connectionId="10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1.xml><?xml version="1.0" encoding="utf-8"?>
<queryTable xmlns="http://schemas.openxmlformats.org/spreadsheetml/2006/main" name="Lancer la requête à partir de MS Access Database" adjustColumnWidth="0" connectionId="11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2.xml><?xml version="1.0" encoding="utf-8"?>
<queryTable xmlns="http://schemas.openxmlformats.org/spreadsheetml/2006/main" name="Lancer la requête à partir de MS Access Database" adjustColumnWidth="0" connectionId="12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queryTables/queryTable13.xml><?xml version="1.0" encoding="utf-8"?>
<queryTable xmlns="http://schemas.openxmlformats.org/spreadsheetml/2006/main" name="Lancer la requête à partir de MS Access Database" adjustColumnWidth="0" connectionId="13" autoFormatId="16" applyNumberFormats="0" applyBorderFormats="0" applyFontFormats="0" applyPatternFormats="0" applyAlignmentFormats="0" applyWidthHeightFormats="0">
  <queryTableRefresh nextId="21">
    <queryTableFields count="20">
      <queryTableField id="1" name="Num_Centre" tableColumnId="1"/>
      <queryTableField id="2" name="Investigateur" tableColumnId="2"/>
      <queryTableField id="3" name="Num_Patient" tableColumnId="3"/>
      <queryTableField id="4" name="INCLUSION_Visite" tableColumnId="4"/>
      <queryTableField id="5" name="INCLUSION_Reception" tableColumnId="5"/>
      <queryTableField id="6" name="AQINCLUSION_Reception" tableColumnId="6"/>
      <queryTableField id="7" name="CONTACT_Reception" tableColumnId="7"/>
      <queryTableField id="8" name="TypeRappel" tableColumnId="8"/>
      <queryTableField id="9" name="AQ7Theo" tableColumnId="9"/>
      <queryTableField id="10" name="AQJ7_Reception" tableColumnId="10"/>
      <queryTableField id="11" name="AQ_M2_Theo" tableColumnId="11"/>
      <queryTableField id="12" name="AQM2_Reception" tableColumnId="12"/>
      <queryTableField id="13" name="VP_Theo" tableColumnId="13"/>
      <queryTableField id="14" name="PRECOCE_Visite" tableColumnId="14"/>
      <queryTableField id="15" name="PRECOCE_Reception" tableColumnId="15"/>
      <queryTableField id="16" name="VT_Theo" tableColumnId="16"/>
      <queryTableField id="17" name="TARDIF_Visite" tableColumnId="17"/>
      <queryTableField id="18" name="TARDIF_Reception" tableColumnId="18"/>
      <queryTableField id="19" name="Onekey" tableColumnId="19"/>
      <queryTableField id="20" name="Date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table1.xml><?xml version="1.0" encoding="utf-8"?>
<table xmlns="http://schemas.openxmlformats.org/spreadsheetml/2006/main" id="2" name="Tableau_Lancer_la_requête_à_partir_de_MS_Access_Database_1" displayName="Tableau_Lancer_la_requête_à_partir_de_MS_Access_Database_1" ref="A7:K20" tableType="queryTable" totalsRowCount="1" headerRowDxfId="263" dataDxfId="262">
  <tableColumns count="11">
    <tableColumn id="1" uniqueName="1" name="Code Secteur" queryTableFieldId="1" dataDxfId="250" totalsRowDxfId="251"/>
    <tableColumn id="2" uniqueName="2" name="VM" queryTableFieldId="2" dataDxfId="249" totalsRowDxfId="252"/>
    <tableColumn id="3" uniqueName="3" name="Code médecin" totalsRowLabel="TOTAL" queryTableFieldId="3" dataDxfId="248" totalsRowDxfId="253" dataCellStyle="Lien hypertexte"/>
    <tableColumn id="4" uniqueName="4" name="Medecin" totalsRowFunction="custom" queryTableFieldId="4" dataDxfId="247" totalsRowDxfId="254">
      <totalsRowFormula>SUBTOTAL(3,D8:D19)</totalsRowFormula>
    </tableColumn>
    <tableColumn id="5" uniqueName="5" name="Date de réception convention financière" totalsRowFunction="custom" queryTableFieldId="5" dataDxfId="246" totalsRowDxfId="255">
      <totalsRowFormula>SUBTOTAL(3,[Date de réception convention financière])</totalsRowFormula>
    </tableColumn>
    <tableColumn id="6" uniqueName="6" name="Date de réception AR kit" totalsRowFunction="custom" queryTableFieldId="6" dataDxfId="245" totalsRowDxfId="256">
      <totalsRowFormula>SUBTOTAL(3,[Date de réception AR kit])</totalsRowFormula>
    </tableColumn>
    <tableColumn id="7" uniqueName="7" name="Date de MEP" totalsRowFunction="custom" queryTableFieldId="7" dataDxfId="244" totalsRowDxfId="257">
      <totalsRowFormula>SUBTOTAL(3,[Date de MEP])</totalsRowFormula>
    </tableColumn>
    <tableColumn id="8" uniqueName="8" name="Desistement" totalsRowFunction="custom" queryTableFieldId="8" dataDxfId="243" totalsRowDxfId="258">
      <totalsRowFormula>SUBTOTAL(3,[Desistement])</totalsRowFormula>
    </tableColumn>
    <tableColumn id="9" uniqueName="9" name="Nb Total Patients inclus" totalsRowFunction="custom" queryTableFieldId="9" dataDxfId="242" totalsRowDxfId="259">
      <totalsRowFormula>SUBTOTAL(109,I8:I19)</totalsRowFormula>
    </tableColumn>
    <tableColumn id="10" uniqueName="10" name="Comptes-rendus contact médecin-GECEM" queryTableFieldId="10" dataDxfId="241" totalsRowDxfId="260"/>
    <tableColumn id="11" uniqueName="11" name="Date" queryTableFieldId="11" dataDxfId="240" totalsRowDxfId="261"/>
  </tableColumns>
  <tableStyleInfo name="MIKADO" showFirstColumn="0" showLastColumn="0" showRowStripes="1" showColumnStripes="0"/>
</table>
</file>

<file path=xl/tables/table2.xml><?xml version="1.0" encoding="utf-8"?>
<table xmlns="http://schemas.openxmlformats.org/spreadsheetml/2006/main" id="12" name="Tableau_Lancer_la_requête_à_partir_de_MS_Access_Database13" displayName="Tableau_Lancer_la_requête_à_partir_de_MS_Access_Database13" ref="B9:U12" tableType="queryTable" totalsRowShown="0">
  <autoFilter ref="B9:U12"/>
  <tableColumns count="20">
    <tableColumn id="1" uniqueName="1" name="Num_Centre" queryTableFieldId="1" dataDxfId="239"/>
    <tableColumn id="2" uniqueName="2" name="Investigateur" queryTableFieldId="2" dataDxfId="238"/>
    <tableColumn id="3" uniqueName="3" name="Num_Patient" queryTableFieldId="3" dataDxfId="237"/>
    <tableColumn id="4" uniqueName="4" name="INCLUSION_Visite" queryTableFieldId="4" dataDxfId="236"/>
    <tableColumn id="5" uniqueName="5" name="INCLUSION_Reception" queryTableFieldId="5" dataDxfId="235"/>
    <tableColumn id="6" uniqueName="6" name="AQINCLUSION_Reception" queryTableFieldId="6" dataDxfId="234"/>
    <tableColumn id="7" uniqueName="7" name="CONTACT_Reception" queryTableFieldId="7" dataDxfId="233"/>
    <tableColumn id="8" uniqueName="8" name="TypeRappel" queryTableFieldId="8" dataDxfId="232"/>
    <tableColumn id="9" uniqueName="9" name="AQ7Theo" queryTableFieldId="9" dataDxfId="231"/>
    <tableColumn id="10" uniqueName="10" name="AQJ7_Reception" queryTableFieldId="10" dataDxfId="230"/>
    <tableColumn id="11" uniqueName="11" name="AQ_M2_Theo" queryTableFieldId="11" dataDxfId="229"/>
    <tableColumn id="12" uniqueName="12" name="AQM2_Reception" queryTableFieldId="12" dataDxfId="228"/>
    <tableColumn id="13" uniqueName="13" name="VP_Theo" queryTableFieldId="13" dataDxfId="227"/>
    <tableColumn id="14" uniqueName="14" name="PRECOCE_Visite" queryTableFieldId="14" dataDxfId="226"/>
    <tableColumn id="15" uniqueName="15" name="PRECOCE_Reception" queryTableFieldId="15" dataDxfId="225"/>
    <tableColumn id="16" uniqueName="16" name="VT_Theo" queryTableFieldId="16" dataDxfId="224"/>
    <tableColumn id="17" uniqueName="17" name="TARDIF_Visite" queryTableFieldId="17" dataDxfId="223"/>
    <tableColumn id="18" uniqueName="18" name="TARDIF_Reception" queryTableFieldId="18" dataDxfId="222"/>
    <tableColumn id="19" uniqueName="19" name="Onekey" queryTableFieldId="19" dataDxfId="221"/>
    <tableColumn id="20" uniqueName="20" name="Date" queryTableFieldId="20" dataDxfId="220"/>
  </tableColumns>
  <tableStyleInfo name="TableStyleLight8 2" showFirstColumn="0" showLastColumn="0" showRowStripes="1" showColumnStripes="0"/>
</table>
</file>

<file path=xl/tables/table3.xml><?xml version="1.0" encoding="utf-8"?>
<table xmlns="http://schemas.openxmlformats.org/spreadsheetml/2006/main" id="1" name="Tableau_Lancer_la_requête_à_partir_de_MS_Access_Database" displayName="Tableau_Lancer_la_requête_à_partir_de_MS_Access_Database" ref="B9:U19" tableType="queryTable" totalsRowShown="0">
  <autoFilter ref="B9:U19"/>
  <tableColumns count="20">
    <tableColumn id="1" uniqueName="1" name="Num_Centre" queryTableFieldId="1" dataDxfId="219"/>
    <tableColumn id="2" uniqueName="2" name="Investigateur" queryTableFieldId="2" dataDxfId="218"/>
    <tableColumn id="3" uniqueName="3" name="Num_Patient" queryTableFieldId="3" dataDxfId="217"/>
    <tableColumn id="4" uniqueName="4" name="INCLUSION_Visite" queryTableFieldId="4" dataDxfId="216"/>
    <tableColumn id="5" uniqueName="5" name="INCLUSION_Reception" queryTableFieldId="5" dataDxfId="215"/>
    <tableColumn id="6" uniqueName="6" name="AQINCLUSION_Reception" queryTableFieldId="6" dataDxfId="214"/>
    <tableColumn id="7" uniqueName="7" name="CONTACT_Reception" queryTableFieldId="7" dataDxfId="213"/>
    <tableColumn id="8" uniqueName="8" name="TypeRappel" queryTableFieldId="8" dataDxfId="212"/>
    <tableColumn id="9" uniqueName="9" name="AQ7Theo" queryTableFieldId="9" dataDxfId="211"/>
    <tableColumn id="10" uniqueName="10" name="AQJ7_Reception" queryTableFieldId="10" dataDxfId="210"/>
    <tableColumn id="11" uniqueName="11" name="AQ_M2_Theo" queryTableFieldId="11" dataDxfId="209"/>
    <tableColumn id="12" uniqueName="12" name="AQM2_Reception" queryTableFieldId="12" dataDxfId="208"/>
    <tableColumn id="13" uniqueName="13" name="VP_Theo" queryTableFieldId="13" dataDxfId="207"/>
    <tableColumn id="14" uniqueName="14" name="PRECOCE_Visite" queryTableFieldId="14" dataDxfId="206"/>
    <tableColumn id="15" uniqueName="15" name="PRECOCE_Reception" queryTableFieldId="15" dataDxfId="205"/>
    <tableColumn id="16" uniqueName="16" name="VT_Theo" queryTableFieldId="16" dataDxfId="204"/>
    <tableColumn id="17" uniqueName="17" name="TARDIF_Visite" queryTableFieldId="17" dataDxfId="203"/>
    <tableColumn id="18" uniqueName="18" name="TARDIF_Reception" queryTableFieldId="18" dataDxfId="202"/>
    <tableColumn id="19" uniqueName="19" name="Onekey" queryTableFieldId="19" dataDxfId="201"/>
    <tableColumn id="20" uniqueName="20" name="Date" queryTableFieldId="20" dataDxfId="200"/>
  </tableColumns>
  <tableStyleInfo name="TableStyleLight8 2" showFirstColumn="0" showLastColumn="0" showRowStripes="1" showColumnStripes="0"/>
</table>
</file>

<file path=xl/tables/table4.xml><?xml version="1.0" encoding="utf-8"?>
<table xmlns="http://schemas.openxmlformats.org/spreadsheetml/2006/main" id="3" name="Tableau_Lancer_la_requête_à_partir_de_MS_Access_Database4" displayName="Tableau_Lancer_la_requête_à_partir_de_MS_Access_Database4" ref="B9:U16" tableType="queryTable" totalsRowShown="0">
  <autoFilter ref="B9:U16"/>
  <tableColumns count="20">
    <tableColumn id="1" uniqueName="1" name="Num_Centre" queryTableFieldId="1" dataDxfId="199"/>
    <tableColumn id="2" uniqueName="2" name="Investigateur" queryTableFieldId="2" dataDxfId="198"/>
    <tableColumn id="3" uniqueName="3" name="Num_Patient" queryTableFieldId="3" dataDxfId="197"/>
    <tableColumn id="4" uniqueName="4" name="INCLUSION_Visite" queryTableFieldId="4" dataDxfId="196"/>
    <tableColumn id="5" uniqueName="5" name="INCLUSION_Reception" queryTableFieldId="5" dataDxfId="195"/>
    <tableColumn id="6" uniqueName="6" name="AQINCLUSION_Reception" queryTableFieldId="6" dataDxfId="194"/>
    <tableColumn id="7" uniqueName="7" name="CONTACT_Reception" queryTableFieldId="7" dataDxfId="193"/>
    <tableColumn id="8" uniqueName="8" name="TypeRappel" queryTableFieldId="8" dataDxfId="192"/>
    <tableColumn id="9" uniqueName="9" name="AQ7Theo" queryTableFieldId="9" dataDxfId="191"/>
    <tableColumn id="10" uniqueName="10" name="AQJ7_Reception" queryTableFieldId="10" dataDxfId="190"/>
    <tableColumn id="11" uniqueName="11" name="AQ_M2_Theo" queryTableFieldId="11" dataDxfId="189"/>
    <tableColumn id="12" uniqueName="12" name="AQM2_Reception" queryTableFieldId="12" dataDxfId="188"/>
    <tableColumn id="13" uniqueName="13" name="VP_Theo" queryTableFieldId="13" dataDxfId="187"/>
    <tableColumn id="14" uniqueName="14" name="PRECOCE_Visite" queryTableFieldId="14" dataDxfId="186"/>
    <tableColumn id="15" uniqueName="15" name="PRECOCE_Reception" queryTableFieldId="15" dataDxfId="185"/>
    <tableColumn id="16" uniqueName="16" name="VT_Theo" queryTableFieldId="16" dataDxfId="184"/>
    <tableColumn id="17" uniqueName="17" name="TARDIF_Visite" queryTableFieldId="17" dataDxfId="183"/>
    <tableColumn id="18" uniqueName="18" name="TARDIF_Reception" queryTableFieldId="18" dataDxfId="182"/>
    <tableColumn id="19" uniqueName="19" name="Onekey" queryTableFieldId="19" dataDxfId="181"/>
    <tableColumn id="20" uniqueName="20" name="Date" queryTableFieldId="20" dataDxfId="180"/>
  </tableColumns>
  <tableStyleInfo name="TableStyleLight8 2" showFirstColumn="0" showLastColumn="0" showRowStripes="1" showColumnStripes="0"/>
</table>
</file>

<file path=xl/tables/table5.xml><?xml version="1.0" encoding="utf-8"?>
<table xmlns="http://schemas.openxmlformats.org/spreadsheetml/2006/main" id="10" name="Tableau_Lancer_la_requête_à_partir_de_MS_Access_Database4567811" displayName="Tableau_Lancer_la_requête_à_partir_de_MS_Access_Database4567811" ref="B9:U12" tableType="queryTable" totalsRowShown="0">
  <autoFilter ref="B9:U12"/>
  <tableColumns count="20">
    <tableColumn id="1" uniqueName="1" name="Num_Centre" queryTableFieldId="1" dataDxfId="179"/>
    <tableColumn id="2" uniqueName="2" name="Investigateur" queryTableFieldId="2" dataDxfId="178"/>
    <tableColumn id="3" uniqueName="3" name="Num_Patient" queryTableFieldId="3" dataDxfId="177"/>
    <tableColumn id="4" uniqueName="4" name="INCLUSION_Visite" queryTableFieldId="4" dataDxfId="176"/>
    <tableColumn id="5" uniqueName="5" name="INCLUSION_Reception" queryTableFieldId="5" dataDxfId="175"/>
    <tableColumn id="6" uniqueName="6" name="AQINCLUSION_Reception" queryTableFieldId="6" dataDxfId="174"/>
    <tableColumn id="7" uniqueName="7" name="CONTACT_Reception" queryTableFieldId="7" dataDxfId="173"/>
    <tableColumn id="8" uniqueName="8" name="TypeRappel" queryTableFieldId="8" dataDxfId="172"/>
    <tableColumn id="9" uniqueName="9" name="AQ7Theo" queryTableFieldId="9" dataDxfId="171"/>
    <tableColumn id="10" uniqueName="10" name="AQJ7_Reception" queryTableFieldId="10" dataDxfId="170"/>
    <tableColumn id="11" uniqueName="11" name="AQ_M2_Theo" queryTableFieldId="11" dataDxfId="169"/>
    <tableColumn id="12" uniqueName="12" name="AQM2_Reception" queryTableFieldId="12" dataDxfId="168"/>
    <tableColumn id="13" uniqueName="13" name="VP_Theo" queryTableFieldId="13" dataDxfId="167"/>
    <tableColumn id="14" uniqueName="14" name="PRECOCE_Visite" queryTableFieldId="14" dataDxfId="166"/>
    <tableColumn id="15" uniqueName="15" name="PRECOCE_Reception" queryTableFieldId="15" dataDxfId="165"/>
    <tableColumn id="16" uniqueName="16" name="VT_Theo" queryTableFieldId="16" dataDxfId="164"/>
    <tableColumn id="17" uniqueName="17" name="TARDIF_Visite" queryTableFieldId="17" dataDxfId="163"/>
    <tableColumn id="18" uniqueName="18" name="TARDIF_Reception" queryTableFieldId="18" dataDxfId="162"/>
    <tableColumn id="19" uniqueName="19" name="Onekey" queryTableFieldId="19" dataDxfId="161"/>
    <tableColumn id="20" uniqueName="20" name="Date" queryTableFieldId="20" dataDxfId="160"/>
  </tableColumns>
  <tableStyleInfo name="TableStyleLight8 2" showFirstColumn="0" showLastColumn="0" showRowStripes="1" showColumnStripes="0"/>
</table>
</file>

<file path=xl/tables/table6.xml><?xml version="1.0" encoding="utf-8"?>
<table xmlns="http://schemas.openxmlformats.org/spreadsheetml/2006/main" id="8" name="Tableau_Lancer_la_requête_à_partir_de_MS_Access_Database456789" displayName="Tableau_Lancer_la_requête_à_partir_de_MS_Access_Database456789" ref="B9:U12" tableType="queryTable" totalsRowShown="0">
  <autoFilter ref="B9:U12"/>
  <tableColumns count="20">
    <tableColumn id="1" uniqueName="1" name="Num_Centre" queryTableFieldId="1" dataDxfId="159"/>
    <tableColumn id="2" uniqueName="2" name="Investigateur" queryTableFieldId="2" dataDxfId="158"/>
    <tableColumn id="3" uniqueName="3" name="Num_Patient" queryTableFieldId="3" dataDxfId="157"/>
    <tableColumn id="4" uniqueName="4" name="INCLUSION_Visite" queryTableFieldId="4" dataDxfId="156"/>
    <tableColumn id="5" uniqueName="5" name="INCLUSION_Reception" queryTableFieldId="5" dataDxfId="155"/>
    <tableColumn id="6" uniqueName="6" name="AQINCLUSION_Reception" queryTableFieldId="6" dataDxfId="154"/>
    <tableColumn id="7" uniqueName="7" name="CONTACT_Reception" queryTableFieldId="7" dataDxfId="153"/>
    <tableColumn id="8" uniqueName="8" name="TypeRappel" queryTableFieldId="8" dataDxfId="152"/>
    <tableColumn id="9" uniqueName="9" name="AQ7Theo" queryTableFieldId="9" dataDxfId="151"/>
    <tableColumn id="10" uniqueName="10" name="AQJ7_Reception" queryTableFieldId="10" dataDxfId="150"/>
    <tableColumn id="11" uniqueName="11" name="AQ_M2_Theo" queryTableFieldId="11" dataDxfId="149"/>
    <tableColumn id="12" uniqueName="12" name="AQM2_Reception" queryTableFieldId="12" dataDxfId="148"/>
    <tableColumn id="13" uniqueName="13" name="VP_Theo" queryTableFieldId="13" dataDxfId="147"/>
    <tableColumn id="14" uniqueName="14" name="PRECOCE_Visite" queryTableFieldId="14" dataDxfId="146"/>
    <tableColumn id="15" uniqueName="15" name="PRECOCE_Reception" queryTableFieldId="15" dataDxfId="145"/>
    <tableColumn id="16" uniqueName="16" name="VT_Theo" queryTableFieldId="16" dataDxfId="144"/>
    <tableColumn id="17" uniqueName="17" name="TARDIF_Visite" queryTableFieldId="17" dataDxfId="143"/>
    <tableColumn id="18" uniqueName="18" name="TARDIF_Reception" queryTableFieldId="18" dataDxfId="142"/>
    <tableColumn id="19" uniqueName="19" name="Onekey" queryTableFieldId="19" dataDxfId="141"/>
    <tableColumn id="20" uniqueName="20" name="Date" queryTableFieldId="20" dataDxfId="140"/>
  </tableColumns>
  <tableStyleInfo name="TableStyleLight8 2" showFirstColumn="0" showLastColumn="0" showRowStripes="1" showColumnStripes="0"/>
</table>
</file>

<file path=xl/tables/table7.xml><?xml version="1.0" encoding="utf-8"?>
<table xmlns="http://schemas.openxmlformats.org/spreadsheetml/2006/main" id="9" name="Tableau_Lancer_la_requête_à_partir_de_MS_Access_Database4567810" displayName="Tableau_Lancer_la_requête_à_partir_de_MS_Access_Database4567810" ref="B9:U14" tableType="queryTable" totalsRowShown="0">
  <autoFilter ref="B9:U14"/>
  <tableColumns count="20">
    <tableColumn id="1" uniqueName="1" name="Num_Centre" queryTableFieldId="1" dataDxfId="139"/>
    <tableColumn id="2" uniqueName="2" name="Investigateur" queryTableFieldId="2" dataDxfId="138"/>
    <tableColumn id="3" uniqueName="3" name="Num_Patient" queryTableFieldId="3" dataDxfId="137"/>
    <tableColumn id="4" uniqueName="4" name="INCLUSION_Visite" queryTableFieldId="4" dataDxfId="136"/>
    <tableColumn id="5" uniqueName="5" name="INCLUSION_Reception" queryTableFieldId="5" dataDxfId="135"/>
    <tableColumn id="6" uniqueName="6" name="AQINCLUSION_Reception" queryTableFieldId="6" dataDxfId="134"/>
    <tableColumn id="7" uniqueName="7" name="CONTACT_Reception" queryTableFieldId="7" dataDxfId="133"/>
    <tableColumn id="8" uniqueName="8" name="TypeRappel" queryTableFieldId="8" dataDxfId="132"/>
    <tableColumn id="9" uniqueName="9" name="AQ7Theo" queryTableFieldId="9" dataDxfId="131"/>
    <tableColumn id="10" uniqueName="10" name="AQJ7_Reception" queryTableFieldId="10" dataDxfId="130"/>
    <tableColumn id="11" uniqueName="11" name="AQ_M2_Theo" queryTableFieldId="11" dataDxfId="129"/>
    <tableColumn id="12" uniqueName="12" name="AQM2_Reception" queryTableFieldId="12" dataDxfId="128"/>
    <tableColumn id="13" uniqueName="13" name="VP_Theo" queryTableFieldId="13" dataDxfId="127"/>
    <tableColumn id="14" uniqueName="14" name="PRECOCE_Visite" queryTableFieldId="14" dataDxfId="126"/>
    <tableColumn id="15" uniqueName="15" name="PRECOCE_Reception" queryTableFieldId="15" dataDxfId="125"/>
    <tableColumn id="16" uniqueName="16" name="VT_Theo" queryTableFieldId="16" dataDxfId="124"/>
    <tableColumn id="17" uniqueName="17" name="TARDIF_Visite" queryTableFieldId="17" dataDxfId="123"/>
    <tableColumn id="18" uniqueName="18" name="TARDIF_Reception" queryTableFieldId="18" dataDxfId="122"/>
    <tableColumn id="19" uniqueName="19" name="Onekey" queryTableFieldId="19" dataDxfId="121"/>
    <tableColumn id="20" uniqueName="20" name="Date" queryTableFieldId="20" dataDxfId="120"/>
  </tableColumns>
  <tableStyleInfo name="TableStyleLight8 2" showFirstColumn="0" showLastColumn="0" showRowStripes="1" showColumnStripes="0"/>
</table>
</file>

<file path=xl/tables/table8.xml><?xml version="1.0" encoding="utf-8"?>
<table xmlns="http://schemas.openxmlformats.org/spreadsheetml/2006/main" id="4" name="Tableau_Lancer_la_requête_à_partir_de_MS_Access_Database45" displayName="Tableau_Lancer_la_requête_à_partir_de_MS_Access_Database45" ref="B9:U12" tableType="queryTable" totalsRowShown="0">
  <autoFilter ref="B9:U12"/>
  <tableColumns count="20">
    <tableColumn id="1" uniqueName="1" name="Num_Centre" queryTableFieldId="1" dataDxfId="119"/>
    <tableColumn id="2" uniqueName="2" name="Investigateur" queryTableFieldId="2" dataDxfId="118"/>
    <tableColumn id="3" uniqueName="3" name="Num_Patient" queryTableFieldId="3" dataDxfId="117"/>
    <tableColumn id="4" uniqueName="4" name="INCLUSION_Visite" queryTableFieldId="4" dataDxfId="116"/>
    <tableColumn id="5" uniqueName="5" name="INCLUSION_Reception" queryTableFieldId="5" dataDxfId="115"/>
    <tableColumn id="6" uniqueName="6" name="AQINCLUSION_Reception" queryTableFieldId="6" dataDxfId="114"/>
    <tableColumn id="7" uniqueName="7" name="CONTACT_Reception" queryTableFieldId="7" dataDxfId="113"/>
    <tableColumn id="8" uniqueName="8" name="TypeRappel" queryTableFieldId="8" dataDxfId="112"/>
    <tableColumn id="9" uniqueName="9" name="AQ7Theo" queryTableFieldId="9" dataDxfId="111"/>
    <tableColumn id="10" uniqueName="10" name="AQJ7_Reception" queryTableFieldId="10" dataDxfId="110"/>
    <tableColumn id="11" uniqueName="11" name="AQ_M2_Theo" queryTableFieldId="11" dataDxfId="109"/>
    <tableColumn id="12" uniqueName="12" name="AQM2_Reception" queryTableFieldId="12" dataDxfId="108"/>
    <tableColumn id="13" uniqueName="13" name="VP_Theo" queryTableFieldId="13" dataDxfId="107"/>
    <tableColumn id="14" uniqueName="14" name="PRECOCE_Visite" queryTableFieldId="14" dataDxfId="106"/>
    <tableColumn id="15" uniqueName="15" name="PRECOCE_Reception" queryTableFieldId="15" dataDxfId="105"/>
    <tableColumn id="16" uniqueName="16" name="VT_Theo" queryTableFieldId="16" dataDxfId="104"/>
    <tableColumn id="17" uniqueName="17" name="TARDIF_Visite" queryTableFieldId="17" dataDxfId="103"/>
    <tableColumn id="18" uniqueName="18" name="TARDIF_Reception" queryTableFieldId="18" dataDxfId="102"/>
    <tableColumn id="19" uniqueName="19" name="Onekey" queryTableFieldId="19" dataDxfId="101"/>
    <tableColumn id="20" uniqueName="20" name="Date" queryTableFieldId="20" dataDxfId="100"/>
  </tableColumns>
  <tableStyleInfo name="TableStyleLight8 2" showFirstColumn="0" showLastColumn="0" showRowStripes="1" showColumnStripes="0"/>
</table>
</file>

<file path=xl/tables/table9.xml><?xml version="1.0" encoding="utf-8"?>
<table xmlns="http://schemas.openxmlformats.org/spreadsheetml/2006/main" id="5" name="Tableau_Lancer_la_requête_à_partir_de_MS_Access_Database456" displayName="Tableau_Lancer_la_requête_à_partir_de_MS_Access_Database456" ref="B9:U16" tableType="queryTable" totalsRowShown="0">
  <autoFilter ref="B9:U16"/>
  <tableColumns count="20">
    <tableColumn id="1" uniqueName="1" name="Num_Centre" queryTableFieldId="1" dataDxfId="99"/>
    <tableColumn id="2" uniqueName="2" name="Investigateur" queryTableFieldId="2" dataDxfId="98"/>
    <tableColumn id="3" uniqueName="3" name="Num_Patient" queryTableFieldId="3" dataDxfId="97"/>
    <tableColumn id="4" uniqueName="4" name="INCLUSION_Visite" queryTableFieldId="4" dataDxfId="96"/>
    <tableColumn id="5" uniqueName="5" name="INCLUSION_Reception" queryTableFieldId="5" dataDxfId="95"/>
    <tableColumn id="6" uniqueName="6" name="AQINCLUSION_Reception" queryTableFieldId="6" dataDxfId="94"/>
    <tableColumn id="7" uniqueName="7" name="CONTACT_Reception" queryTableFieldId="7" dataDxfId="93"/>
    <tableColumn id="8" uniqueName="8" name="TypeRappel" queryTableFieldId="8" dataDxfId="92"/>
    <tableColumn id="9" uniqueName="9" name="AQ7Theo" queryTableFieldId="9" dataDxfId="91"/>
    <tableColumn id="10" uniqueName="10" name="AQJ7_Reception" queryTableFieldId="10" dataDxfId="90"/>
    <tableColumn id="11" uniqueName="11" name="AQ_M2_Theo" queryTableFieldId="11" dataDxfId="89"/>
    <tableColumn id="12" uniqueName="12" name="AQM2_Reception" queryTableFieldId="12" dataDxfId="88"/>
    <tableColumn id="13" uniqueName="13" name="VP_Theo" queryTableFieldId="13" dataDxfId="87"/>
    <tableColumn id="14" uniqueName="14" name="PRECOCE_Visite" queryTableFieldId="14" dataDxfId="86"/>
    <tableColumn id="15" uniqueName="15" name="PRECOCE_Reception" queryTableFieldId="15" dataDxfId="85"/>
    <tableColumn id="16" uniqueName="16" name="VT_Theo" queryTableFieldId="16" dataDxfId="84"/>
    <tableColumn id="17" uniqueName="17" name="TARDIF_Visite" queryTableFieldId="17" dataDxfId="83"/>
    <tableColumn id="18" uniqueName="18" name="TARDIF_Reception" queryTableFieldId="18" dataDxfId="82"/>
    <tableColumn id="19" uniqueName="19" name="Onekey" queryTableFieldId="19" dataDxfId="81"/>
    <tableColumn id="20" uniqueName="20" name="Date" queryTableFieldId="20" dataDxfId="80"/>
  </tableColumns>
  <tableStyleInfo name="TableStyleLight8 2" showFirstColumn="0" showLastColumn="0" showRowStripes="1" showColumnStripes="0"/>
</table>
</file>

<file path=xl/tables/table10.xml><?xml version="1.0" encoding="utf-8"?>
<table xmlns="http://schemas.openxmlformats.org/spreadsheetml/2006/main" id="6" name="Tableau_Lancer_la_requête_à_partir_de_MS_Access_Database4567" displayName="Tableau_Lancer_la_requête_à_partir_de_MS_Access_Database4567" ref="B9:U12" tableType="queryTable" totalsRowShown="0">
  <autoFilter ref="B9:U12"/>
  <tableColumns count="20">
    <tableColumn id="1" uniqueName="1" name="Num_Centre" queryTableFieldId="1" dataDxfId="79"/>
    <tableColumn id="2" uniqueName="2" name="Investigateur" queryTableFieldId="2" dataDxfId="78"/>
    <tableColumn id="3" uniqueName="3" name="Num_Patient" queryTableFieldId="3" dataDxfId="77"/>
    <tableColumn id="4" uniqueName="4" name="INCLUSION_Visite" queryTableFieldId="4" dataDxfId="76"/>
    <tableColumn id="5" uniqueName="5" name="INCLUSION_Reception" queryTableFieldId="5" dataDxfId="75"/>
    <tableColumn id="6" uniqueName="6" name="AQINCLUSION_Reception" queryTableFieldId="6" dataDxfId="74"/>
    <tableColumn id="7" uniqueName="7" name="CONTACT_Reception" queryTableFieldId="7" dataDxfId="73"/>
    <tableColumn id="8" uniqueName="8" name="TypeRappel" queryTableFieldId="8" dataDxfId="72"/>
    <tableColumn id="9" uniqueName="9" name="AQ7Theo" queryTableFieldId="9" dataDxfId="71"/>
    <tableColumn id="10" uniqueName="10" name="AQJ7_Reception" queryTableFieldId="10" dataDxfId="70"/>
    <tableColumn id="11" uniqueName="11" name="AQ_M2_Theo" queryTableFieldId="11" dataDxfId="69"/>
    <tableColumn id="12" uniqueName="12" name="AQM2_Reception" queryTableFieldId="12" dataDxfId="68"/>
    <tableColumn id="13" uniqueName="13" name="VP_Theo" queryTableFieldId="13" dataDxfId="67"/>
    <tableColumn id="14" uniqueName="14" name="PRECOCE_Visite" queryTableFieldId="14" dataDxfId="66"/>
    <tableColumn id="15" uniqueName="15" name="PRECOCE_Reception" queryTableFieldId="15" dataDxfId="65"/>
    <tableColumn id="16" uniqueName="16" name="VT_Theo" queryTableFieldId="16" dataDxfId="64"/>
    <tableColumn id="17" uniqueName="17" name="TARDIF_Visite" queryTableFieldId="17" dataDxfId="63"/>
    <tableColumn id="18" uniqueName="18" name="TARDIF_Reception" queryTableFieldId="18" dataDxfId="62"/>
    <tableColumn id="19" uniqueName="19" name="Onekey" queryTableFieldId="19" dataDxfId="61"/>
    <tableColumn id="20" uniqueName="20" name="Date" queryTableFieldId="20" dataDxfId="60"/>
  </tableColumns>
  <tableStyleInfo name="TableStyleLight8 2" showFirstColumn="0" showLastColumn="0" showRowStripes="1" showColumnStripes="0"/>
</table>
</file>

<file path=xl/tables/table11.xml><?xml version="1.0" encoding="utf-8"?>
<table xmlns="http://schemas.openxmlformats.org/spreadsheetml/2006/main" id="13" name="Tableau_Lancer_la_requête_à_partir_de_MS_Access_Database456781214" displayName="Tableau_Lancer_la_requête_à_partir_de_MS_Access_Database456781214" ref="B9:U12" tableType="queryTable" totalsRowShown="0">
  <autoFilter ref="B9:U12"/>
  <tableColumns count="20">
    <tableColumn id="1" uniqueName="1" name="Num_Centre" queryTableFieldId="1" dataDxfId="59"/>
    <tableColumn id="2" uniqueName="2" name="Investigateur" queryTableFieldId="2" dataDxfId="58"/>
    <tableColumn id="3" uniqueName="3" name="Num_Patient" queryTableFieldId="3" dataDxfId="57"/>
    <tableColumn id="4" uniqueName="4" name="INCLUSION_Visite" queryTableFieldId="4" dataDxfId="56"/>
    <tableColumn id="5" uniqueName="5" name="INCLUSION_Reception" queryTableFieldId="5" dataDxfId="55"/>
    <tableColumn id="6" uniqueName="6" name="AQINCLUSION_Reception" queryTableFieldId="6" dataDxfId="54"/>
    <tableColumn id="7" uniqueName="7" name="CONTACT_Reception" queryTableFieldId="7" dataDxfId="53"/>
    <tableColumn id="8" uniqueName="8" name="TypeRappel" queryTableFieldId="8" dataDxfId="52"/>
    <tableColumn id="9" uniqueName="9" name="AQ7Theo" queryTableFieldId="9" dataDxfId="51"/>
    <tableColumn id="10" uniqueName="10" name="AQJ7_Reception" queryTableFieldId="10" dataDxfId="50"/>
    <tableColumn id="11" uniqueName="11" name="AQ_M2_Theo" queryTableFieldId="11" dataDxfId="49"/>
    <tableColumn id="12" uniqueName="12" name="AQM2_Reception" queryTableFieldId="12" dataDxfId="48"/>
    <tableColumn id="13" uniqueName="13" name="VP_Theo" queryTableFieldId="13" dataDxfId="47"/>
    <tableColumn id="14" uniqueName="14" name="PRECOCE_Visite" queryTableFieldId="14" dataDxfId="46"/>
    <tableColumn id="15" uniqueName="15" name="PRECOCE_Reception" queryTableFieldId="15" dataDxfId="45"/>
    <tableColumn id="16" uniqueName="16" name="VT_Theo" queryTableFieldId="16" dataDxfId="44"/>
    <tableColumn id="17" uniqueName="17" name="TARDIF_Visite" queryTableFieldId="17" dataDxfId="43"/>
    <tableColumn id="18" uniqueName="18" name="TARDIF_Reception" queryTableFieldId="18" dataDxfId="42"/>
    <tableColumn id="19" uniqueName="19" name="Onekey" queryTableFieldId="19" dataDxfId="41"/>
    <tableColumn id="20" uniqueName="20" name="Date" queryTableFieldId="20" dataDxfId="40"/>
  </tableColumns>
  <tableStyleInfo name="TableStyleLight8 2" showFirstColumn="0" showLastColumn="0" showRowStripes="1" showColumnStripes="0"/>
</table>
</file>

<file path=xl/tables/table12.xml><?xml version="1.0" encoding="utf-8"?>
<table xmlns="http://schemas.openxmlformats.org/spreadsheetml/2006/main" id="11" name="Tableau_Lancer_la_requête_à_partir_de_MS_Access_Database4567812" displayName="Tableau_Lancer_la_requête_à_partir_de_MS_Access_Database4567812" ref="B9:U12" tableType="queryTable" totalsRowShown="0">
  <autoFilter ref="B9:U12"/>
  <tableColumns count="20">
    <tableColumn id="1" uniqueName="1" name="Num_Centre" queryTableFieldId="1" dataDxfId="39"/>
    <tableColumn id="2" uniqueName="2" name="Investigateur" queryTableFieldId="2" dataDxfId="38"/>
    <tableColumn id="3" uniqueName="3" name="Num_Patient" queryTableFieldId="3" dataDxfId="37"/>
    <tableColumn id="4" uniqueName="4" name="INCLUSION_Visite" queryTableFieldId="4" dataDxfId="36"/>
    <tableColumn id="5" uniqueName="5" name="INCLUSION_Reception" queryTableFieldId="5" dataDxfId="35"/>
    <tableColumn id="6" uniqueName="6" name="AQINCLUSION_Reception" queryTableFieldId="6" dataDxfId="34"/>
    <tableColumn id="7" uniqueName="7" name="CONTACT_Reception" queryTableFieldId="7" dataDxfId="33"/>
    <tableColumn id="8" uniqueName="8" name="TypeRappel" queryTableFieldId="8" dataDxfId="32"/>
    <tableColumn id="9" uniqueName="9" name="AQ7Theo" queryTableFieldId="9" dataDxfId="31"/>
    <tableColumn id="10" uniqueName="10" name="AQJ7_Reception" queryTableFieldId="10" dataDxfId="30"/>
    <tableColumn id="11" uniqueName="11" name="AQ_M2_Theo" queryTableFieldId="11" dataDxfId="29"/>
    <tableColumn id="12" uniqueName="12" name="AQM2_Reception" queryTableFieldId="12" dataDxfId="28"/>
    <tableColumn id="13" uniqueName="13" name="VP_Theo" queryTableFieldId="13" dataDxfId="27"/>
    <tableColumn id="14" uniqueName="14" name="PRECOCE_Visite" queryTableFieldId="14" dataDxfId="26"/>
    <tableColumn id="15" uniqueName="15" name="PRECOCE_Reception" queryTableFieldId="15" dataDxfId="25"/>
    <tableColumn id="16" uniqueName="16" name="VT_Theo" queryTableFieldId="16" dataDxfId="24"/>
    <tableColumn id="17" uniqueName="17" name="TARDIF_Visite" queryTableFieldId="17" dataDxfId="23"/>
    <tableColumn id="18" uniqueName="18" name="TARDIF_Reception" queryTableFieldId="18" dataDxfId="22"/>
    <tableColumn id="19" uniqueName="19" name="Onekey" queryTableFieldId="19" dataDxfId="21"/>
    <tableColumn id="20" uniqueName="20" name="Date" queryTableFieldId="20" dataDxfId="20"/>
  </tableColumns>
  <tableStyleInfo name="TableStyleLight8 2" showFirstColumn="0" showLastColumn="0" showRowStripes="1" showColumnStripes="0"/>
</table>
</file>

<file path=xl/tables/table13.xml><?xml version="1.0" encoding="utf-8"?>
<table xmlns="http://schemas.openxmlformats.org/spreadsheetml/2006/main" id="7" name="Tableau_Lancer_la_requête_à_partir_de_MS_Access_Database45678" displayName="Tableau_Lancer_la_requête_à_partir_de_MS_Access_Database45678" ref="B9:U16" tableType="queryTable" totalsRowShown="0">
  <autoFilter ref="B9:U16"/>
  <tableColumns count="20">
    <tableColumn id="1" uniqueName="1" name="Num_Centre" queryTableFieldId="1" dataDxfId="19"/>
    <tableColumn id="2" uniqueName="2" name="Investigateur" queryTableFieldId="2" dataDxfId="18"/>
    <tableColumn id="3" uniqueName="3" name="Num_Patient" queryTableFieldId="3" dataDxfId="17"/>
    <tableColumn id="4" uniqueName="4" name="INCLUSION_Visite" queryTableFieldId="4" dataDxfId="16"/>
    <tableColumn id="5" uniqueName="5" name="INCLUSION_Reception" queryTableFieldId="5" dataDxfId="15"/>
    <tableColumn id="6" uniqueName="6" name="AQINCLUSION_Reception" queryTableFieldId="6" dataDxfId="14"/>
    <tableColumn id="7" uniqueName="7" name="CONTACT_Reception" queryTableFieldId="7" dataDxfId="13"/>
    <tableColumn id="8" uniqueName="8" name="TypeRappel" queryTableFieldId="8" dataDxfId="12"/>
    <tableColumn id="9" uniqueName="9" name="AQ7Theo" queryTableFieldId="9" dataDxfId="11"/>
    <tableColumn id="10" uniqueName="10" name="AQJ7_Reception" queryTableFieldId="10" dataDxfId="10"/>
    <tableColumn id="11" uniqueName="11" name="AQ_M2_Theo" queryTableFieldId="11" dataDxfId="9"/>
    <tableColumn id="12" uniqueName="12" name="AQM2_Reception" queryTableFieldId="12" dataDxfId="8"/>
    <tableColumn id="13" uniqueName="13" name="VP_Theo" queryTableFieldId="13" dataDxfId="7"/>
    <tableColumn id="14" uniqueName="14" name="PRECOCE_Visite" queryTableFieldId="14" dataDxfId="6"/>
    <tableColumn id="15" uniqueName="15" name="PRECOCE_Reception" queryTableFieldId="15" dataDxfId="5"/>
    <tableColumn id="16" uniqueName="16" name="VT_Theo" queryTableFieldId="16" dataDxfId="4"/>
    <tableColumn id="17" uniqueName="17" name="TARDIF_Visite" queryTableFieldId="17" dataDxfId="3"/>
    <tableColumn id="18" uniqueName="18" name="TARDIF_Reception" queryTableFieldId="18" dataDxfId="2"/>
    <tableColumn id="19" uniqueName="19" name="Onekey" queryTableFieldId="19" dataDxfId="1"/>
    <tableColumn id="20" uniqueName="20" name="Date" queryTableFieldId="20" dataDxfId="0"/>
  </tableColumns>
  <tableStyleInfo name="TableStyleLight8 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Feuil1"/>
  <dimension ref="A1:Q22"/>
  <sheetViews>
    <sheetView tabSelected="1" topLeftCell="C1" workbookViewId="0">
      <selection activeCell="C6" sqref="C6"/>
    </sheetView>
  </sheetViews>
  <sheetFormatPr baseColWidth="10" defaultRowHeight="15"/>
  <cols>
    <col min="1" max="1" width="15" hidden="1" customWidth="1"/>
    <col min="2" max="2" width="21.85546875" hidden="1" customWidth="1"/>
    <col min="3" max="3" width="19" style="19" customWidth="1"/>
    <col min="4" max="4" width="34.42578125" customWidth="1"/>
    <col min="5" max="5" width="18" style="25" customWidth="1"/>
    <col min="6" max="6" width="17.5703125" style="25" customWidth="1"/>
    <col min="7" max="7" width="17.85546875" style="25" customWidth="1"/>
    <col min="8" max="8" width="19.28515625" style="25" customWidth="1"/>
    <col min="9" max="9" width="17.28515625" style="19" customWidth="1"/>
    <col min="10" max="10" width="58.85546875" customWidth="1"/>
    <col min="11" max="11" width="13.7109375" style="12" hidden="1" customWidth="1"/>
  </cols>
  <sheetData>
    <row r="1" spans="1:17" s="3" customFormat="1" ht="27">
      <c r="C1" s="20" t="s">
        <v>0</v>
      </c>
      <c r="D1" s="1"/>
      <c r="E1" s="24"/>
      <c r="F1" s="22"/>
      <c r="G1" s="22"/>
      <c r="H1" s="22"/>
      <c r="I1" s="17"/>
      <c r="K1" s="2"/>
    </row>
    <row r="2" spans="1:17" s="3" customFormat="1" ht="15.75">
      <c r="C2" s="17"/>
      <c r="D2" s="4"/>
      <c r="E2" s="11" t="s">
        <v>13</v>
      </c>
      <c r="F2" s="30" t="str">
        <f>$A$19</f>
        <v>DE0103</v>
      </c>
      <c r="G2" s="100" t="str">
        <f>$B$19</f>
        <v>KUBRIJANOW Anne</v>
      </c>
      <c r="H2" s="100"/>
      <c r="I2" s="100"/>
      <c r="K2" s="13"/>
      <c r="L2" s="14"/>
      <c r="M2" s="14"/>
      <c r="N2" s="14"/>
      <c r="O2" s="5"/>
    </row>
    <row r="3" spans="1:17" s="3" customFormat="1">
      <c r="C3" s="21" t="s">
        <v>1</v>
      </c>
      <c r="D3" s="6">
        <f>$K$19</f>
        <v>42306</v>
      </c>
      <c r="E3" s="22"/>
      <c r="F3" s="22"/>
      <c r="G3" s="22"/>
      <c r="H3" s="22"/>
      <c r="I3" s="17"/>
      <c r="K3" s="2"/>
    </row>
    <row r="4" spans="1:17" s="3" customFormat="1">
      <c r="C4" s="17"/>
      <c r="D4" s="4"/>
      <c r="E4" s="22"/>
      <c r="F4" s="22"/>
      <c r="G4" s="22"/>
      <c r="H4" s="22"/>
      <c r="I4" s="17"/>
      <c r="K4" s="2"/>
    </row>
    <row r="5" spans="1:17" s="3" customFormat="1">
      <c r="C5" s="18"/>
      <c r="D5" s="8"/>
      <c r="E5" s="23"/>
      <c r="F5" s="23"/>
      <c r="G5" s="23"/>
      <c r="H5" s="23"/>
      <c r="I5" s="18"/>
      <c r="J5" s="7"/>
      <c r="K5" s="9"/>
      <c r="L5" s="7"/>
      <c r="M5" s="7"/>
      <c r="N5" s="7"/>
      <c r="O5" s="7"/>
      <c r="P5" s="7"/>
      <c r="Q5" s="7"/>
    </row>
    <row r="6" spans="1:17">
      <c r="C6" s="91"/>
      <c r="D6" s="28"/>
      <c r="E6" s="29"/>
      <c r="F6" s="29"/>
      <c r="G6" s="29"/>
      <c r="H6" s="29"/>
      <c r="I6" s="27"/>
      <c r="J6" s="28"/>
    </row>
    <row r="7" spans="1:17" s="15" customFormat="1" ht="53.25" customHeight="1">
      <c r="A7" s="15" t="s">
        <v>2</v>
      </c>
      <c r="B7" s="15" t="s">
        <v>3</v>
      </c>
      <c r="C7" s="15" t="s">
        <v>12</v>
      </c>
      <c r="D7" s="15" t="s">
        <v>4</v>
      </c>
      <c r="E7" s="16" t="s">
        <v>5</v>
      </c>
      <c r="F7" s="16" t="s">
        <v>6</v>
      </c>
      <c r="G7" s="16" t="s">
        <v>7</v>
      </c>
      <c r="H7" s="16" t="s">
        <v>8</v>
      </c>
      <c r="I7" s="15" t="s">
        <v>9</v>
      </c>
      <c r="J7" s="15" t="s">
        <v>10</v>
      </c>
      <c r="K7" s="16" t="s">
        <v>11</v>
      </c>
    </row>
    <row r="8" spans="1:17" s="83" customFormat="1">
      <c r="A8" s="83" t="s">
        <v>59</v>
      </c>
      <c r="B8" s="83" t="s">
        <v>60</v>
      </c>
      <c r="C8" s="84" t="s">
        <v>95</v>
      </c>
      <c r="D8" s="85" t="s">
        <v>96</v>
      </c>
      <c r="E8" s="16">
        <v>41933</v>
      </c>
      <c r="F8" s="16">
        <v>41955</v>
      </c>
      <c r="G8" s="16">
        <v>41947</v>
      </c>
      <c r="H8" s="16"/>
      <c r="I8" s="15"/>
      <c r="J8" s="85"/>
      <c r="K8" s="86">
        <v>42306</v>
      </c>
    </row>
    <row r="9" spans="1:17" s="83" customFormat="1" ht="30">
      <c r="A9" s="83" t="s">
        <v>59</v>
      </c>
      <c r="B9" s="83" t="s">
        <v>60</v>
      </c>
      <c r="C9" s="84" t="s">
        <v>61</v>
      </c>
      <c r="D9" s="85" t="s">
        <v>62</v>
      </c>
      <c r="E9" s="16">
        <v>41739</v>
      </c>
      <c r="F9" s="16">
        <v>41778</v>
      </c>
      <c r="G9" s="16">
        <v>41775</v>
      </c>
      <c r="H9" s="16"/>
      <c r="I9" s="15">
        <v>10</v>
      </c>
      <c r="J9" s="85" t="s">
        <v>92</v>
      </c>
      <c r="K9" s="86">
        <v>42306</v>
      </c>
    </row>
    <row r="10" spans="1:17" s="83" customFormat="1">
      <c r="A10" s="83" t="s">
        <v>59</v>
      </c>
      <c r="B10" s="83" t="s">
        <v>60</v>
      </c>
      <c r="C10" s="84" t="s">
        <v>63</v>
      </c>
      <c r="D10" s="85" t="s">
        <v>64</v>
      </c>
      <c r="E10" s="16">
        <v>41696</v>
      </c>
      <c r="F10" s="16">
        <v>41761</v>
      </c>
      <c r="G10" s="16">
        <v>41754</v>
      </c>
      <c r="H10" s="16"/>
      <c r="I10" s="15">
        <v>7</v>
      </c>
      <c r="J10" s="85" t="s">
        <v>101</v>
      </c>
      <c r="K10" s="86">
        <v>42306</v>
      </c>
    </row>
    <row r="11" spans="1:17" s="83" customFormat="1">
      <c r="A11" s="83" t="s">
        <v>59</v>
      </c>
      <c r="B11" s="83" t="s">
        <v>60</v>
      </c>
      <c r="C11" s="84" t="s">
        <v>77</v>
      </c>
      <c r="D11" s="85" t="s">
        <v>78</v>
      </c>
      <c r="E11" s="16">
        <v>41764</v>
      </c>
      <c r="F11" s="16">
        <v>41774</v>
      </c>
      <c r="G11" s="16">
        <v>41772</v>
      </c>
      <c r="H11" s="16"/>
      <c r="I11" s="15">
        <v>3</v>
      </c>
      <c r="J11" s="85"/>
      <c r="K11" s="86">
        <v>42306</v>
      </c>
    </row>
    <row r="12" spans="1:17" s="83" customFormat="1" ht="30">
      <c r="A12" s="83" t="s">
        <v>59</v>
      </c>
      <c r="B12" s="83" t="s">
        <v>60</v>
      </c>
      <c r="C12" s="84" t="s">
        <v>73</v>
      </c>
      <c r="D12" s="85" t="s">
        <v>74</v>
      </c>
      <c r="E12" s="16">
        <v>41751</v>
      </c>
      <c r="F12" s="16">
        <v>41782</v>
      </c>
      <c r="G12" s="16">
        <v>41780</v>
      </c>
      <c r="H12" s="16"/>
      <c r="I12" s="15">
        <v>1</v>
      </c>
      <c r="J12" s="85" t="s">
        <v>90</v>
      </c>
      <c r="K12" s="86">
        <v>42306</v>
      </c>
    </row>
    <row r="13" spans="1:17" s="83" customFormat="1" ht="30">
      <c r="A13" s="83" t="s">
        <v>59</v>
      </c>
      <c r="B13" s="83" t="s">
        <v>60</v>
      </c>
      <c r="C13" s="84" t="s">
        <v>75</v>
      </c>
      <c r="D13" s="85" t="s">
        <v>76</v>
      </c>
      <c r="E13" s="16">
        <v>41751</v>
      </c>
      <c r="F13" s="16">
        <v>41778</v>
      </c>
      <c r="G13" s="16">
        <v>41774</v>
      </c>
      <c r="H13" s="16"/>
      <c r="I13" s="15">
        <v>5</v>
      </c>
      <c r="J13" s="85" t="s">
        <v>88</v>
      </c>
      <c r="K13" s="86">
        <v>42306</v>
      </c>
    </row>
    <row r="14" spans="1:17" s="83" customFormat="1">
      <c r="A14" s="83" t="s">
        <v>59</v>
      </c>
      <c r="B14" s="83" t="s">
        <v>60</v>
      </c>
      <c r="C14" s="84" t="s">
        <v>65</v>
      </c>
      <c r="D14" s="87" t="s">
        <v>66</v>
      </c>
      <c r="E14" s="16">
        <v>41702</v>
      </c>
      <c r="F14" s="16">
        <v>41744</v>
      </c>
      <c r="G14" s="16">
        <v>41739</v>
      </c>
      <c r="H14" s="16"/>
      <c r="I14" s="15">
        <v>3</v>
      </c>
      <c r="J14" s="87" t="s">
        <v>91</v>
      </c>
      <c r="K14" s="86">
        <v>42306</v>
      </c>
    </row>
    <row r="15" spans="1:17" s="83" customFormat="1" ht="30">
      <c r="A15" s="83" t="s">
        <v>59</v>
      </c>
      <c r="B15" s="83" t="s">
        <v>60</v>
      </c>
      <c r="C15" s="84" t="s">
        <v>67</v>
      </c>
      <c r="D15" s="87" t="s">
        <v>68</v>
      </c>
      <c r="E15" s="16">
        <v>41712</v>
      </c>
      <c r="F15" s="16">
        <v>41739</v>
      </c>
      <c r="G15" s="16">
        <v>41738</v>
      </c>
      <c r="H15" s="16"/>
      <c r="I15" s="15">
        <v>7</v>
      </c>
      <c r="J15" s="87" t="s">
        <v>104</v>
      </c>
      <c r="K15" s="86">
        <v>42306</v>
      </c>
    </row>
    <row r="16" spans="1:17" s="83" customFormat="1" ht="30">
      <c r="A16" s="83" t="s">
        <v>59</v>
      </c>
      <c r="B16" s="83" t="s">
        <v>60</v>
      </c>
      <c r="C16" s="84" t="s">
        <v>69</v>
      </c>
      <c r="D16" s="85" t="s">
        <v>70</v>
      </c>
      <c r="E16" s="16">
        <v>41697</v>
      </c>
      <c r="F16" s="16">
        <v>41754</v>
      </c>
      <c r="G16" s="16">
        <v>41752</v>
      </c>
      <c r="H16" s="16"/>
      <c r="I16" s="15">
        <v>3</v>
      </c>
      <c r="J16" s="85" t="s">
        <v>81</v>
      </c>
      <c r="K16" s="86">
        <v>42306</v>
      </c>
    </row>
    <row r="17" spans="1:11" s="83" customFormat="1">
      <c r="A17" s="83" t="s">
        <v>59</v>
      </c>
      <c r="B17" s="83" t="s">
        <v>60</v>
      </c>
      <c r="C17" s="84" t="s">
        <v>97</v>
      </c>
      <c r="D17" s="87" t="s">
        <v>98</v>
      </c>
      <c r="E17" s="16">
        <v>41929</v>
      </c>
      <c r="F17" s="16">
        <v>41964</v>
      </c>
      <c r="G17" s="16">
        <v>41961</v>
      </c>
      <c r="H17" s="16"/>
      <c r="I17" s="15">
        <v>3</v>
      </c>
      <c r="J17" s="87"/>
      <c r="K17" s="86">
        <v>42306</v>
      </c>
    </row>
    <row r="18" spans="1:11" ht="30">
      <c r="A18" s="83" t="s">
        <v>59</v>
      </c>
      <c r="B18" s="83" t="s">
        <v>60</v>
      </c>
      <c r="C18" s="84" t="s">
        <v>79</v>
      </c>
      <c r="D18" s="87" t="s">
        <v>80</v>
      </c>
      <c r="E18" s="16">
        <v>41795</v>
      </c>
      <c r="F18" s="16">
        <v>41807</v>
      </c>
      <c r="G18" s="16">
        <v>41802</v>
      </c>
      <c r="H18" s="16"/>
      <c r="I18" s="15"/>
      <c r="J18" s="87" t="s">
        <v>94</v>
      </c>
      <c r="K18" s="86">
        <v>42306</v>
      </c>
    </row>
    <row r="19" spans="1:11">
      <c r="A19" s="83" t="s">
        <v>59</v>
      </c>
      <c r="B19" s="83" t="s">
        <v>60</v>
      </c>
      <c r="C19" s="84" t="s">
        <v>71</v>
      </c>
      <c r="D19" s="87" t="s">
        <v>72</v>
      </c>
      <c r="E19" s="16">
        <v>41695</v>
      </c>
      <c r="F19" s="16">
        <v>41754</v>
      </c>
      <c r="G19" s="16">
        <v>41752</v>
      </c>
      <c r="H19" s="16"/>
      <c r="I19" s="15">
        <v>6</v>
      </c>
      <c r="J19" s="87" t="s">
        <v>102</v>
      </c>
      <c r="K19" s="86">
        <v>42306</v>
      </c>
    </row>
    <row r="20" spans="1:11">
      <c r="A20" s="28"/>
      <c r="B20" s="28"/>
      <c r="C20" s="27" t="s">
        <v>15</v>
      </c>
      <c r="D20" s="33">
        <f>SUBTOTAL(3,D8:D19)</f>
        <v>12</v>
      </c>
      <c r="E20" s="33">
        <f>SUBTOTAL(3,[Date de réception convention financière])</f>
        <v>12</v>
      </c>
      <c r="F20" s="33">
        <f>SUBTOTAL(3,[Date de réception AR kit])</f>
        <v>12</v>
      </c>
      <c r="G20" s="33">
        <f>SUBTOTAL(3,[Date de MEP])</f>
        <v>12</v>
      </c>
      <c r="H20" s="88">
        <f>SUBTOTAL(3,[Desistement])</f>
        <v>0</v>
      </c>
      <c r="I20" s="27">
        <f>SUBTOTAL(109,I8:I19)</f>
        <v>48</v>
      </c>
      <c r="J20" s="31"/>
      <c r="K20" s="32"/>
    </row>
    <row r="21" spans="1:11">
      <c r="D21" s="10"/>
      <c r="J21" s="10"/>
    </row>
    <row r="22" spans="1:11">
      <c r="C22" s="26" t="s">
        <v>14</v>
      </c>
    </row>
  </sheetData>
  <mergeCells count="1">
    <mergeCell ref="G2:I2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Feuil12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0" t="s">
        <v>16</v>
      </c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2"/>
      <c r="M3" s="112"/>
      <c r="N3" s="112"/>
      <c r="O3" s="9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3" t="s">
        <v>58</v>
      </c>
      <c r="E4" s="113"/>
      <c r="F4" s="53">
        <f>$U$12</f>
        <v>42306</v>
      </c>
      <c r="G4" s="50"/>
      <c r="H4" s="50"/>
      <c r="I4" s="34"/>
      <c r="J4" s="50"/>
      <c r="K4" s="50"/>
      <c r="L4" s="95" t="s">
        <v>17</v>
      </c>
      <c r="M4" s="63">
        <f>$B$12</f>
        <v>421</v>
      </c>
      <c r="N4" s="114" t="str">
        <f>$C$12</f>
        <v>ACHER Aurélie</v>
      </c>
      <c r="O4" s="114"/>
      <c r="P4" s="114"/>
      <c r="Q4" s="114"/>
      <c r="R4" s="11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5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7" t="s">
        <v>32</v>
      </c>
      <c r="M8" s="97" t="s">
        <v>31</v>
      </c>
      <c r="N8" s="96" t="s">
        <v>33</v>
      </c>
      <c r="O8" s="96" t="s">
        <v>34</v>
      </c>
      <c r="P8" s="9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421</v>
      </c>
      <c r="C10" s="42" t="s">
        <v>96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95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98">
        <v>421</v>
      </c>
      <c r="C11" s="99" t="s">
        <v>96</v>
      </c>
      <c r="D11" s="19">
        <v>2</v>
      </c>
      <c r="I11" s="44" t="s">
        <v>57</v>
      </c>
      <c r="T11" s="99" t="s">
        <v>95</v>
      </c>
      <c r="U11" s="12">
        <v>42306</v>
      </c>
    </row>
    <row r="12" spans="2:48" ht="25.5">
      <c r="B12" s="98">
        <v>421</v>
      </c>
      <c r="C12" s="99" t="s">
        <v>96</v>
      </c>
      <c r="D12" s="19">
        <v>3</v>
      </c>
      <c r="I12" s="44" t="s">
        <v>57</v>
      </c>
      <c r="T12" s="99" t="s">
        <v>95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Feuil2"/>
  <dimension ref="B1:AV19"/>
  <sheetViews>
    <sheetView workbookViewId="0">
      <selection activeCell="G17" sqref="G17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0" t="s">
        <v>16</v>
      </c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2"/>
      <c r="M3" s="112"/>
      <c r="N3" s="112"/>
      <c r="O3" s="56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3" t="s">
        <v>58</v>
      </c>
      <c r="E4" s="113"/>
      <c r="F4" s="53">
        <f>$U$19</f>
        <v>42306</v>
      </c>
      <c r="G4" s="50"/>
      <c r="H4" s="50"/>
      <c r="I4" s="34"/>
      <c r="J4" s="50"/>
      <c r="K4" s="50"/>
      <c r="L4" s="57" t="s">
        <v>17</v>
      </c>
      <c r="M4" s="63">
        <f>$B$19</f>
        <v>61</v>
      </c>
      <c r="N4" s="114" t="str">
        <f>$C$19</f>
        <v>DECHAUFOUR Florence</v>
      </c>
      <c r="O4" s="114"/>
      <c r="P4" s="114"/>
      <c r="Q4" s="114"/>
      <c r="R4" s="11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5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0" t="s">
        <v>32</v>
      </c>
      <c r="M8" s="60" t="s">
        <v>31</v>
      </c>
      <c r="N8" s="61" t="s">
        <v>33</v>
      </c>
      <c r="O8" s="61" t="s">
        <v>34</v>
      </c>
      <c r="P8" s="6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61</v>
      </c>
      <c r="C10" s="42" t="s">
        <v>62</v>
      </c>
      <c r="D10" s="19">
        <v>1</v>
      </c>
      <c r="E10" s="25">
        <v>41775</v>
      </c>
      <c r="F10" s="25">
        <v>41779</v>
      </c>
      <c r="G10" s="25"/>
      <c r="H10" s="25"/>
      <c r="I10" s="44" t="s">
        <v>57</v>
      </c>
      <c r="J10" s="25">
        <v>41787</v>
      </c>
      <c r="K10" s="25"/>
      <c r="L10" s="25">
        <v>41846</v>
      </c>
      <c r="M10" s="25"/>
      <c r="N10" s="25">
        <v>41895</v>
      </c>
      <c r="O10" s="25">
        <v>41827</v>
      </c>
      <c r="P10" s="25">
        <v>41828</v>
      </c>
      <c r="Q10" s="25">
        <v>42140</v>
      </c>
      <c r="R10" s="25"/>
      <c r="S10" s="25"/>
      <c r="T10" s="42" t="s">
        <v>61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7">
        <v>61</v>
      </c>
      <c r="C11" s="78" t="s">
        <v>62</v>
      </c>
      <c r="D11" s="19">
        <v>2</v>
      </c>
      <c r="E11" s="25">
        <v>41778</v>
      </c>
      <c r="F11" s="25">
        <v>41781</v>
      </c>
      <c r="G11" s="25">
        <v>41781</v>
      </c>
      <c r="H11" s="25">
        <v>41781</v>
      </c>
      <c r="I11" s="44" t="s">
        <v>82</v>
      </c>
      <c r="J11" s="25">
        <v>41790</v>
      </c>
      <c r="K11" s="25">
        <v>41792</v>
      </c>
      <c r="L11" s="25">
        <v>41849</v>
      </c>
      <c r="N11" s="25">
        <v>41898</v>
      </c>
      <c r="O11" s="25">
        <v>41901</v>
      </c>
      <c r="P11" s="25">
        <v>41905</v>
      </c>
      <c r="Q11" s="25">
        <v>42143</v>
      </c>
      <c r="T11" s="78" t="s">
        <v>61</v>
      </c>
      <c r="U11" s="12">
        <v>42306</v>
      </c>
    </row>
    <row r="12" spans="2:48" ht="25.5">
      <c r="B12" s="77">
        <v>61</v>
      </c>
      <c r="C12" s="78" t="s">
        <v>62</v>
      </c>
      <c r="D12" s="19">
        <v>3</v>
      </c>
      <c r="E12" s="25">
        <v>41779</v>
      </c>
      <c r="F12" s="25">
        <v>41781</v>
      </c>
      <c r="G12" s="25">
        <v>41781</v>
      </c>
      <c r="H12" s="25">
        <v>41781</v>
      </c>
      <c r="I12" s="44" t="s">
        <v>82</v>
      </c>
      <c r="J12" s="25">
        <v>41791</v>
      </c>
      <c r="K12" s="25">
        <v>41787</v>
      </c>
      <c r="L12" s="25">
        <v>41850</v>
      </c>
      <c r="M12" s="25">
        <v>41876</v>
      </c>
      <c r="N12" s="25">
        <v>41899</v>
      </c>
      <c r="Q12" s="25">
        <v>42144</v>
      </c>
      <c r="T12" s="78" t="s">
        <v>61</v>
      </c>
      <c r="U12" s="12">
        <v>42306</v>
      </c>
    </row>
    <row r="13" spans="2:48" ht="25.5">
      <c r="B13" s="92">
        <v>61</v>
      </c>
      <c r="C13" s="93" t="s">
        <v>62</v>
      </c>
      <c r="D13" s="19">
        <v>4</v>
      </c>
      <c r="E13" s="25">
        <v>41907</v>
      </c>
      <c r="F13" s="25">
        <v>41911</v>
      </c>
      <c r="I13" s="44" t="s">
        <v>57</v>
      </c>
      <c r="J13" s="25">
        <v>41919</v>
      </c>
      <c r="L13" s="25">
        <v>41978</v>
      </c>
      <c r="N13" s="25">
        <v>42027</v>
      </c>
      <c r="Q13" s="25">
        <v>42272</v>
      </c>
      <c r="T13" s="93" t="s">
        <v>61</v>
      </c>
      <c r="U13" s="12">
        <v>42306</v>
      </c>
    </row>
    <row r="14" spans="2:48" ht="25.5">
      <c r="B14" s="92">
        <v>61</v>
      </c>
      <c r="C14" s="93" t="s">
        <v>62</v>
      </c>
      <c r="D14" s="19">
        <v>5</v>
      </c>
      <c r="E14" s="25">
        <v>41907</v>
      </c>
      <c r="F14" s="25">
        <v>41911</v>
      </c>
      <c r="G14" s="25">
        <v>41974</v>
      </c>
      <c r="H14" s="25">
        <v>41913</v>
      </c>
      <c r="I14" s="44" t="s">
        <v>87</v>
      </c>
      <c r="J14" s="25">
        <v>41919</v>
      </c>
      <c r="K14" s="25">
        <v>41922</v>
      </c>
      <c r="L14" s="25">
        <v>41978</v>
      </c>
      <c r="M14" s="25">
        <v>41974</v>
      </c>
      <c r="N14" s="25">
        <v>42027</v>
      </c>
      <c r="O14" s="25">
        <v>41969</v>
      </c>
      <c r="P14" s="25">
        <v>41974</v>
      </c>
      <c r="Q14" s="25">
        <v>42272</v>
      </c>
      <c r="T14" s="93" t="s">
        <v>61</v>
      </c>
      <c r="U14" s="12">
        <v>42306</v>
      </c>
    </row>
    <row r="15" spans="2:48" ht="25.5">
      <c r="B15" s="98">
        <v>61</v>
      </c>
      <c r="C15" s="99" t="s">
        <v>62</v>
      </c>
      <c r="D15" s="19">
        <v>6</v>
      </c>
      <c r="E15" s="25">
        <v>41957</v>
      </c>
      <c r="F15" s="25">
        <v>41962</v>
      </c>
      <c r="H15" s="25">
        <v>41962</v>
      </c>
      <c r="I15" s="44" t="s">
        <v>82</v>
      </c>
      <c r="J15" s="25">
        <v>41969</v>
      </c>
      <c r="L15" s="25">
        <v>42028</v>
      </c>
      <c r="N15" s="25">
        <v>42077</v>
      </c>
      <c r="O15" s="25">
        <v>42024</v>
      </c>
      <c r="P15" s="25">
        <v>42027</v>
      </c>
      <c r="Q15" s="25">
        <v>42322</v>
      </c>
      <c r="T15" s="99" t="s">
        <v>61</v>
      </c>
      <c r="U15" s="12">
        <v>42306</v>
      </c>
    </row>
    <row r="16" spans="2:48" ht="25.5">
      <c r="B16" s="98">
        <v>61</v>
      </c>
      <c r="C16" s="99" t="s">
        <v>62</v>
      </c>
      <c r="D16" s="19">
        <v>7</v>
      </c>
      <c r="E16" s="25">
        <v>41961</v>
      </c>
      <c r="F16" s="25">
        <v>41963</v>
      </c>
      <c r="G16" s="25">
        <v>41963</v>
      </c>
      <c r="I16" s="44" t="s">
        <v>57</v>
      </c>
      <c r="J16" s="25">
        <v>41973</v>
      </c>
      <c r="K16" s="25">
        <v>41989</v>
      </c>
      <c r="L16" s="25">
        <v>42032</v>
      </c>
      <c r="N16" s="25">
        <v>42081</v>
      </c>
      <c r="Q16" s="25">
        <v>42326</v>
      </c>
      <c r="T16" s="99" t="s">
        <v>61</v>
      </c>
      <c r="U16" s="12">
        <v>42306</v>
      </c>
    </row>
    <row r="17" spans="2:21" ht="25.5">
      <c r="B17" s="98">
        <v>61</v>
      </c>
      <c r="C17" s="99" t="s">
        <v>62</v>
      </c>
      <c r="D17" s="19">
        <v>8</v>
      </c>
      <c r="E17" s="25">
        <v>41955</v>
      </c>
      <c r="F17" s="25">
        <v>41963</v>
      </c>
      <c r="G17" s="25">
        <v>41963</v>
      </c>
      <c r="H17" s="25">
        <v>41963</v>
      </c>
      <c r="I17" s="44" t="s">
        <v>82</v>
      </c>
      <c r="J17" s="25">
        <v>41967</v>
      </c>
      <c r="K17" s="25">
        <v>41970</v>
      </c>
      <c r="L17" s="25">
        <v>42026</v>
      </c>
      <c r="M17" s="25">
        <v>42037</v>
      </c>
      <c r="N17" s="25">
        <v>42075</v>
      </c>
      <c r="O17" s="25">
        <v>42030</v>
      </c>
      <c r="P17" s="25">
        <v>42037</v>
      </c>
      <c r="Q17" s="25">
        <v>42320</v>
      </c>
      <c r="T17" s="99" t="s">
        <v>61</v>
      </c>
      <c r="U17" s="12">
        <v>42306</v>
      </c>
    </row>
    <row r="18" spans="2:21" ht="25.5">
      <c r="B18" s="98">
        <v>61</v>
      </c>
      <c r="C18" s="99" t="s">
        <v>62</v>
      </c>
      <c r="D18" s="19">
        <v>9</v>
      </c>
      <c r="E18" s="25">
        <v>41964</v>
      </c>
      <c r="F18" s="25">
        <v>41968</v>
      </c>
      <c r="G18" s="25">
        <v>42048</v>
      </c>
      <c r="H18" s="25">
        <v>41968</v>
      </c>
      <c r="I18" s="44" t="s">
        <v>82</v>
      </c>
      <c r="J18" s="25">
        <v>41976</v>
      </c>
      <c r="K18" s="25">
        <v>42048</v>
      </c>
      <c r="L18" s="25">
        <v>42035</v>
      </c>
      <c r="M18" s="25">
        <v>42048</v>
      </c>
      <c r="N18" s="25">
        <v>42084</v>
      </c>
      <c r="O18" s="25">
        <v>42045</v>
      </c>
      <c r="P18" s="25">
        <v>42048</v>
      </c>
      <c r="Q18" s="25">
        <v>42329</v>
      </c>
      <c r="T18" s="99" t="s">
        <v>61</v>
      </c>
      <c r="U18" s="12">
        <v>42306</v>
      </c>
    </row>
    <row r="19" spans="2:21" ht="25.5">
      <c r="B19" s="98">
        <v>61</v>
      </c>
      <c r="C19" s="99" t="s">
        <v>62</v>
      </c>
      <c r="D19" s="19">
        <v>10</v>
      </c>
      <c r="E19" s="25">
        <v>41976</v>
      </c>
      <c r="F19" s="25">
        <v>41981</v>
      </c>
      <c r="H19" s="25">
        <v>41984</v>
      </c>
      <c r="I19" s="44" t="s">
        <v>82</v>
      </c>
      <c r="J19" s="25">
        <v>41988</v>
      </c>
      <c r="K19" s="25">
        <v>41984</v>
      </c>
      <c r="L19" s="25">
        <v>42047</v>
      </c>
      <c r="M19" s="25">
        <v>42044</v>
      </c>
      <c r="N19" s="25">
        <v>42096</v>
      </c>
      <c r="O19" s="25">
        <v>42040</v>
      </c>
      <c r="P19" s="25">
        <v>42044</v>
      </c>
      <c r="Q19" s="25">
        <v>42341</v>
      </c>
      <c r="T19" s="99" t="s">
        <v>61</v>
      </c>
      <c r="U19" s="12">
        <v>42306</v>
      </c>
    </row>
  </sheetData>
  <mergeCells count="10">
    <mergeCell ref="G2:S2"/>
    <mergeCell ref="L3:N3"/>
    <mergeCell ref="N4:R4"/>
    <mergeCell ref="D6:S6"/>
    <mergeCell ref="E7:I7"/>
    <mergeCell ref="J7:K7"/>
    <mergeCell ref="L7:M7"/>
    <mergeCell ref="N7:P7"/>
    <mergeCell ref="Q7:S7"/>
    <mergeCell ref="D4:E4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Feuil3"/>
  <dimension ref="B1:AV16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0" t="s">
        <v>16</v>
      </c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2"/>
      <c r="M3" s="112"/>
      <c r="N3" s="112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3" t="s">
        <v>58</v>
      </c>
      <c r="E4" s="113"/>
      <c r="F4" s="53">
        <f>$U$16</f>
        <v>42306</v>
      </c>
      <c r="G4" s="50"/>
      <c r="H4" s="50"/>
      <c r="I4" s="34"/>
      <c r="J4" s="50"/>
      <c r="K4" s="50"/>
      <c r="L4" s="65" t="s">
        <v>17</v>
      </c>
      <c r="M4" s="63">
        <f>$B$16</f>
        <v>62</v>
      </c>
      <c r="N4" s="114" t="str">
        <f>$C$16</f>
        <v>DUBEGNY Marc</v>
      </c>
      <c r="O4" s="114"/>
      <c r="P4" s="114"/>
      <c r="Q4" s="114"/>
      <c r="R4" s="11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5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62</v>
      </c>
      <c r="C10" s="42" t="s">
        <v>64</v>
      </c>
      <c r="D10" s="19">
        <v>1</v>
      </c>
      <c r="E10" s="25">
        <v>41772</v>
      </c>
      <c r="F10" s="25">
        <v>41774</v>
      </c>
      <c r="G10" s="25">
        <v>41774</v>
      </c>
      <c r="H10" s="25">
        <v>41779</v>
      </c>
      <c r="I10" s="44" t="s">
        <v>83</v>
      </c>
      <c r="J10" s="25">
        <v>41784</v>
      </c>
      <c r="K10" s="25">
        <v>41870</v>
      </c>
      <c r="L10" s="25">
        <v>41843</v>
      </c>
      <c r="M10" s="25">
        <v>41870</v>
      </c>
      <c r="N10" s="25">
        <v>41892</v>
      </c>
      <c r="O10" s="25">
        <v>41837</v>
      </c>
      <c r="P10" s="25">
        <v>41838</v>
      </c>
      <c r="Q10" s="25">
        <v>42137</v>
      </c>
      <c r="R10" s="25">
        <v>41988</v>
      </c>
      <c r="S10" s="25">
        <v>41989</v>
      </c>
      <c r="T10" s="42" t="s">
        <v>63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25.5">
      <c r="B11" s="77">
        <v>62</v>
      </c>
      <c r="C11" s="78" t="s">
        <v>64</v>
      </c>
      <c r="D11" s="19">
        <v>2</v>
      </c>
      <c r="E11" s="25">
        <v>41775</v>
      </c>
      <c r="F11" s="25">
        <v>41779</v>
      </c>
      <c r="G11" s="25">
        <v>41779</v>
      </c>
      <c r="I11" s="44" t="s">
        <v>57</v>
      </c>
      <c r="J11" s="25">
        <v>41787</v>
      </c>
      <c r="L11" s="25">
        <v>41846</v>
      </c>
      <c r="N11" s="25">
        <v>41895</v>
      </c>
      <c r="Q11" s="25">
        <v>42140</v>
      </c>
      <c r="T11" s="78" t="s">
        <v>63</v>
      </c>
      <c r="U11" s="12">
        <v>42306</v>
      </c>
    </row>
    <row r="12" spans="2:48" ht="25.5">
      <c r="B12" s="77">
        <v>62</v>
      </c>
      <c r="C12" s="78" t="s">
        <v>64</v>
      </c>
      <c r="D12" s="19">
        <v>3</v>
      </c>
      <c r="E12" s="25">
        <v>41778</v>
      </c>
      <c r="F12" s="25">
        <v>41779</v>
      </c>
      <c r="G12" s="25">
        <v>41779</v>
      </c>
      <c r="I12" s="44" t="s">
        <v>57</v>
      </c>
      <c r="J12" s="25">
        <v>41790</v>
      </c>
      <c r="L12" s="25">
        <v>41849</v>
      </c>
      <c r="N12" s="25">
        <v>41898</v>
      </c>
      <c r="O12" s="25">
        <v>41830</v>
      </c>
      <c r="P12" s="25">
        <v>41831</v>
      </c>
      <c r="Q12" s="25">
        <v>42143</v>
      </c>
      <c r="R12" s="25">
        <v>42011</v>
      </c>
      <c r="S12" s="25">
        <v>42012</v>
      </c>
      <c r="T12" s="78" t="s">
        <v>63</v>
      </c>
      <c r="U12" s="12">
        <v>42306</v>
      </c>
    </row>
    <row r="13" spans="2:48" ht="25.5">
      <c r="B13" s="92">
        <v>62</v>
      </c>
      <c r="C13" s="93" t="s">
        <v>64</v>
      </c>
      <c r="D13" s="19">
        <v>4</v>
      </c>
      <c r="E13" s="25">
        <v>41918</v>
      </c>
      <c r="F13" s="25">
        <v>41920</v>
      </c>
      <c r="G13" s="25">
        <v>41936</v>
      </c>
      <c r="H13" s="25">
        <v>41934</v>
      </c>
      <c r="I13" s="44" t="s">
        <v>103</v>
      </c>
      <c r="J13" s="25">
        <v>41930</v>
      </c>
      <c r="K13" s="25">
        <v>41939</v>
      </c>
      <c r="L13" s="25">
        <v>41989</v>
      </c>
      <c r="N13" s="25">
        <v>42038</v>
      </c>
      <c r="O13" s="25">
        <v>41978</v>
      </c>
      <c r="P13" s="25">
        <v>41981</v>
      </c>
      <c r="Q13" s="25">
        <v>42283</v>
      </c>
      <c r="T13" s="93" t="s">
        <v>63</v>
      </c>
      <c r="U13" s="12">
        <v>42306</v>
      </c>
    </row>
    <row r="14" spans="2:48" ht="25.5">
      <c r="B14" s="92">
        <v>62</v>
      </c>
      <c r="C14" s="93" t="s">
        <v>64</v>
      </c>
      <c r="D14" s="19">
        <v>5</v>
      </c>
      <c r="E14" s="25">
        <v>41932</v>
      </c>
      <c r="F14" s="25">
        <v>41933</v>
      </c>
      <c r="G14" s="25">
        <v>41933</v>
      </c>
      <c r="I14" s="44" t="s">
        <v>57</v>
      </c>
      <c r="J14" s="25">
        <v>41944</v>
      </c>
      <c r="K14" s="25">
        <v>42075</v>
      </c>
      <c r="L14" s="25">
        <v>42003</v>
      </c>
      <c r="M14" s="25">
        <v>42075</v>
      </c>
      <c r="N14" s="25">
        <v>42052</v>
      </c>
      <c r="Q14" s="25">
        <v>42297</v>
      </c>
      <c r="R14" s="25">
        <v>42170</v>
      </c>
      <c r="S14" s="25">
        <v>42172</v>
      </c>
      <c r="T14" s="93" t="s">
        <v>63</v>
      </c>
      <c r="U14" s="12">
        <v>42306</v>
      </c>
    </row>
    <row r="15" spans="2:48" ht="25.5">
      <c r="B15" s="98">
        <v>62</v>
      </c>
      <c r="C15" s="99" t="s">
        <v>64</v>
      </c>
      <c r="D15" s="19">
        <v>6</v>
      </c>
      <c r="E15" s="25">
        <v>41957</v>
      </c>
      <c r="F15" s="25">
        <v>41960</v>
      </c>
      <c r="G15" s="25">
        <v>41960</v>
      </c>
      <c r="I15" s="44" t="s">
        <v>57</v>
      </c>
      <c r="J15" s="25">
        <v>41969</v>
      </c>
      <c r="K15" s="25">
        <v>41971</v>
      </c>
      <c r="L15" s="25">
        <v>42028</v>
      </c>
      <c r="M15" s="25">
        <v>42040</v>
      </c>
      <c r="N15" s="25">
        <v>42077</v>
      </c>
      <c r="Q15" s="25">
        <v>42322</v>
      </c>
      <c r="T15" s="99" t="s">
        <v>63</v>
      </c>
      <c r="U15" s="12">
        <v>42306</v>
      </c>
    </row>
    <row r="16" spans="2:48" ht="25.5">
      <c r="B16" s="98">
        <v>62</v>
      </c>
      <c r="C16" s="99" t="s">
        <v>64</v>
      </c>
      <c r="D16" s="19">
        <v>7</v>
      </c>
      <c r="E16" s="25">
        <v>41960</v>
      </c>
      <c r="F16" s="25">
        <v>41962</v>
      </c>
      <c r="G16" s="25">
        <v>41962</v>
      </c>
      <c r="H16" s="25">
        <v>41962</v>
      </c>
      <c r="I16" s="44" t="s">
        <v>105</v>
      </c>
      <c r="J16" s="25">
        <v>41972</v>
      </c>
      <c r="K16" s="25">
        <v>41977</v>
      </c>
      <c r="L16" s="25">
        <v>42031</v>
      </c>
      <c r="N16" s="25">
        <v>42080</v>
      </c>
      <c r="Q16" s="25">
        <v>42325</v>
      </c>
      <c r="T16" s="99" t="s">
        <v>63</v>
      </c>
      <c r="U16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Feuil4"/>
  <dimension ref="B1:AV12"/>
  <sheetViews>
    <sheetView workbookViewId="0">
      <selection activeCell="I22" sqref="I2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0" t="s">
        <v>16</v>
      </c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2"/>
      <c r="M3" s="112"/>
      <c r="N3" s="112"/>
      <c r="O3" s="73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3" t="s">
        <v>58</v>
      </c>
      <c r="E4" s="113"/>
      <c r="F4" s="53">
        <f>$U$12</f>
        <v>42306</v>
      </c>
      <c r="G4" s="50"/>
      <c r="H4" s="50"/>
      <c r="I4" s="34"/>
      <c r="J4" s="50"/>
      <c r="K4" s="50"/>
      <c r="L4" s="74" t="s">
        <v>17</v>
      </c>
      <c r="M4" s="63">
        <f>$B$12</f>
        <v>273</v>
      </c>
      <c r="N4" s="114" t="str">
        <f>$C$12</f>
        <v>FILIP Ana-Maria</v>
      </c>
      <c r="O4" s="114"/>
      <c r="P4" s="114"/>
      <c r="Q4" s="114"/>
      <c r="R4" s="11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5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6" t="s">
        <v>32</v>
      </c>
      <c r="M8" s="76" t="s">
        <v>31</v>
      </c>
      <c r="N8" s="75" t="s">
        <v>33</v>
      </c>
      <c r="O8" s="75" t="s">
        <v>34</v>
      </c>
      <c r="P8" s="75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273</v>
      </c>
      <c r="C10" s="42" t="s">
        <v>78</v>
      </c>
      <c r="D10" s="19">
        <v>1</v>
      </c>
      <c r="E10" s="25">
        <v>41759</v>
      </c>
      <c r="F10" s="25">
        <v>41823</v>
      </c>
      <c r="G10" s="25"/>
      <c r="H10" s="25">
        <v>41823</v>
      </c>
      <c r="I10" s="44" t="s">
        <v>82</v>
      </c>
      <c r="J10" s="25">
        <v>41771</v>
      </c>
      <c r="K10" s="25">
        <v>41830</v>
      </c>
      <c r="L10" s="25">
        <v>41830</v>
      </c>
      <c r="M10" s="25">
        <v>41830</v>
      </c>
      <c r="N10" s="25">
        <v>41879</v>
      </c>
      <c r="O10" s="25">
        <v>41820</v>
      </c>
      <c r="P10" s="25">
        <v>41823</v>
      </c>
      <c r="Q10" s="25">
        <v>42124</v>
      </c>
      <c r="R10" s="25">
        <v>41897</v>
      </c>
      <c r="S10" s="25">
        <v>41899</v>
      </c>
      <c r="T10" s="42" t="s">
        <v>77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5.75" customHeight="1">
      <c r="B11" s="77">
        <v>273</v>
      </c>
      <c r="C11" s="78" t="s">
        <v>78</v>
      </c>
      <c r="D11" s="19">
        <v>2</v>
      </c>
      <c r="E11" s="25">
        <v>41872</v>
      </c>
      <c r="F11" s="25">
        <v>41876</v>
      </c>
      <c r="I11" s="44" t="s">
        <v>57</v>
      </c>
      <c r="J11" s="25">
        <v>41884</v>
      </c>
      <c r="L11" s="25">
        <v>41943</v>
      </c>
      <c r="N11" s="25">
        <v>41992</v>
      </c>
      <c r="Q11" s="25">
        <v>42237</v>
      </c>
      <c r="T11" s="78" t="s">
        <v>77</v>
      </c>
      <c r="U11" s="12">
        <v>42306</v>
      </c>
    </row>
    <row r="12" spans="2:48" ht="14.25" customHeight="1">
      <c r="B12" s="77">
        <v>273</v>
      </c>
      <c r="C12" s="78" t="s">
        <v>78</v>
      </c>
      <c r="D12" s="19">
        <v>3</v>
      </c>
      <c r="E12" s="25">
        <v>41927</v>
      </c>
      <c r="F12" s="25">
        <v>41934</v>
      </c>
      <c r="I12" s="44" t="s">
        <v>57</v>
      </c>
      <c r="J12" s="25">
        <v>41939</v>
      </c>
      <c r="L12" s="25">
        <v>41998</v>
      </c>
      <c r="N12" s="25">
        <v>42047</v>
      </c>
      <c r="Q12" s="25">
        <v>42292</v>
      </c>
      <c r="T12" s="78" t="s">
        <v>77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Feuil5"/>
  <dimension ref="B1:AV12"/>
  <sheetViews>
    <sheetView workbookViewId="0">
      <selection activeCell="I24" sqref="I24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0" t="s">
        <v>16</v>
      </c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2"/>
      <c r="M3" s="112"/>
      <c r="N3" s="112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3" t="s">
        <v>58</v>
      </c>
      <c r="E4" s="113"/>
      <c r="F4" s="53">
        <f>$U$12</f>
        <v>42306</v>
      </c>
      <c r="G4" s="50"/>
      <c r="H4" s="50"/>
      <c r="I4" s="34"/>
      <c r="J4" s="50"/>
      <c r="K4" s="50"/>
      <c r="L4" s="69" t="s">
        <v>17</v>
      </c>
      <c r="M4" s="63">
        <f>$B$12</f>
        <v>283</v>
      </c>
      <c r="N4" s="114" t="str">
        <f>$C$12</f>
        <v>GAUTHIER Vincent</v>
      </c>
      <c r="O4" s="114"/>
      <c r="P4" s="114"/>
      <c r="Q4" s="114"/>
      <c r="R4" s="11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5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283</v>
      </c>
      <c r="C10" s="42" t="s">
        <v>74</v>
      </c>
      <c r="D10" s="19">
        <v>1</v>
      </c>
      <c r="E10" s="25">
        <v>41890</v>
      </c>
      <c r="F10" s="25">
        <v>41893</v>
      </c>
      <c r="G10" s="25">
        <v>41893</v>
      </c>
      <c r="H10" s="25">
        <v>41893</v>
      </c>
      <c r="I10" s="44" t="s">
        <v>100</v>
      </c>
      <c r="J10" s="25">
        <v>41902</v>
      </c>
      <c r="K10" s="25">
        <v>41921</v>
      </c>
      <c r="L10" s="25">
        <v>41961</v>
      </c>
      <c r="M10" s="25">
        <v>41970</v>
      </c>
      <c r="N10" s="25">
        <v>42010</v>
      </c>
      <c r="O10" s="25"/>
      <c r="P10" s="25"/>
      <c r="Q10" s="25">
        <v>42255</v>
      </c>
      <c r="R10" s="25"/>
      <c r="S10" s="25"/>
      <c r="T10" s="42" t="s">
        <v>73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5.75" customHeight="1">
      <c r="B11" s="77">
        <v>283</v>
      </c>
      <c r="C11" s="78" t="s">
        <v>74</v>
      </c>
      <c r="D11" s="19">
        <v>2</v>
      </c>
      <c r="I11" s="44" t="s">
        <v>57</v>
      </c>
      <c r="T11" s="78" t="s">
        <v>73</v>
      </c>
      <c r="U11" s="12">
        <v>42306</v>
      </c>
    </row>
    <row r="12" spans="2:48" ht="14.25" customHeight="1">
      <c r="B12" s="77">
        <v>283</v>
      </c>
      <c r="C12" s="78" t="s">
        <v>74</v>
      </c>
      <c r="D12" s="19">
        <v>3</v>
      </c>
      <c r="I12" s="44" t="s">
        <v>57</v>
      </c>
      <c r="T12" s="78" t="s">
        <v>73</v>
      </c>
      <c r="U12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Feuil6"/>
  <dimension ref="B1:AV14"/>
  <sheetViews>
    <sheetView workbookViewId="0">
      <selection activeCell="J22" sqref="J2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0" t="s">
        <v>16</v>
      </c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2"/>
      <c r="M3" s="112"/>
      <c r="N3" s="112"/>
      <c r="O3" s="68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3" t="s">
        <v>58</v>
      </c>
      <c r="E4" s="113"/>
      <c r="F4" s="53">
        <f>$U$14</f>
        <v>42306</v>
      </c>
      <c r="G4" s="50"/>
      <c r="H4" s="50"/>
      <c r="I4" s="34"/>
      <c r="J4" s="50"/>
      <c r="K4" s="50"/>
      <c r="L4" s="69" t="s">
        <v>17</v>
      </c>
      <c r="M4" s="63">
        <f>$B$14</f>
        <v>274</v>
      </c>
      <c r="N4" s="114" t="str">
        <f>$C$14</f>
        <v>LIVORY Marianne</v>
      </c>
      <c r="O4" s="114"/>
      <c r="P4" s="114"/>
      <c r="Q4" s="114"/>
      <c r="R4" s="11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5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71" t="s">
        <v>32</v>
      </c>
      <c r="M8" s="71" t="s">
        <v>31</v>
      </c>
      <c r="N8" s="70" t="s">
        <v>33</v>
      </c>
      <c r="O8" s="70" t="s">
        <v>34</v>
      </c>
      <c r="P8" s="70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274</v>
      </c>
      <c r="C10" s="42" t="s">
        <v>76</v>
      </c>
      <c r="D10" s="19">
        <v>1</v>
      </c>
      <c r="E10" s="25">
        <v>41792</v>
      </c>
      <c r="F10" s="25">
        <v>41794</v>
      </c>
      <c r="G10" s="25">
        <v>41794</v>
      </c>
      <c r="H10" s="25">
        <v>41794</v>
      </c>
      <c r="I10" s="44" t="s">
        <v>84</v>
      </c>
      <c r="J10" s="25">
        <v>41804</v>
      </c>
      <c r="K10" s="25">
        <v>41817</v>
      </c>
      <c r="L10" s="25">
        <v>41863</v>
      </c>
      <c r="M10" s="25">
        <v>41871</v>
      </c>
      <c r="N10" s="25">
        <v>41912</v>
      </c>
      <c r="O10" s="25">
        <v>41890</v>
      </c>
      <c r="P10" s="25">
        <v>41892</v>
      </c>
      <c r="Q10" s="25">
        <v>42157</v>
      </c>
      <c r="R10" s="25"/>
      <c r="S10" s="25"/>
      <c r="T10" s="42" t="s">
        <v>75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5.75" customHeight="1">
      <c r="B11" s="77">
        <v>274</v>
      </c>
      <c r="C11" s="78" t="s">
        <v>76</v>
      </c>
      <c r="D11" s="19">
        <v>2</v>
      </c>
      <c r="E11" s="25">
        <v>41796</v>
      </c>
      <c r="F11" s="25">
        <v>41801</v>
      </c>
      <c r="G11" s="25">
        <v>41801</v>
      </c>
      <c r="H11" s="25">
        <v>41801</v>
      </c>
      <c r="I11" s="44" t="s">
        <v>85</v>
      </c>
      <c r="J11" s="25">
        <v>41808</v>
      </c>
      <c r="K11" s="25">
        <v>41821</v>
      </c>
      <c r="L11" s="25">
        <v>41867</v>
      </c>
      <c r="M11" s="25">
        <v>41880</v>
      </c>
      <c r="N11" s="25">
        <v>41916</v>
      </c>
      <c r="Q11" s="25">
        <v>42161</v>
      </c>
      <c r="T11" s="78" t="s">
        <v>75</v>
      </c>
      <c r="U11" s="12">
        <v>42306</v>
      </c>
    </row>
    <row r="12" spans="2:48" ht="14.25" customHeight="1">
      <c r="B12" s="77">
        <v>274</v>
      </c>
      <c r="C12" s="78" t="s">
        <v>76</v>
      </c>
      <c r="D12" s="19">
        <v>3</v>
      </c>
      <c r="E12" s="25">
        <v>41810</v>
      </c>
      <c r="F12" s="25">
        <v>41831</v>
      </c>
      <c r="H12" s="25">
        <v>41831</v>
      </c>
      <c r="I12" s="44" t="s">
        <v>89</v>
      </c>
      <c r="J12" s="25">
        <v>41822</v>
      </c>
      <c r="K12" s="25">
        <v>41820</v>
      </c>
      <c r="L12" s="25">
        <v>41881</v>
      </c>
      <c r="M12" s="25">
        <v>41877</v>
      </c>
      <c r="N12" s="25">
        <v>41930</v>
      </c>
      <c r="Q12" s="25">
        <v>42175</v>
      </c>
      <c r="T12" s="78" t="s">
        <v>75</v>
      </c>
      <c r="U12" s="12">
        <v>42306</v>
      </c>
    </row>
    <row r="13" spans="2:48" ht="25.5">
      <c r="B13" s="43">
        <v>274</v>
      </c>
      <c r="C13" s="72" t="s">
        <v>76</v>
      </c>
      <c r="D13" s="19">
        <v>4</v>
      </c>
      <c r="E13" s="25">
        <v>41829</v>
      </c>
      <c r="F13" s="25">
        <v>41831</v>
      </c>
      <c r="G13" s="25">
        <v>41831</v>
      </c>
      <c r="H13" s="25">
        <v>41835</v>
      </c>
      <c r="I13" s="44" t="s">
        <v>85</v>
      </c>
      <c r="J13" s="25">
        <v>41841</v>
      </c>
      <c r="K13" s="25">
        <v>41864</v>
      </c>
      <c r="L13" s="25">
        <v>41900</v>
      </c>
      <c r="M13" s="25">
        <v>41897</v>
      </c>
      <c r="N13" s="25">
        <v>41949</v>
      </c>
      <c r="Q13" s="25">
        <v>42194</v>
      </c>
      <c r="R13" s="25">
        <v>42205</v>
      </c>
      <c r="S13" s="25">
        <v>42212</v>
      </c>
      <c r="T13" s="72" t="s">
        <v>75</v>
      </c>
      <c r="U13" s="12">
        <v>42306</v>
      </c>
    </row>
    <row r="14" spans="2:48" ht="25.5">
      <c r="B14" s="43">
        <v>274</v>
      </c>
      <c r="C14" s="72" t="s">
        <v>76</v>
      </c>
      <c r="D14" s="19">
        <v>5</v>
      </c>
      <c r="E14" s="25">
        <v>41850</v>
      </c>
      <c r="F14" s="25">
        <v>41862</v>
      </c>
      <c r="G14" s="25">
        <v>41862</v>
      </c>
      <c r="H14" s="25">
        <v>41862</v>
      </c>
      <c r="I14" s="44" t="s">
        <v>100</v>
      </c>
      <c r="J14" s="25">
        <v>41862</v>
      </c>
      <c r="K14" s="25">
        <v>41899</v>
      </c>
      <c r="L14" s="25">
        <v>41921</v>
      </c>
      <c r="M14" s="25">
        <v>41962</v>
      </c>
      <c r="N14" s="25">
        <v>41970</v>
      </c>
      <c r="O14" s="25">
        <v>41974</v>
      </c>
      <c r="P14" s="25">
        <v>41981</v>
      </c>
      <c r="Q14" s="25">
        <v>42215</v>
      </c>
      <c r="T14" s="72" t="s">
        <v>75</v>
      </c>
      <c r="U14" s="12">
        <v>42306</v>
      </c>
    </row>
  </sheetData>
  <mergeCells count="10">
    <mergeCell ref="E7:I7"/>
    <mergeCell ref="J7:K7"/>
    <mergeCell ref="L7:M7"/>
    <mergeCell ref="N7:P7"/>
    <mergeCell ref="Q7:S7"/>
    <mergeCell ref="G2:S2"/>
    <mergeCell ref="L3:N3"/>
    <mergeCell ref="D4:E4"/>
    <mergeCell ref="N4:R4"/>
    <mergeCell ref="D6:S6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Feuil7"/>
  <dimension ref="B1:AV12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0" t="s">
        <v>16</v>
      </c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2"/>
      <c r="M3" s="112"/>
      <c r="N3" s="112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3" t="s">
        <v>58</v>
      </c>
      <c r="E4" s="113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59</v>
      </c>
      <c r="N4" s="114" t="str">
        <f>$C$12</f>
        <v>MION-MOUTON Nathalie</v>
      </c>
      <c r="O4" s="114"/>
      <c r="P4" s="114"/>
      <c r="Q4" s="114"/>
      <c r="R4" s="11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5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59</v>
      </c>
      <c r="C10" s="42" t="s">
        <v>66</v>
      </c>
      <c r="D10" s="19">
        <v>1</v>
      </c>
      <c r="E10" s="25">
        <v>41739</v>
      </c>
      <c r="F10" s="25">
        <v>41753</v>
      </c>
      <c r="G10" s="25">
        <v>41753</v>
      </c>
      <c r="H10" s="25">
        <v>41753</v>
      </c>
      <c r="I10" s="44" t="s">
        <v>86</v>
      </c>
      <c r="J10" s="25">
        <v>41751</v>
      </c>
      <c r="K10" s="25">
        <v>41757</v>
      </c>
      <c r="L10" s="25">
        <v>41810</v>
      </c>
      <c r="M10" s="25">
        <v>41801</v>
      </c>
      <c r="N10" s="25">
        <v>41859</v>
      </c>
      <c r="O10" s="25">
        <v>41793</v>
      </c>
      <c r="P10" s="25">
        <v>41795</v>
      </c>
      <c r="Q10" s="25">
        <v>42104</v>
      </c>
      <c r="R10" s="25"/>
      <c r="S10" s="25"/>
      <c r="T10" s="42" t="s">
        <v>65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5.75" customHeight="1">
      <c r="B11" s="43">
        <v>59</v>
      </c>
      <c r="C11" s="72" t="s">
        <v>66</v>
      </c>
      <c r="D11" s="19">
        <v>2</v>
      </c>
      <c r="E11" s="25">
        <v>41743</v>
      </c>
      <c r="F11" s="25">
        <v>41753</v>
      </c>
      <c r="G11" s="25">
        <v>41753</v>
      </c>
      <c r="H11" s="25">
        <v>41746</v>
      </c>
      <c r="I11" s="44" t="s">
        <v>87</v>
      </c>
      <c r="J11" s="25">
        <v>41755</v>
      </c>
      <c r="K11" s="25">
        <v>41758</v>
      </c>
      <c r="L11" s="25">
        <v>41814</v>
      </c>
      <c r="M11" s="25">
        <v>41814</v>
      </c>
      <c r="N11" s="25">
        <v>41863</v>
      </c>
      <c r="O11" s="25">
        <v>41794</v>
      </c>
      <c r="P11" s="25">
        <v>41795</v>
      </c>
      <c r="Q11" s="25">
        <v>42108</v>
      </c>
      <c r="T11" s="72" t="s">
        <v>65</v>
      </c>
      <c r="U11" s="12">
        <v>42306</v>
      </c>
    </row>
    <row r="12" spans="2:48" ht="14.25" customHeight="1">
      <c r="B12" s="43">
        <v>59</v>
      </c>
      <c r="C12" s="72" t="s">
        <v>66</v>
      </c>
      <c r="D12" s="19">
        <v>3</v>
      </c>
      <c r="E12" s="25">
        <v>41764</v>
      </c>
      <c r="F12" s="25">
        <v>41766</v>
      </c>
      <c r="G12" s="25">
        <v>41766</v>
      </c>
      <c r="H12" s="25">
        <v>41766</v>
      </c>
      <c r="I12" s="44" t="s">
        <v>87</v>
      </c>
      <c r="J12" s="25">
        <v>41776</v>
      </c>
      <c r="K12" s="25">
        <v>41773</v>
      </c>
      <c r="L12" s="25">
        <v>41835</v>
      </c>
      <c r="M12" s="25">
        <v>41828</v>
      </c>
      <c r="N12" s="25">
        <v>41884</v>
      </c>
      <c r="O12" s="25">
        <v>41821</v>
      </c>
      <c r="P12" s="25">
        <v>41828</v>
      </c>
      <c r="Q12" s="25">
        <v>42129</v>
      </c>
      <c r="T12" s="72" t="s">
        <v>65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Feuil8"/>
  <dimension ref="B1:AV16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0" t="s">
        <v>16</v>
      </c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2"/>
      <c r="M3" s="112"/>
      <c r="N3" s="112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3" t="s">
        <v>58</v>
      </c>
      <c r="E4" s="113"/>
      <c r="F4" s="53">
        <f>$U$16</f>
        <v>42306</v>
      </c>
      <c r="G4" s="50"/>
      <c r="H4" s="50"/>
      <c r="I4" s="34"/>
      <c r="J4" s="50"/>
      <c r="K4" s="50"/>
      <c r="L4" s="65" t="s">
        <v>17</v>
      </c>
      <c r="M4" s="63">
        <f>$B$16</f>
        <v>60</v>
      </c>
      <c r="N4" s="114" t="str">
        <f>$C$16</f>
        <v>MOUSSAY Jean</v>
      </c>
      <c r="O4" s="114"/>
      <c r="P4" s="114"/>
      <c r="Q4" s="114"/>
      <c r="R4" s="11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5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60</v>
      </c>
      <c r="C10" s="42" t="s">
        <v>68</v>
      </c>
      <c r="D10" s="19">
        <v>1</v>
      </c>
      <c r="E10" s="25">
        <v>41743</v>
      </c>
      <c r="F10" s="25">
        <v>41745</v>
      </c>
      <c r="G10" s="25">
        <v>41745</v>
      </c>
      <c r="H10" s="25">
        <v>41745</v>
      </c>
      <c r="I10" s="44" t="s">
        <v>82</v>
      </c>
      <c r="J10" s="25">
        <v>41755</v>
      </c>
      <c r="K10" s="25">
        <v>41752</v>
      </c>
      <c r="L10" s="25">
        <v>41814</v>
      </c>
      <c r="M10" s="25">
        <v>41865</v>
      </c>
      <c r="N10" s="25">
        <v>41863</v>
      </c>
      <c r="O10" s="25">
        <v>41751</v>
      </c>
      <c r="P10" s="25">
        <v>41753</v>
      </c>
      <c r="Q10" s="25">
        <v>42108</v>
      </c>
      <c r="R10" s="25"/>
      <c r="S10" s="25"/>
      <c r="T10" s="42" t="s">
        <v>67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5.75" customHeight="1">
      <c r="B11" s="43">
        <v>60</v>
      </c>
      <c r="C11" s="72" t="s">
        <v>68</v>
      </c>
      <c r="D11" s="19">
        <v>2</v>
      </c>
      <c r="E11" s="25">
        <v>41816</v>
      </c>
      <c r="F11" s="25">
        <v>41820</v>
      </c>
      <c r="G11" s="25">
        <v>41820</v>
      </c>
      <c r="H11" s="25">
        <v>41820</v>
      </c>
      <c r="I11" s="44" t="s">
        <v>82</v>
      </c>
      <c r="J11" s="25">
        <v>41828</v>
      </c>
      <c r="K11" s="25">
        <v>41880</v>
      </c>
      <c r="L11" s="25">
        <v>41887</v>
      </c>
      <c r="M11" s="25">
        <v>41885</v>
      </c>
      <c r="N11" s="25">
        <v>41936</v>
      </c>
      <c r="O11" s="25">
        <v>41884</v>
      </c>
      <c r="P11" s="25">
        <v>41886</v>
      </c>
      <c r="Q11" s="25">
        <v>42181</v>
      </c>
      <c r="T11" s="72" t="s">
        <v>67</v>
      </c>
      <c r="U11" s="12">
        <v>42306</v>
      </c>
    </row>
    <row r="12" spans="2:48" ht="14.25" customHeight="1">
      <c r="B12" s="43">
        <v>60</v>
      </c>
      <c r="C12" s="72" t="s">
        <v>68</v>
      </c>
      <c r="D12" s="19">
        <v>3</v>
      </c>
      <c r="E12" s="25">
        <v>41863</v>
      </c>
      <c r="F12" s="25">
        <v>41865</v>
      </c>
      <c r="G12" s="25">
        <v>41865</v>
      </c>
      <c r="H12" s="25">
        <v>41865</v>
      </c>
      <c r="I12" s="44" t="s">
        <v>82</v>
      </c>
      <c r="J12" s="25">
        <v>41875</v>
      </c>
      <c r="K12" s="25">
        <v>41872</v>
      </c>
      <c r="L12" s="25">
        <v>41934</v>
      </c>
      <c r="M12" s="25">
        <v>41926</v>
      </c>
      <c r="N12" s="25">
        <v>41983</v>
      </c>
      <c r="O12" s="25">
        <v>41886</v>
      </c>
      <c r="P12" s="25">
        <v>41890</v>
      </c>
      <c r="Q12" s="25">
        <v>42228</v>
      </c>
      <c r="R12" s="25">
        <v>42124</v>
      </c>
      <c r="S12" s="25">
        <v>42130</v>
      </c>
      <c r="T12" s="72" t="s">
        <v>67</v>
      </c>
      <c r="U12" s="12">
        <v>42306</v>
      </c>
    </row>
    <row r="13" spans="2:48" ht="25.5">
      <c r="B13" s="92">
        <v>60</v>
      </c>
      <c r="C13" s="93" t="s">
        <v>68</v>
      </c>
      <c r="D13" s="19">
        <v>4</v>
      </c>
      <c r="E13" s="25">
        <v>41907</v>
      </c>
      <c r="F13" s="25">
        <v>41908</v>
      </c>
      <c r="G13" s="25">
        <v>41908</v>
      </c>
      <c r="H13" s="25">
        <v>41908</v>
      </c>
      <c r="I13" s="44" t="s">
        <v>82</v>
      </c>
      <c r="J13" s="25">
        <v>41919</v>
      </c>
      <c r="K13" s="25">
        <v>41918</v>
      </c>
      <c r="L13" s="25">
        <v>41978</v>
      </c>
      <c r="M13" s="25">
        <v>41967</v>
      </c>
      <c r="N13" s="25">
        <v>42027</v>
      </c>
      <c r="O13" s="25">
        <v>41928</v>
      </c>
      <c r="P13" s="25">
        <v>41932</v>
      </c>
      <c r="Q13" s="25">
        <v>42272</v>
      </c>
      <c r="R13" s="25">
        <v>41990</v>
      </c>
      <c r="S13" s="25">
        <v>41991</v>
      </c>
      <c r="T13" s="93" t="s">
        <v>67</v>
      </c>
      <c r="U13" s="12">
        <v>42306</v>
      </c>
    </row>
    <row r="14" spans="2:48" ht="25.5">
      <c r="B14" s="92">
        <v>60</v>
      </c>
      <c r="C14" s="93" t="s">
        <v>68</v>
      </c>
      <c r="D14" s="19">
        <v>5</v>
      </c>
      <c r="E14" s="25">
        <v>41935</v>
      </c>
      <c r="F14" s="25">
        <v>41939</v>
      </c>
      <c r="G14" s="25">
        <v>41939</v>
      </c>
      <c r="H14" s="25">
        <v>41939</v>
      </c>
      <c r="I14" s="44" t="s">
        <v>82</v>
      </c>
      <c r="J14" s="25">
        <v>41947</v>
      </c>
      <c r="L14" s="25">
        <v>42006</v>
      </c>
      <c r="M14" s="25">
        <v>41995</v>
      </c>
      <c r="N14" s="25">
        <v>42055</v>
      </c>
      <c r="O14" s="25">
        <v>41961</v>
      </c>
      <c r="P14" s="25">
        <v>41963</v>
      </c>
      <c r="Q14" s="25">
        <v>42300</v>
      </c>
      <c r="R14" s="25">
        <v>41988</v>
      </c>
      <c r="S14" s="25">
        <v>41990</v>
      </c>
      <c r="T14" s="93" t="s">
        <v>67</v>
      </c>
      <c r="U14" s="12">
        <v>42306</v>
      </c>
    </row>
    <row r="15" spans="2:48" ht="25.5">
      <c r="B15" s="98">
        <v>60</v>
      </c>
      <c r="C15" s="99" t="s">
        <v>68</v>
      </c>
      <c r="D15" s="19">
        <v>6</v>
      </c>
      <c r="E15" s="25">
        <v>41969</v>
      </c>
      <c r="F15" s="25">
        <v>41971</v>
      </c>
      <c r="G15" s="25">
        <v>41971</v>
      </c>
      <c r="H15" s="25">
        <v>41971</v>
      </c>
      <c r="I15" s="44" t="s">
        <v>82</v>
      </c>
      <c r="J15" s="25">
        <v>41981</v>
      </c>
      <c r="K15" s="25">
        <v>41982</v>
      </c>
      <c r="L15" s="25">
        <v>42040</v>
      </c>
      <c r="M15" s="25">
        <v>42053</v>
      </c>
      <c r="N15" s="25">
        <v>42089</v>
      </c>
      <c r="O15" s="25">
        <v>41995</v>
      </c>
      <c r="P15" s="25">
        <v>42002</v>
      </c>
      <c r="Q15" s="25">
        <v>42334</v>
      </c>
      <c r="R15" s="25">
        <v>42060</v>
      </c>
      <c r="S15" s="25">
        <v>42062</v>
      </c>
      <c r="T15" s="99" t="s">
        <v>67</v>
      </c>
      <c r="U15" s="12">
        <v>42306</v>
      </c>
    </row>
    <row r="16" spans="2:48" ht="25.5">
      <c r="B16" s="98">
        <v>60</v>
      </c>
      <c r="C16" s="99" t="s">
        <v>68</v>
      </c>
      <c r="D16" s="19">
        <v>7</v>
      </c>
      <c r="E16" s="25">
        <v>41977</v>
      </c>
      <c r="F16" s="25">
        <v>41984</v>
      </c>
      <c r="G16" s="25">
        <v>41984</v>
      </c>
      <c r="H16" s="25">
        <v>41989</v>
      </c>
      <c r="I16" s="44" t="s">
        <v>82</v>
      </c>
      <c r="J16" s="25">
        <v>41989</v>
      </c>
      <c r="K16" s="25">
        <v>41989</v>
      </c>
      <c r="L16" s="25">
        <v>42048</v>
      </c>
      <c r="N16" s="25">
        <v>42097</v>
      </c>
      <c r="O16" s="25">
        <v>42082</v>
      </c>
      <c r="P16" s="25">
        <v>42086</v>
      </c>
      <c r="Q16" s="25">
        <v>42342</v>
      </c>
      <c r="T16" s="99" t="s">
        <v>67</v>
      </c>
      <c r="U16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Feuil9"/>
  <dimension ref="B1:AV12"/>
  <sheetViews>
    <sheetView workbookViewId="0">
      <selection activeCell="E10" sqref="E10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0" t="s">
        <v>16</v>
      </c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2"/>
      <c r="M3" s="112"/>
      <c r="N3" s="112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3" t="s">
        <v>58</v>
      </c>
      <c r="E4" s="113"/>
      <c r="F4" s="53">
        <f>$U$12</f>
        <v>42306</v>
      </c>
      <c r="G4" s="50"/>
      <c r="H4" s="50"/>
      <c r="I4" s="34"/>
      <c r="J4" s="50"/>
      <c r="K4" s="50"/>
      <c r="L4" s="65" t="s">
        <v>17</v>
      </c>
      <c r="M4" s="63">
        <f>$B$12</f>
        <v>64</v>
      </c>
      <c r="N4" s="114" t="str">
        <f>$C$12</f>
        <v>PAYEUR Marc</v>
      </c>
      <c r="O4" s="114"/>
      <c r="P4" s="114"/>
      <c r="Q4" s="114"/>
      <c r="R4" s="11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5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64</v>
      </c>
      <c r="C10" s="42" t="s">
        <v>70</v>
      </c>
      <c r="D10" s="19">
        <v>1</v>
      </c>
      <c r="E10" s="25">
        <v>41731</v>
      </c>
      <c r="F10" s="25">
        <v>41835</v>
      </c>
      <c r="G10" s="25">
        <v>41835</v>
      </c>
      <c r="H10" s="25"/>
      <c r="I10" s="44" t="s">
        <v>57</v>
      </c>
      <c r="J10" s="25">
        <v>41743</v>
      </c>
      <c r="K10" s="25">
        <v>41835</v>
      </c>
      <c r="L10" s="25">
        <v>41802</v>
      </c>
      <c r="M10" s="25">
        <v>41835</v>
      </c>
      <c r="N10" s="25">
        <v>41851</v>
      </c>
      <c r="O10" s="25">
        <v>41810</v>
      </c>
      <c r="P10" s="25">
        <v>41835</v>
      </c>
      <c r="Q10" s="25">
        <v>42096</v>
      </c>
      <c r="R10" s="25"/>
      <c r="S10" s="25"/>
      <c r="T10" s="42" t="s">
        <v>69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5.75" customHeight="1">
      <c r="B11" s="77">
        <v>64</v>
      </c>
      <c r="C11" s="78" t="s">
        <v>70</v>
      </c>
      <c r="D11" s="19">
        <v>2</v>
      </c>
      <c r="E11" s="25">
        <v>41774</v>
      </c>
      <c r="F11" s="25">
        <v>41835</v>
      </c>
      <c r="G11" s="25">
        <v>41835</v>
      </c>
      <c r="I11" s="44" t="s">
        <v>57</v>
      </c>
      <c r="J11" s="25">
        <v>41786</v>
      </c>
      <c r="K11" s="25">
        <v>41835</v>
      </c>
      <c r="L11" s="25">
        <v>41845</v>
      </c>
      <c r="M11" s="25">
        <v>41835</v>
      </c>
      <c r="N11" s="25">
        <v>41894</v>
      </c>
      <c r="O11" s="25">
        <v>41816</v>
      </c>
      <c r="P11" s="25">
        <v>41835</v>
      </c>
      <c r="Q11" s="25">
        <v>42139</v>
      </c>
      <c r="T11" s="78" t="s">
        <v>69</v>
      </c>
      <c r="U11" s="12">
        <v>42306</v>
      </c>
    </row>
    <row r="12" spans="2:48" ht="14.25" customHeight="1">
      <c r="B12" s="77">
        <v>64</v>
      </c>
      <c r="C12" s="78" t="s">
        <v>70</v>
      </c>
      <c r="D12" s="19">
        <v>3</v>
      </c>
      <c r="E12" s="25">
        <v>41751</v>
      </c>
      <c r="F12" s="25">
        <v>41835</v>
      </c>
      <c r="G12" s="25">
        <v>41835</v>
      </c>
      <c r="I12" s="44" t="s">
        <v>57</v>
      </c>
      <c r="J12" s="25">
        <v>41763</v>
      </c>
      <c r="K12" s="25">
        <v>41835</v>
      </c>
      <c r="L12" s="25">
        <v>41822</v>
      </c>
      <c r="M12" s="25">
        <v>41835</v>
      </c>
      <c r="N12" s="25">
        <v>41871</v>
      </c>
      <c r="O12" s="25">
        <v>41810</v>
      </c>
      <c r="P12" s="25">
        <v>41835</v>
      </c>
      <c r="Q12" s="25">
        <v>42116</v>
      </c>
      <c r="T12" s="78" t="s">
        <v>69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Feuil13"/>
  <dimension ref="B1:AV12"/>
  <sheetViews>
    <sheetView workbookViewId="0">
      <selection activeCell="J23" sqref="J23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0" t="s">
        <v>16</v>
      </c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2"/>
      <c r="M3" s="112"/>
      <c r="N3" s="112"/>
      <c r="O3" s="9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3" t="s">
        <v>58</v>
      </c>
      <c r="E4" s="113"/>
      <c r="F4" s="53">
        <f>$U$12</f>
        <v>42306</v>
      </c>
      <c r="G4" s="50"/>
      <c r="H4" s="50"/>
      <c r="I4" s="34"/>
      <c r="J4" s="50"/>
      <c r="K4" s="50"/>
      <c r="L4" s="95" t="s">
        <v>17</v>
      </c>
      <c r="M4" s="63">
        <f>$B$12</f>
        <v>424</v>
      </c>
      <c r="N4" s="114" t="str">
        <f>$C$12</f>
        <v>RZEZNIK Jean-Claude</v>
      </c>
      <c r="O4" s="114"/>
      <c r="P4" s="114"/>
      <c r="Q4" s="114"/>
      <c r="R4" s="11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5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97" t="s">
        <v>32</v>
      </c>
      <c r="M8" s="97" t="s">
        <v>31</v>
      </c>
      <c r="N8" s="96" t="s">
        <v>33</v>
      </c>
      <c r="O8" s="96" t="s">
        <v>34</v>
      </c>
      <c r="P8" s="9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424</v>
      </c>
      <c r="C10" s="42" t="s">
        <v>98</v>
      </c>
      <c r="D10" s="19">
        <v>1</v>
      </c>
      <c r="E10" s="25">
        <v>41971</v>
      </c>
      <c r="F10" s="25">
        <v>41974</v>
      </c>
      <c r="G10" s="25">
        <v>41974</v>
      </c>
      <c r="H10" s="25">
        <v>41974</v>
      </c>
      <c r="I10" s="44" t="s">
        <v>100</v>
      </c>
      <c r="J10" s="25">
        <v>41983</v>
      </c>
      <c r="K10" s="25">
        <v>41985</v>
      </c>
      <c r="L10" s="25">
        <v>42042</v>
      </c>
      <c r="M10" s="25">
        <v>42047</v>
      </c>
      <c r="N10" s="25">
        <v>42091</v>
      </c>
      <c r="O10" s="25">
        <v>42052</v>
      </c>
      <c r="P10" s="25">
        <v>42055</v>
      </c>
      <c r="Q10" s="25">
        <v>42336</v>
      </c>
      <c r="R10" s="25"/>
      <c r="S10" s="25"/>
      <c r="T10" s="42" t="s">
        <v>97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5.75" customHeight="1">
      <c r="B11" s="98">
        <v>424</v>
      </c>
      <c r="C11" s="99" t="s">
        <v>98</v>
      </c>
      <c r="D11" s="19">
        <v>2</v>
      </c>
      <c r="E11" s="25">
        <v>41990</v>
      </c>
      <c r="F11" s="25">
        <v>41995</v>
      </c>
      <c r="G11" s="25">
        <v>41995</v>
      </c>
      <c r="H11" s="25">
        <v>41995</v>
      </c>
      <c r="I11" s="44" t="s">
        <v>82</v>
      </c>
      <c r="J11" s="25">
        <v>42002</v>
      </c>
      <c r="K11" s="25">
        <v>42006</v>
      </c>
      <c r="L11" s="25">
        <v>42061</v>
      </c>
      <c r="M11" s="25">
        <v>42074</v>
      </c>
      <c r="N11" s="25">
        <v>42110</v>
      </c>
      <c r="O11" s="25">
        <v>42072</v>
      </c>
      <c r="P11" s="25">
        <v>42074</v>
      </c>
      <c r="Q11" s="25">
        <v>42355</v>
      </c>
      <c r="T11" s="99" t="s">
        <v>97</v>
      </c>
      <c r="U11" s="12">
        <v>42306</v>
      </c>
    </row>
    <row r="12" spans="2:48" ht="14.25" customHeight="1">
      <c r="B12" s="98">
        <v>424</v>
      </c>
      <c r="C12" s="99" t="s">
        <v>98</v>
      </c>
      <c r="D12" s="19">
        <v>3</v>
      </c>
      <c r="E12" s="25">
        <v>42010</v>
      </c>
      <c r="F12" s="25">
        <v>42016</v>
      </c>
      <c r="G12" s="25">
        <v>42016</v>
      </c>
      <c r="H12" s="25">
        <v>42016</v>
      </c>
      <c r="I12" s="44" t="s">
        <v>82</v>
      </c>
      <c r="J12" s="25">
        <v>42022</v>
      </c>
      <c r="L12" s="25">
        <v>42081</v>
      </c>
      <c r="N12" s="25">
        <v>42130</v>
      </c>
      <c r="O12" s="25">
        <v>42116</v>
      </c>
      <c r="P12" s="25">
        <v>42118</v>
      </c>
      <c r="Q12" s="25">
        <v>42375</v>
      </c>
      <c r="T12" s="99" t="s">
        <v>97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Feuil10"/>
  <dimension ref="B1:AV12"/>
  <sheetViews>
    <sheetView workbookViewId="0">
      <selection activeCell="K22" sqref="K22"/>
    </sheetView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0" t="s">
        <v>16</v>
      </c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2"/>
      <c r="M3" s="112"/>
      <c r="N3" s="112"/>
      <c r="O3" s="79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3" t="s">
        <v>58</v>
      </c>
      <c r="E4" s="113"/>
      <c r="F4" s="53">
        <f>$U$12</f>
        <v>42306</v>
      </c>
      <c r="G4" s="50"/>
      <c r="H4" s="50"/>
      <c r="I4" s="34"/>
      <c r="J4" s="50"/>
      <c r="K4" s="50"/>
      <c r="L4" s="80" t="s">
        <v>17</v>
      </c>
      <c r="M4" s="63">
        <f>$B$12</f>
        <v>343</v>
      </c>
      <c r="N4" s="114" t="str">
        <f>$C$12</f>
        <v>SANDRAPS PREVOST Emmanuelle</v>
      </c>
      <c r="O4" s="114"/>
      <c r="P4" s="114"/>
      <c r="Q4" s="114"/>
      <c r="R4" s="11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5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82" t="s">
        <v>32</v>
      </c>
      <c r="M8" s="82" t="s">
        <v>31</v>
      </c>
      <c r="N8" s="81" t="s">
        <v>33</v>
      </c>
      <c r="O8" s="81" t="s">
        <v>34</v>
      </c>
      <c r="P8" s="81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343</v>
      </c>
      <c r="C10" s="42" t="s">
        <v>80</v>
      </c>
      <c r="D10" s="19">
        <v>1</v>
      </c>
      <c r="E10" s="25"/>
      <c r="F10" s="25"/>
      <c r="G10" s="25"/>
      <c r="H10" s="25"/>
      <c r="I10" s="44" t="s">
        <v>57</v>
      </c>
      <c r="J10" s="25"/>
      <c r="K10" s="25"/>
      <c r="L10" s="25"/>
      <c r="M10" s="25"/>
      <c r="N10" s="25"/>
      <c r="O10" s="25"/>
      <c r="P10" s="25"/>
      <c r="Q10" s="25"/>
      <c r="R10" s="25"/>
      <c r="S10" s="25"/>
      <c r="T10" s="42" t="s">
        <v>79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5.75" customHeight="1">
      <c r="B11" s="89">
        <v>343</v>
      </c>
      <c r="C11" s="90" t="s">
        <v>80</v>
      </c>
      <c r="D11" s="19">
        <v>2</v>
      </c>
      <c r="I11" s="44" t="s">
        <v>57</v>
      </c>
      <c r="T11" s="90" t="s">
        <v>79</v>
      </c>
      <c r="U11" s="12">
        <v>42306</v>
      </c>
    </row>
    <row r="12" spans="2:48" ht="14.25" customHeight="1">
      <c r="B12" s="89">
        <v>343</v>
      </c>
      <c r="C12" s="90" t="s">
        <v>80</v>
      </c>
      <c r="D12" s="19">
        <v>3</v>
      </c>
      <c r="I12" s="44" t="s">
        <v>57</v>
      </c>
      <c r="T12" s="90" t="s">
        <v>79</v>
      </c>
      <c r="U12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Feuil11"/>
  <dimension ref="B1:AV16"/>
  <sheetViews>
    <sheetView workbookViewId="0"/>
  </sheetViews>
  <sheetFormatPr baseColWidth="10" defaultRowHeight="15"/>
  <cols>
    <col min="1" max="1" width="3" customWidth="1"/>
    <col min="2" max="2" width="16.7109375" hidden="1" customWidth="1"/>
    <col min="3" max="3" width="17.28515625" hidden="1" customWidth="1"/>
    <col min="4" max="4" width="9.5703125" style="19" customWidth="1"/>
    <col min="5" max="5" width="15.85546875" style="25" customWidth="1"/>
    <col min="6" max="6" width="20.28515625" style="25" customWidth="1"/>
    <col min="7" max="7" width="19.42578125" style="25" customWidth="1"/>
    <col min="8" max="8" width="17" style="25" customWidth="1"/>
    <col min="9" max="9" width="21" customWidth="1"/>
    <col min="10" max="10" width="13.7109375" style="25" customWidth="1"/>
    <col min="11" max="11" width="17.7109375" style="25" customWidth="1"/>
    <col min="12" max="12" width="15.28515625" style="25" customWidth="1"/>
    <col min="13" max="13" width="19" style="25" customWidth="1"/>
    <col min="14" max="14" width="13.7109375" style="25" customWidth="1"/>
    <col min="15" max="15" width="17.42578125" style="25" customWidth="1"/>
    <col min="16" max="16" width="21.42578125" style="25" customWidth="1"/>
    <col min="17" max="17" width="13.7109375" style="25" bestFit="1" customWidth="1"/>
    <col min="18" max="18" width="15.7109375" style="25" customWidth="1"/>
    <col min="19" max="19" width="19.7109375" style="25" customWidth="1"/>
    <col min="20" max="20" width="14.7109375" hidden="1" customWidth="1"/>
    <col min="21" max="21" width="13.7109375" style="12" hidden="1" customWidth="1"/>
  </cols>
  <sheetData>
    <row r="1" spans="2:48">
      <c r="C1" s="34"/>
      <c r="D1" s="54"/>
      <c r="E1" s="50"/>
      <c r="F1" s="50"/>
      <c r="G1" s="50"/>
      <c r="H1" s="50"/>
      <c r="I1" s="34"/>
      <c r="J1" s="50"/>
      <c r="K1" s="50"/>
      <c r="L1" s="50"/>
      <c r="M1" s="50"/>
      <c r="N1" s="50"/>
      <c r="O1" s="50"/>
      <c r="P1" s="50"/>
      <c r="Q1" s="50"/>
      <c r="R1" s="50"/>
      <c r="S1" s="50"/>
      <c r="T1" s="34"/>
      <c r="U1" s="45"/>
      <c r="V1" s="34"/>
      <c r="W1" s="34"/>
      <c r="X1" s="34"/>
      <c r="Y1" s="34"/>
      <c r="Z1" s="34"/>
      <c r="AA1" s="34"/>
      <c r="AB1" s="34"/>
      <c r="AC1" s="34"/>
      <c r="AD1" s="34"/>
      <c r="AE1" s="34"/>
      <c r="AF1" s="34"/>
      <c r="AG1" s="34"/>
      <c r="AH1" s="34"/>
      <c r="AI1" s="34"/>
      <c r="AJ1" s="34"/>
      <c r="AK1" s="34"/>
      <c r="AL1" s="34"/>
      <c r="AM1" s="34"/>
      <c r="AN1" s="34"/>
      <c r="AO1" s="34"/>
      <c r="AP1" s="34"/>
      <c r="AQ1" s="34"/>
      <c r="AR1" s="34"/>
      <c r="AS1" s="34"/>
      <c r="AT1" s="34"/>
      <c r="AU1" s="34"/>
      <c r="AV1" s="34"/>
    </row>
    <row r="2" spans="2:48" ht="27">
      <c r="C2" s="34"/>
      <c r="D2" s="20" t="s">
        <v>0</v>
      </c>
      <c r="E2" s="51"/>
      <c r="F2" s="52"/>
      <c r="G2" s="110" t="s">
        <v>16</v>
      </c>
      <c r="H2" s="111"/>
      <c r="I2" s="111"/>
      <c r="J2" s="111"/>
      <c r="K2" s="111"/>
      <c r="L2" s="111"/>
      <c r="M2" s="111"/>
      <c r="N2" s="111"/>
      <c r="O2" s="111"/>
      <c r="P2" s="111"/>
      <c r="Q2" s="111"/>
      <c r="R2" s="111"/>
      <c r="S2" s="111"/>
      <c r="T2" s="34"/>
      <c r="U2" s="45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</row>
    <row r="3" spans="2:48" ht="27">
      <c r="C3" s="34"/>
      <c r="D3" s="55"/>
      <c r="E3" s="52"/>
      <c r="F3" s="52"/>
      <c r="G3" s="50"/>
      <c r="H3" s="50"/>
      <c r="I3" s="34"/>
      <c r="J3" s="50"/>
      <c r="K3" s="50"/>
      <c r="L3" s="112"/>
      <c r="M3" s="112"/>
      <c r="N3" s="112"/>
      <c r="O3" s="64"/>
      <c r="P3" s="50"/>
      <c r="Q3" s="50"/>
      <c r="R3" s="50"/>
      <c r="S3" s="50"/>
      <c r="T3" s="34"/>
      <c r="U3" s="45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</row>
    <row r="4" spans="2:48" ht="24" customHeight="1">
      <c r="C4" s="34"/>
      <c r="D4" s="113" t="s">
        <v>58</v>
      </c>
      <c r="E4" s="113"/>
      <c r="F4" s="53">
        <f>$U$16</f>
        <v>42306</v>
      </c>
      <c r="G4" s="50"/>
      <c r="H4" s="50"/>
      <c r="I4" s="34"/>
      <c r="J4" s="50"/>
      <c r="K4" s="50"/>
      <c r="L4" s="65" t="s">
        <v>17</v>
      </c>
      <c r="M4" s="63">
        <f>$B$16</f>
        <v>63</v>
      </c>
      <c r="N4" s="114" t="str">
        <f>$C$16</f>
        <v>VAN BUTSEL Philippe</v>
      </c>
      <c r="O4" s="114"/>
      <c r="P4" s="114"/>
      <c r="Q4" s="114"/>
      <c r="R4" s="114"/>
      <c r="S4" s="50"/>
      <c r="T4" s="34"/>
      <c r="U4" s="45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</row>
    <row r="5" spans="2:48">
      <c r="C5" s="34"/>
      <c r="D5" s="54"/>
      <c r="E5" s="50"/>
      <c r="F5" s="50"/>
      <c r="G5" s="50"/>
      <c r="H5" s="50"/>
      <c r="I5" s="34"/>
      <c r="J5" s="50"/>
      <c r="K5" s="50"/>
      <c r="L5" s="50"/>
      <c r="M5" s="50"/>
      <c r="N5" s="50"/>
      <c r="O5" s="50"/>
      <c r="P5" s="50"/>
      <c r="Q5" s="50"/>
      <c r="R5" s="58" t="s">
        <v>18</v>
      </c>
      <c r="S5" s="50"/>
      <c r="T5" s="34"/>
      <c r="U5" s="45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</row>
    <row r="6" spans="2:48" s="36" customFormat="1" ht="19.5" customHeight="1">
      <c r="C6" s="35"/>
      <c r="D6" s="115"/>
      <c r="E6" s="116"/>
      <c r="F6" s="116"/>
      <c r="G6" s="116"/>
      <c r="H6" s="116"/>
      <c r="I6" s="116"/>
      <c r="J6" s="116"/>
      <c r="K6" s="116"/>
      <c r="L6" s="116"/>
      <c r="M6" s="116"/>
      <c r="N6" s="116"/>
      <c r="O6" s="116"/>
      <c r="P6" s="116"/>
      <c r="Q6" s="116"/>
      <c r="R6" s="116"/>
      <c r="S6" s="116"/>
      <c r="T6" s="35"/>
      <c r="U6" s="46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</row>
    <row r="7" spans="2:48" s="36" customFormat="1" ht="39.75" customHeight="1">
      <c r="C7" s="35"/>
      <c r="D7" s="37"/>
      <c r="E7" s="101" t="s">
        <v>19</v>
      </c>
      <c r="F7" s="102"/>
      <c r="G7" s="102"/>
      <c r="H7" s="102"/>
      <c r="I7" s="102"/>
      <c r="J7" s="103" t="s">
        <v>20</v>
      </c>
      <c r="K7" s="104"/>
      <c r="L7" s="105" t="s">
        <v>21</v>
      </c>
      <c r="M7" s="105"/>
      <c r="N7" s="106" t="s">
        <v>22</v>
      </c>
      <c r="O7" s="107"/>
      <c r="P7" s="108"/>
      <c r="Q7" s="109" t="s">
        <v>23</v>
      </c>
      <c r="R7" s="107"/>
      <c r="S7" s="108"/>
      <c r="T7" s="35"/>
      <c r="U7" s="46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</row>
    <row r="8" spans="2:48" s="41" customFormat="1" ht="76.5">
      <c r="C8" s="38"/>
      <c r="D8" s="39" t="s">
        <v>24</v>
      </c>
      <c r="E8" s="49" t="s">
        <v>25</v>
      </c>
      <c r="F8" s="49" t="s">
        <v>26</v>
      </c>
      <c r="G8" s="49" t="s">
        <v>27</v>
      </c>
      <c r="H8" s="49" t="s">
        <v>28</v>
      </c>
      <c r="I8" s="40" t="s">
        <v>29</v>
      </c>
      <c r="J8" s="59" t="s">
        <v>30</v>
      </c>
      <c r="K8" s="59" t="s">
        <v>31</v>
      </c>
      <c r="L8" s="67" t="s">
        <v>32</v>
      </c>
      <c r="M8" s="67" t="s">
        <v>31</v>
      </c>
      <c r="N8" s="66" t="s">
        <v>33</v>
      </c>
      <c r="O8" s="66" t="s">
        <v>34</v>
      </c>
      <c r="P8" s="66" t="s">
        <v>35</v>
      </c>
      <c r="Q8" s="62" t="s">
        <v>36</v>
      </c>
      <c r="R8" s="62" t="s">
        <v>34</v>
      </c>
      <c r="S8" s="62" t="s">
        <v>37</v>
      </c>
      <c r="T8" s="38"/>
      <c r="U8" s="47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</row>
    <row r="9" spans="2:48" s="43" customFormat="1" hidden="1">
      <c r="B9" s="43" t="s">
        <v>38</v>
      </c>
      <c r="C9" s="42" t="s">
        <v>39</v>
      </c>
      <c r="D9" s="19" t="s">
        <v>40</v>
      </c>
      <c r="E9" s="25" t="s">
        <v>41</v>
      </c>
      <c r="F9" s="25" t="s">
        <v>42</v>
      </c>
      <c r="G9" s="25" t="s">
        <v>43</v>
      </c>
      <c r="H9" s="25" t="s">
        <v>44</v>
      </c>
      <c r="I9" t="s">
        <v>45</v>
      </c>
      <c r="J9" s="25" t="s">
        <v>46</v>
      </c>
      <c r="K9" s="25" t="s">
        <v>47</v>
      </c>
      <c r="L9" s="25" t="s">
        <v>48</v>
      </c>
      <c r="M9" s="25" t="s">
        <v>49</v>
      </c>
      <c r="N9" s="25" t="s">
        <v>50</v>
      </c>
      <c r="O9" s="25" t="s">
        <v>51</v>
      </c>
      <c r="P9" s="25" t="s">
        <v>52</v>
      </c>
      <c r="Q9" s="25" t="s">
        <v>53</v>
      </c>
      <c r="R9" s="25" t="s">
        <v>54</v>
      </c>
      <c r="S9" s="25" t="s">
        <v>55</v>
      </c>
      <c r="T9" s="42" t="s">
        <v>56</v>
      </c>
      <c r="U9" s="48" t="s">
        <v>11</v>
      </c>
      <c r="V9" s="42"/>
      <c r="W9" s="42"/>
      <c r="X9" s="42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42"/>
      <c r="AS9" s="42"/>
    </row>
    <row r="10" spans="2:48" s="43" customFormat="1" ht="17.25" customHeight="1">
      <c r="B10" s="43">
        <v>63</v>
      </c>
      <c r="C10" s="42" t="s">
        <v>72</v>
      </c>
      <c r="D10" s="19">
        <v>1</v>
      </c>
      <c r="E10" s="25">
        <v>41775</v>
      </c>
      <c r="F10" s="25">
        <v>41780</v>
      </c>
      <c r="G10" s="25">
        <v>41780</v>
      </c>
      <c r="H10" s="25">
        <v>41919</v>
      </c>
      <c r="I10" s="44" t="s">
        <v>93</v>
      </c>
      <c r="J10" s="25">
        <v>41787</v>
      </c>
      <c r="K10" s="25">
        <v>41837</v>
      </c>
      <c r="L10" s="25">
        <v>41846</v>
      </c>
      <c r="M10" s="25">
        <v>41919</v>
      </c>
      <c r="N10" s="25">
        <v>41895</v>
      </c>
      <c r="O10" s="25">
        <v>41912</v>
      </c>
      <c r="P10" s="25">
        <v>41914</v>
      </c>
      <c r="Q10" s="25">
        <v>42140</v>
      </c>
      <c r="R10" s="25"/>
      <c r="S10" s="25"/>
      <c r="T10" s="42" t="s">
        <v>71</v>
      </c>
      <c r="U10" s="12">
        <v>42306</v>
      </c>
      <c r="V10" s="42"/>
      <c r="W10" s="42"/>
      <c r="X10" s="42"/>
      <c r="Y10" s="42"/>
      <c r="Z10" s="42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2"/>
      <c r="AM10" s="42"/>
      <c r="AN10" s="42"/>
      <c r="AO10" s="42"/>
      <c r="AP10" s="42"/>
      <c r="AQ10" s="42"/>
      <c r="AR10" s="42"/>
      <c r="AS10" s="42"/>
    </row>
    <row r="11" spans="2:48" ht="15.75" customHeight="1">
      <c r="B11" s="77">
        <v>63</v>
      </c>
      <c r="C11" s="78" t="s">
        <v>72</v>
      </c>
      <c r="D11" s="19">
        <v>2</v>
      </c>
      <c r="E11" s="25">
        <v>41792</v>
      </c>
      <c r="F11" s="25">
        <v>41795</v>
      </c>
      <c r="G11" s="25">
        <v>41795</v>
      </c>
      <c r="H11" s="25">
        <v>42048</v>
      </c>
      <c r="I11" s="44" t="s">
        <v>93</v>
      </c>
      <c r="J11" s="25">
        <v>41804</v>
      </c>
      <c r="K11" s="25">
        <v>41908</v>
      </c>
      <c r="L11" s="25">
        <v>41863</v>
      </c>
      <c r="M11" s="25">
        <v>41908</v>
      </c>
      <c r="N11" s="25">
        <v>41912</v>
      </c>
      <c r="O11" s="25">
        <v>41806</v>
      </c>
      <c r="P11" s="25">
        <v>41808</v>
      </c>
      <c r="Q11" s="25">
        <v>42157</v>
      </c>
      <c r="T11" s="78" t="s">
        <v>71</v>
      </c>
      <c r="U11" s="12">
        <v>42306</v>
      </c>
    </row>
    <row r="12" spans="2:48" ht="14.25" customHeight="1">
      <c r="B12" s="77">
        <v>63</v>
      </c>
      <c r="C12" s="78" t="s">
        <v>72</v>
      </c>
      <c r="D12" s="19">
        <v>3</v>
      </c>
      <c r="E12" s="25">
        <v>41793</v>
      </c>
      <c r="F12" s="25">
        <v>41795</v>
      </c>
      <c r="G12" s="25">
        <v>41795</v>
      </c>
      <c r="I12" s="44" t="s">
        <v>57</v>
      </c>
      <c r="J12" s="25">
        <v>41805</v>
      </c>
      <c r="K12" s="25">
        <v>41801</v>
      </c>
      <c r="L12" s="25">
        <v>41864</v>
      </c>
      <c r="N12" s="25">
        <v>41913</v>
      </c>
      <c r="O12" s="25">
        <v>41912</v>
      </c>
      <c r="P12" s="25">
        <v>41914</v>
      </c>
      <c r="Q12" s="25">
        <v>42158</v>
      </c>
      <c r="T12" s="78" t="s">
        <v>71</v>
      </c>
      <c r="U12" s="12">
        <v>42306</v>
      </c>
    </row>
    <row r="13" spans="2:48" ht="25.5">
      <c r="B13" s="92">
        <v>63</v>
      </c>
      <c r="C13" s="93" t="s">
        <v>72</v>
      </c>
      <c r="D13" s="19">
        <v>4</v>
      </c>
      <c r="E13" s="25">
        <v>41926</v>
      </c>
      <c r="F13" s="25">
        <v>41978</v>
      </c>
      <c r="G13" s="25">
        <v>42011</v>
      </c>
      <c r="H13" s="25">
        <v>41929</v>
      </c>
      <c r="I13" s="44" t="s">
        <v>99</v>
      </c>
      <c r="J13" s="25">
        <v>41938</v>
      </c>
      <c r="K13" s="25">
        <v>41934</v>
      </c>
      <c r="L13" s="25">
        <v>41997</v>
      </c>
      <c r="M13" s="25">
        <v>42002</v>
      </c>
      <c r="N13" s="25">
        <v>42046</v>
      </c>
      <c r="O13" s="25">
        <v>42018</v>
      </c>
      <c r="P13" s="25">
        <v>42020</v>
      </c>
      <c r="Q13" s="25">
        <v>42291</v>
      </c>
      <c r="T13" s="93" t="s">
        <v>71</v>
      </c>
      <c r="U13" s="12">
        <v>42306</v>
      </c>
    </row>
    <row r="14" spans="2:48" ht="25.5">
      <c r="B14" s="92">
        <v>63</v>
      </c>
      <c r="C14" s="93" t="s">
        <v>72</v>
      </c>
      <c r="D14" s="19">
        <v>5</v>
      </c>
      <c r="E14" s="25">
        <v>41920</v>
      </c>
      <c r="F14" s="25">
        <v>41978</v>
      </c>
      <c r="H14" s="25">
        <v>41925</v>
      </c>
      <c r="I14" s="44" t="s">
        <v>84</v>
      </c>
      <c r="J14" s="25">
        <v>41932</v>
      </c>
      <c r="K14" s="25">
        <v>41933</v>
      </c>
      <c r="L14" s="25">
        <v>41991</v>
      </c>
      <c r="M14" s="25">
        <v>41989</v>
      </c>
      <c r="N14" s="25">
        <v>42040</v>
      </c>
      <c r="O14" s="25">
        <v>41988</v>
      </c>
      <c r="P14" s="25">
        <v>41991</v>
      </c>
      <c r="Q14" s="25">
        <v>42285</v>
      </c>
      <c r="T14" s="93" t="s">
        <v>71</v>
      </c>
      <c r="U14" s="12">
        <v>42306</v>
      </c>
    </row>
    <row r="15" spans="2:48" ht="25.5">
      <c r="B15" s="98">
        <v>63</v>
      </c>
      <c r="C15" s="99" t="s">
        <v>72</v>
      </c>
      <c r="D15" s="19">
        <v>6</v>
      </c>
      <c r="E15" s="25">
        <v>42003</v>
      </c>
      <c r="F15" s="25">
        <v>42037</v>
      </c>
      <c r="G15" s="25">
        <v>42011</v>
      </c>
      <c r="I15" s="44" t="s">
        <v>57</v>
      </c>
      <c r="J15" s="25">
        <v>42015</v>
      </c>
      <c r="K15" s="25">
        <v>42032</v>
      </c>
      <c r="L15" s="25">
        <v>42074</v>
      </c>
      <c r="N15" s="25">
        <v>42123</v>
      </c>
      <c r="Q15" s="25">
        <v>42368</v>
      </c>
      <c r="T15" s="99" t="s">
        <v>71</v>
      </c>
      <c r="U15" s="12">
        <v>42306</v>
      </c>
    </row>
    <row r="16" spans="2:48" ht="25.5">
      <c r="B16" s="98">
        <v>63</v>
      </c>
      <c r="C16" s="99" t="s">
        <v>72</v>
      </c>
      <c r="D16" s="19">
        <v>7</v>
      </c>
      <c r="I16" s="44" t="s">
        <v>57</v>
      </c>
      <c r="T16" s="99" t="s">
        <v>71</v>
      </c>
      <c r="U16" s="12">
        <v>42306</v>
      </c>
    </row>
  </sheetData>
  <mergeCells count="10">
    <mergeCell ref="G2:S2"/>
    <mergeCell ref="L3:N3"/>
    <mergeCell ref="D4:E4"/>
    <mergeCell ref="N4:R4"/>
    <mergeCell ref="D6:S6"/>
    <mergeCell ref="E7:I7"/>
    <mergeCell ref="J7:K7"/>
    <mergeCell ref="L7:M7"/>
    <mergeCell ref="N7:P7"/>
    <mergeCell ref="Q7:S7"/>
  </mergeCells>
  <hyperlinks>
    <hyperlink ref="R5" location="'Secteur DE0101'!A1" display="Retour à la liste des médecins"/>
  </hyperlinks>
  <pageMargins left="0.31496062992125984" right="0.31496062992125984" top="0.74803149606299213" bottom="0.74803149606299213" header="0.31496062992125984" footer="0.31496062992125984"/>
  <pageSetup paperSize="9" scale="50" orientation="landscape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13</vt:i4>
      </vt:variant>
    </vt:vector>
  </HeadingPairs>
  <TitlesOfParts>
    <vt:vector size="13" baseType="lpstr">
      <vt:lpstr>Secteur DE0103</vt:lpstr>
      <vt:lpstr>03730067</vt:lpstr>
      <vt:lpstr>02610983</vt:lpstr>
      <vt:lpstr>03031245</vt:lpstr>
      <vt:lpstr>00037549</vt:lpstr>
      <vt:lpstr>03876040</vt:lpstr>
      <vt:lpstr>05890131</vt:lpstr>
      <vt:lpstr>06793225</vt:lpstr>
      <vt:lpstr>06719020</vt:lpstr>
      <vt:lpstr>07105263</vt:lpstr>
      <vt:lpstr>08164868</vt:lpstr>
      <vt:lpstr>08433883</vt:lpstr>
      <vt:lpstr>09053212</vt:lpstr>
    </vt:vector>
  </TitlesOfParts>
  <Company>GECEM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Alain COLAS</dc:creator>
  <cp:lastModifiedBy>GECEM</cp:lastModifiedBy>
  <cp:lastPrinted>2014-04-15T15:23:56Z</cp:lastPrinted>
  <dcterms:created xsi:type="dcterms:W3CDTF">2014-04-10T15:52:05Z</dcterms:created>
  <dcterms:modified xsi:type="dcterms:W3CDTF">2015-10-29T22:01:18Z</dcterms:modified>
</cp:coreProperties>
</file>