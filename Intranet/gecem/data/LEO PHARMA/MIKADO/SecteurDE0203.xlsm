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0203" sheetId="1" r:id="rId1"/>
    <sheet name="01731021" sheetId="8" r:id="rId2"/>
    <sheet name="01885647" sheetId="7" r:id="rId3"/>
    <sheet name="03141390" sheetId="2" r:id="rId4"/>
    <sheet name="04229452" sheetId="4" r:id="rId5"/>
    <sheet name="04405638" sheetId="6" r:id="rId6"/>
    <sheet name="06888682" sheetId="5" r:id="rId7"/>
    <sheet name="08955870" sheetId="3" r:id="rId8"/>
  </sheets>
  <definedNames>
    <definedName name="Lancer_la_requête_à_partir_de_MS_Access_Database" localSheetId="1" hidden="1">'01731021'!$B$9:$U$12</definedName>
    <definedName name="Lancer_la_requête_à_partir_de_MS_Access_Database" localSheetId="2" hidden="1">'01885647'!$B$9:$U$12</definedName>
    <definedName name="Lancer_la_requête_à_partir_de_MS_Access_Database" localSheetId="3" hidden="1">'03141390'!$B$9:$U$12</definedName>
    <definedName name="Lancer_la_requête_à_partir_de_MS_Access_Database" localSheetId="4" hidden="1">'04229452'!$B$9:$U$14</definedName>
    <definedName name="Lancer_la_requête_à_partir_de_MS_Access_Database" localSheetId="5" hidden="1">'04405638'!$B$9:$U$12</definedName>
    <definedName name="Lancer_la_requête_à_partir_de_MS_Access_Database" localSheetId="6" hidden="1">'06888682'!$B$9:$U$12</definedName>
    <definedName name="Lancer_la_requête_à_partir_de_MS_Access_Database" localSheetId="7" hidden="1">'08955870'!$B$9:$U$12</definedName>
    <definedName name="Lancer_la_requête_à_partir_de_MS_Access_Database_1" localSheetId="0" hidden="1">'Secteur DE00203'!$A$7:$K$14</definedName>
  </definedNames>
  <calcPr calcId="125725"/>
</workbook>
</file>

<file path=xl/calcChain.xml><?xml version="1.0" encoding="utf-8"?>
<calcChain xmlns="http://schemas.openxmlformats.org/spreadsheetml/2006/main">
  <c r="D15" i="1"/>
  <c r="E15"/>
  <c r="F15"/>
  <c r="G15"/>
  <c r="H15"/>
  <c r="I15"/>
  <c r="N4" i="8"/>
  <c r="M4"/>
  <c r="F4"/>
  <c r="N4" i="7"/>
  <c r="M4"/>
  <c r="F4"/>
  <c r="N4" i="6"/>
  <c r="M4"/>
  <c r="F4"/>
  <c r="N4" i="5" l="1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203')_x000d__x000a_ORDER BY Req_REPORT_SECTEURS_GLOBAL.Medecin"/>
  </connection>
  <connection id="2" name="Lancer la requête à partir de MS Access Database0173102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731021')"/>
  </connection>
  <connection id="3" name="Lancer la requête à partir de MS Access Database0188564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885647')"/>
  </connection>
  <connection id="4" name="Lancer la requête à partir de MS Access Database031413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141390')"/>
  </connection>
  <connection id="5" name="Lancer la requête à partir de MS Access Database0422945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229452')"/>
  </connection>
  <connection id="6" name="Lancer la requête à partir de MS Access Database0440563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405638')"/>
  </connection>
  <connection id="7" name="Lancer la requête à partir de MS Access Database0688868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888682')"/>
  </connection>
  <connection id="8" name="Lancer la requête à partir de MS Access Database089558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955870')"/>
  </connection>
</connections>
</file>

<file path=xl/sharedStrings.xml><?xml version="1.0" encoding="utf-8"?>
<sst xmlns="http://schemas.openxmlformats.org/spreadsheetml/2006/main" count="438" uniqueCount="86">
  <si>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</si>
  <si>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</si>
  <si>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</si>
  <si>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</si>
  <si>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</si>
  <si>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</si>
  <si>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</si>
  <si>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</si>
  <si>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</si>
  <si>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</si>
  <si>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</si>
  <si>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</si>
  <si>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</si>
  <si>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</si>
  <si>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</si>
  <si>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</si>
  <si>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</si>
  <si>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</si>
  <si>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</si>
  <si>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</si>
  <si>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</si>
  <si>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</si>
  <si>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</si>
  <si>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</si>
  <si>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</si>
  <si>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</si>
  <si>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</si>
  <si>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</si>
  <si>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</si>
  <si>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</si>
  <si>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</si>
  <si>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</si>
  <si>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</si>
  <si>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</si>
  <si>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</si>
  <si>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</si>
  <si>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</si>
  <si>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</si>
  <si>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</si>
  <si>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</si>
  <si>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</si>
  <si>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</si>
  <si>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</si>
  <si>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</si>
  <si>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</si>
  <si>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</si>
  <si>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</si>
  <si>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</si>
  <si>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</si>
  <si>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</si>
  <si>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</si>
  <si>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</si>
  <si>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</si>
  <si>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</si>
  <si>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</si>
  <si>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</si>
  <si>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</si>
  <si>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</si>
  <si>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</si>
  <si>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DE0203</t>
  </si>
  <si>
    <t>KAAG-OLHMANN Evelyne</t>
  </si>
  <si>
    <t>WFRM03141390</t>
  </si>
  <si>
    <t>DUNGLER Thierry</t>
  </si>
  <si>
    <t>WFRM08955870</t>
  </si>
  <si>
    <t>TROMP Guy</t>
  </si>
  <si>
    <t>GRESSLER Bertrand</t>
  </si>
  <si>
    <t>WFRM04229452</t>
  </si>
  <si>
    <t>NORMAND-NEMETH Françoise</t>
  </si>
  <si>
    <t>WFRM06888682</t>
  </si>
  <si>
    <t>25juin: répond à l'email : n'a plus de secrétaire, est débordé de travail. Est désolée mais doit se désister</t>
  </si>
  <si>
    <t>Courrier - Téléphone</t>
  </si>
  <si>
    <t>Via médecin</t>
  </si>
  <si>
    <t>Mail - Téléphone</t>
  </si>
  <si>
    <t>SMS</t>
  </si>
  <si>
    <t>GUTMANN HELLER Agnès</t>
  </si>
  <si>
    <t>WFRM04405638</t>
  </si>
  <si>
    <t>Courrier 06/08: Patient 2 dit avoir complété son autoQ avec le médecin en juillet, demande son envoi</t>
  </si>
  <si>
    <t>19sept:Dr souhaite etre reappro. 2 cahiers envoyés</t>
  </si>
  <si>
    <t>WFRM01885647</t>
  </si>
  <si>
    <t>CHARTIER Christian</t>
  </si>
  <si>
    <t>WFRM01731021</t>
  </si>
  <si>
    <t>CAUSSADE Patrick</t>
  </si>
  <si>
    <t>Téléphone</t>
  </si>
  <si>
    <t>Mail</t>
  </si>
  <si>
    <t>Mail - Courrier - Téléphone</t>
  </si>
  <si>
    <t>Courrier</t>
  </si>
</sst>
</file>

<file path=xl/styles.xml><?xml version="1.0" encoding="utf-8"?>
<styleSheet xmlns="http://schemas.openxmlformats.org/spreadsheetml/2006/main">
  <numFmts count="1">
    <numFmt numFmtId="164" formatCode="dd/mm/yy;@"/>
  </numFmts>
  <fonts count="27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182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181"/>
      <tableStyleElement type="headerRow" dxfId="180"/>
      <tableStyleElement type="totalRow" dxfId="179"/>
      <tableStyleElement type="firstColumn" dxfId="178"/>
      <tableStyleElement type="lastColumn" dxfId="177"/>
      <tableStyleElement type="firstRowStripe" dxfId="176"/>
      <tableStyleElement type="secondRowStripe" dxfId="175"/>
      <tableStyleElement type="firstColumnStripe" dxfId="174"/>
      <tableStyleElement type="secondColumnStripe" dxfId="173"/>
    </tableStyle>
    <tableStyle name="TableStyleLight8 2" pivot="0" count="9">
      <tableStyleElement type="wholeTable" dxfId="172"/>
      <tableStyleElement type="headerRow" dxfId="171"/>
      <tableStyleElement type="totalRow" dxfId="170"/>
      <tableStyleElement type="firstColumn" dxfId="169"/>
      <tableStyleElement type="lastColumn" dxfId="168"/>
      <tableStyleElement type="firstRowStripe" dxfId="167"/>
      <tableStyleElement type="secondRowStripe" dxfId="166"/>
      <tableStyleElement type="firstColumnStripe" dxfId="165"/>
      <tableStyleElement type="secondColumnStripe" dxfId="164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5" tableType="queryTable" totalsRowCount="1" headerRowDxfId="163" dataDxfId="162">
  <tableColumns count="11">
    <tableColumn id="1" uniqueName="1" name="Code Secteur" queryTableFieldId="1" dataDxfId="150" totalsRowDxfId="151"/>
    <tableColumn id="2" uniqueName="2" name="VM" queryTableFieldId="2" dataDxfId="149" totalsRowDxfId="152"/>
    <tableColumn id="3" uniqueName="3" name="Code médecin" totalsRowLabel="TOTAL" queryTableFieldId="3" dataDxfId="148" totalsRowDxfId="153" dataCellStyle="Lien hypertexte"/>
    <tableColumn id="4" uniqueName="4" name="Medecin" totalsRowFunction="custom" queryTableFieldId="4" dataDxfId="147" totalsRowDxfId="154">
      <totalsRowFormula>SUBTOTAL(3,D8:D14)</totalsRowFormula>
    </tableColumn>
    <tableColumn id="5" uniqueName="5" name="Date de réception convention financière" totalsRowFunction="custom" queryTableFieldId="5" dataDxfId="146" totalsRowDxfId="155">
      <totalsRowFormula>SUBTOTAL(3,[Date de réception convention financière])</totalsRowFormula>
    </tableColumn>
    <tableColumn id="6" uniqueName="6" name="Date de réception AR kit" totalsRowFunction="custom" queryTableFieldId="6" dataDxfId="145" totalsRowDxfId="156">
      <totalsRowFormula>SUBTOTAL(3,[Date de réception AR kit])</totalsRowFormula>
    </tableColumn>
    <tableColumn id="7" uniqueName="7" name="Date de MEP" totalsRowFunction="custom" queryTableFieldId="7" dataDxfId="144" totalsRowDxfId="157">
      <totalsRowFormula>SUBTOTAL(3,[Date de MEP])</totalsRowFormula>
    </tableColumn>
    <tableColumn id="8" uniqueName="8" name="Desistement" totalsRowFunction="custom" queryTableFieldId="8" dataDxfId="143" totalsRowDxfId="158">
      <totalsRowFormula>SUBTOTAL(3,[Desistement])</totalsRowFormula>
    </tableColumn>
    <tableColumn id="9" uniqueName="9" name="Nb Total Patients inclus" totalsRowFunction="custom" queryTableFieldId="9" dataDxfId="142" totalsRowDxfId="159">
      <totalsRowFormula>SUBTOTAL(109,I8:I14)</totalsRowFormula>
    </tableColumn>
    <tableColumn id="10" uniqueName="10" name="Comptes-rendus contact médecin-GECEM" queryTableFieldId="10" dataDxfId="141" totalsRowDxfId="160"/>
    <tableColumn id="11" uniqueName="11" name="Date" queryTableFieldId="11" dataDxfId="140" totalsRowDxfId="161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8" name="Tableau_Lancer_la_requête_à_partir_de_MS_Access_Database89" displayName="Tableau_Lancer_la_requête_à_partir_de_MS_Access_Database89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7" name="Tableau_Lancer_la_requête_à_partir_de_MS_Access_Database8" displayName="Tableau_Lancer_la_requête_à_partir_de_MS_Access_Database8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autoFilter ref="B9:U14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6" name="Tableau_Lancer_la_requête_à_partir_de_MS_Access_Database47" displayName="Tableau_Lancer_la_requête_à_partir_de_MS_Access_Database47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5" name="Tableau_Lancer_la_requête_à_partir_de_MS_Access_Database6" displayName="Tableau_Lancer_la_requête_à_partir_de_MS_Access_Database6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7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$A$14</f>
        <v>DE0203</v>
      </c>
      <c r="G2" s="102" t="str">
        <f>$B$14</f>
        <v>KAAG-OLHMANN Evelyne</v>
      </c>
      <c r="H2" s="102"/>
      <c r="I2" s="10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$K$14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81" customFormat="1" ht="30">
      <c r="A8" s="81" t="s">
        <v>59</v>
      </c>
      <c r="B8" s="81" t="s">
        <v>60</v>
      </c>
      <c r="C8" s="82" t="s">
        <v>80</v>
      </c>
      <c r="D8" s="83" t="s">
        <v>81</v>
      </c>
      <c r="E8" s="16">
        <v>41925</v>
      </c>
      <c r="F8" s="16">
        <v>41936</v>
      </c>
      <c r="G8" s="16">
        <v>41933</v>
      </c>
      <c r="H8" s="16"/>
      <c r="I8" s="15"/>
      <c r="J8" s="83"/>
      <c r="K8" s="84">
        <v>42306</v>
      </c>
    </row>
    <row r="9" spans="1:17" s="81" customFormat="1" ht="30">
      <c r="A9" s="81" t="s">
        <v>59</v>
      </c>
      <c r="B9" s="81" t="s">
        <v>60</v>
      </c>
      <c r="C9" s="82" t="s">
        <v>78</v>
      </c>
      <c r="D9" s="83" t="s">
        <v>79</v>
      </c>
      <c r="E9" s="16">
        <v>41922</v>
      </c>
      <c r="F9" s="16">
        <v>41950</v>
      </c>
      <c r="G9" s="16">
        <v>41949</v>
      </c>
      <c r="H9" s="16"/>
      <c r="I9" s="15">
        <v>3</v>
      </c>
      <c r="J9" s="83"/>
      <c r="K9" s="84">
        <v>42306</v>
      </c>
    </row>
    <row r="10" spans="1:17" s="81" customFormat="1" ht="30">
      <c r="A10" s="81" t="s">
        <v>59</v>
      </c>
      <c r="B10" s="81" t="s">
        <v>60</v>
      </c>
      <c r="C10" s="82" t="s">
        <v>61</v>
      </c>
      <c r="D10" s="83" t="s">
        <v>62</v>
      </c>
      <c r="E10" s="16">
        <v>41739</v>
      </c>
      <c r="F10" s="16">
        <v>41778</v>
      </c>
      <c r="G10" s="16">
        <v>41772</v>
      </c>
      <c r="H10" s="16"/>
      <c r="I10" s="15">
        <v>3</v>
      </c>
      <c r="J10" s="83"/>
      <c r="K10" s="84">
        <v>42306</v>
      </c>
    </row>
    <row r="11" spans="1:17" s="81" customFormat="1" ht="30">
      <c r="A11" s="81" t="s">
        <v>59</v>
      </c>
      <c r="B11" s="81" t="s">
        <v>60</v>
      </c>
      <c r="C11" s="82" t="s">
        <v>66</v>
      </c>
      <c r="D11" s="83" t="s">
        <v>65</v>
      </c>
      <c r="E11" s="16">
        <v>41746</v>
      </c>
      <c r="F11" s="16">
        <v>41781</v>
      </c>
      <c r="G11" s="16">
        <v>41779</v>
      </c>
      <c r="H11" s="16"/>
      <c r="I11" s="15">
        <v>5</v>
      </c>
      <c r="J11" s="83" t="s">
        <v>77</v>
      </c>
      <c r="K11" s="84">
        <v>42306</v>
      </c>
    </row>
    <row r="12" spans="1:17" ht="30">
      <c r="A12" s="81" t="s">
        <v>59</v>
      </c>
      <c r="B12" s="81" t="s">
        <v>60</v>
      </c>
      <c r="C12" s="82" t="s">
        <v>75</v>
      </c>
      <c r="D12" s="83" t="s">
        <v>74</v>
      </c>
      <c r="E12" s="16">
        <v>41824</v>
      </c>
      <c r="F12" s="16">
        <v>41911</v>
      </c>
      <c r="G12" s="16">
        <v>41907</v>
      </c>
      <c r="H12" s="16"/>
      <c r="I12" s="15">
        <v>2</v>
      </c>
      <c r="J12" s="83"/>
      <c r="K12" s="84">
        <v>42306</v>
      </c>
    </row>
    <row r="13" spans="1:17" ht="30">
      <c r="A13" s="81" t="s">
        <v>59</v>
      </c>
      <c r="B13" s="81" t="s">
        <v>60</v>
      </c>
      <c r="C13" s="82" t="s">
        <v>68</v>
      </c>
      <c r="D13" s="83" t="s">
        <v>67</v>
      </c>
      <c r="E13" s="16">
        <v>41774</v>
      </c>
      <c r="F13" s="16">
        <v>41781</v>
      </c>
      <c r="G13" s="16">
        <v>41779</v>
      </c>
      <c r="H13" s="16">
        <v>41816</v>
      </c>
      <c r="I13" s="15"/>
      <c r="J13" s="83" t="s">
        <v>69</v>
      </c>
      <c r="K13" s="84">
        <v>42306</v>
      </c>
    </row>
    <row r="14" spans="1:17" ht="30">
      <c r="A14" s="81" t="s">
        <v>59</v>
      </c>
      <c r="B14" s="81" t="s">
        <v>60</v>
      </c>
      <c r="C14" s="82" t="s">
        <v>63</v>
      </c>
      <c r="D14" s="83" t="s">
        <v>64</v>
      </c>
      <c r="E14" s="16">
        <v>41723</v>
      </c>
      <c r="F14" s="16">
        <v>41747</v>
      </c>
      <c r="G14" s="16">
        <v>41745</v>
      </c>
      <c r="H14" s="16"/>
      <c r="I14" s="15">
        <v>2</v>
      </c>
      <c r="J14" s="83" t="s">
        <v>76</v>
      </c>
      <c r="K14" s="84">
        <v>42306</v>
      </c>
    </row>
    <row r="15" spans="1:17">
      <c r="A15" s="28"/>
      <c r="B15" s="28"/>
      <c r="C15" s="27" t="s">
        <v>15</v>
      </c>
      <c r="D15" s="33">
        <f>SUBTOTAL(3,D8:D14)</f>
        <v>7</v>
      </c>
      <c r="E15" s="33">
        <f>SUBTOTAL(3,[Date de réception convention financière])</f>
        <v>7</v>
      </c>
      <c r="F15" s="33">
        <f>SUBTOTAL(3,[Date de réception AR kit])</f>
        <v>7</v>
      </c>
      <c r="G15" s="33">
        <f>SUBTOTAL(3,[Date de MEP])</f>
        <v>7</v>
      </c>
      <c r="H15" s="85">
        <f>SUBTOTAL(3,[Desistement])</f>
        <v>1</v>
      </c>
      <c r="I15" s="27">
        <f>SUBTOTAL(109,I8:I14)</f>
        <v>15</v>
      </c>
      <c r="J15" s="31"/>
      <c r="K15" s="32"/>
    </row>
    <row r="16" spans="1:17">
      <c r="D16" s="10"/>
      <c r="J16" s="10"/>
    </row>
    <row r="17" spans="3:3">
      <c r="C17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9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97" t="s">
        <v>17</v>
      </c>
      <c r="M4" s="63">
        <f>$B$12</f>
        <v>407</v>
      </c>
      <c r="N4" s="116" t="str">
        <f>$C$12</f>
        <v>CAUSSADE Patrick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9" t="s">
        <v>32</v>
      </c>
      <c r="M8" s="99" t="s">
        <v>31</v>
      </c>
      <c r="N8" s="98" t="s">
        <v>33</v>
      </c>
      <c r="O8" s="98" t="s">
        <v>34</v>
      </c>
      <c r="P8" s="9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407</v>
      </c>
      <c r="C10" s="42" t="s">
        <v>81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0">
        <v>407</v>
      </c>
      <c r="C11" s="101" t="s">
        <v>81</v>
      </c>
      <c r="D11" s="19">
        <v>2</v>
      </c>
      <c r="I11" s="74" t="s">
        <v>57</v>
      </c>
      <c r="T11" s="101" t="s">
        <v>80</v>
      </c>
      <c r="U11" s="12">
        <v>42306</v>
      </c>
    </row>
    <row r="12" spans="2:48" ht="25.5">
      <c r="B12" s="100">
        <v>407</v>
      </c>
      <c r="C12" s="101" t="s">
        <v>81</v>
      </c>
      <c r="D12" s="19">
        <v>3</v>
      </c>
      <c r="I12" s="74" t="s">
        <v>57</v>
      </c>
      <c r="T12" s="101" t="s">
        <v>80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92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93" t="s">
        <v>17</v>
      </c>
      <c r="M4" s="63">
        <f>$B$12</f>
        <v>404</v>
      </c>
      <c r="N4" s="116" t="str">
        <f>$C$12</f>
        <v>CHARTIER Christian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5" t="s">
        <v>32</v>
      </c>
      <c r="M8" s="95" t="s">
        <v>31</v>
      </c>
      <c r="N8" s="94" t="s">
        <v>33</v>
      </c>
      <c r="O8" s="94" t="s">
        <v>34</v>
      </c>
      <c r="P8" s="94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404</v>
      </c>
      <c r="C10" s="42" t="s">
        <v>79</v>
      </c>
      <c r="D10" s="19">
        <v>1</v>
      </c>
      <c r="E10" s="25">
        <v>41961</v>
      </c>
      <c r="F10" s="25">
        <v>41963</v>
      </c>
      <c r="G10" s="25">
        <v>41963</v>
      </c>
      <c r="H10" s="25">
        <v>41963</v>
      </c>
      <c r="I10" s="74" t="s">
        <v>71</v>
      </c>
      <c r="J10" s="25">
        <v>41973</v>
      </c>
      <c r="K10" s="25">
        <v>41971</v>
      </c>
      <c r="L10" s="25">
        <v>42032</v>
      </c>
      <c r="M10" s="25">
        <v>42027</v>
      </c>
      <c r="N10" s="25">
        <v>42081</v>
      </c>
      <c r="O10" s="25">
        <v>42023</v>
      </c>
      <c r="P10" s="25">
        <v>42026</v>
      </c>
      <c r="Q10" s="25">
        <v>42326</v>
      </c>
      <c r="R10" s="25">
        <v>42144</v>
      </c>
      <c r="S10" s="25">
        <v>42145</v>
      </c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0">
        <v>404</v>
      </c>
      <c r="C11" s="101" t="s">
        <v>79</v>
      </c>
      <c r="D11" s="19">
        <v>2</v>
      </c>
      <c r="E11" s="25">
        <v>41974</v>
      </c>
      <c r="F11" s="25">
        <v>41975</v>
      </c>
      <c r="G11" s="25">
        <v>41975</v>
      </c>
      <c r="H11" s="25">
        <v>41975</v>
      </c>
      <c r="I11" s="74" t="s">
        <v>71</v>
      </c>
      <c r="J11" s="25">
        <v>41986</v>
      </c>
      <c r="K11" s="25">
        <v>41983</v>
      </c>
      <c r="L11" s="25">
        <v>42045</v>
      </c>
      <c r="M11" s="25">
        <v>42039</v>
      </c>
      <c r="N11" s="25">
        <v>42094</v>
      </c>
      <c r="O11" s="25">
        <v>42038</v>
      </c>
      <c r="P11" s="25">
        <v>42040</v>
      </c>
      <c r="Q11" s="25">
        <v>42339</v>
      </c>
      <c r="R11" s="25">
        <v>42137</v>
      </c>
      <c r="S11" s="25">
        <v>42142</v>
      </c>
      <c r="T11" s="101" t="s">
        <v>78</v>
      </c>
      <c r="U11" s="12">
        <v>42306</v>
      </c>
    </row>
    <row r="12" spans="2:48" ht="25.5">
      <c r="B12" s="100">
        <v>404</v>
      </c>
      <c r="C12" s="101" t="s">
        <v>79</v>
      </c>
      <c r="D12" s="19">
        <v>3</v>
      </c>
      <c r="E12" s="25">
        <v>41983</v>
      </c>
      <c r="F12" s="25">
        <v>41985</v>
      </c>
      <c r="G12" s="25">
        <v>41985</v>
      </c>
      <c r="H12" s="25">
        <v>41985</v>
      </c>
      <c r="I12" s="74" t="s">
        <v>71</v>
      </c>
      <c r="J12" s="25">
        <v>41995</v>
      </c>
      <c r="K12" s="25">
        <v>41992</v>
      </c>
      <c r="L12" s="25">
        <v>42054</v>
      </c>
      <c r="M12" s="25">
        <v>42053</v>
      </c>
      <c r="N12" s="25">
        <v>42103</v>
      </c>
      <c r="O12" s="25">
        <v>42052</v>
      </c>
      <c r="P12" s="25">
        <v>42053</v>
      </c>
      <c r="Q12" s="25">
        <v>42348</v>
      </c>
      <c r="R12" s="25">
        <v>42150</v>
      </c>
      <c r="S12" s="25">
        <v>42152</v>
      </c>
      <c r="T12" s="101" t="s">
        <v>78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57" t="s">
        <v>17</v>
      </c>
      <c r="M4" s="63">
        <f>$B$12</f>
        <v>112</v>
      </c>
      <c r="N4" s="116" t="str">
        <f>$C$12</f>
        <v>DUNGLER Thierry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112</v>
      </c>
      <c r="C10" s="42" t="s">
        <v>62</v>
      </c>
      <c r="D10" s="19">
        <v>1</v>
      </c>
      <c r="E10" s="25">
        <v>41778</v>
      </c>
      <c r="F10" s="25">
        <v>41782</v>
      </c>
      <c r="G10" s="25">
        <v>41782</v>
      </c>
      <c r="H10" s="25">
        <v>41780</v>
      </c>
      <c r="I10" s="74" t="s">
        <v>70</v>
      </c>
      <c r="J10" s="25">
        <v>41790</v>
      </c>
      <c r="K10" s="25">
        <v>41829</v>
      </c>
      <c r="L10" s="25">
        <v>41849</v>
      </c>
      <c r="M10" s="25">
        <v>41864</v>
      </c>
      <c r="N10" s="25">
        <v>41898</v>
      </c>
      <c r="O10" s="25"/>
      <c r="P10" s="25"/>
      <c r="Q10" s="25">
        <v>42143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9">
        <v>112</v>
      </c>
      <c r="C11" s="80" t="s">
        <v>62</v>
      </c>
      <c r="D11" s="19">
        <v>2</v>
      </c>
      <c r="E11" s="25">
        <v>41780</v>
      </c>
      <c r="F11" s="25">
        <v>41782</v>
      </c>
      <c r="G11" s="25">
        <v>41782</v>
      </c>
      <c r="H11" s="25">
        <v>41782</v>
      </c>
      <c r="I11" s="74" t="s">
        <v>70</v>
      </c>
      <c r="J11" s="25">
        <v>41792</v>
      </c>
      <c r="K11" s="25">
        <v>41793</v>
      </c>
      <c r="L11" s="25">
        <v>41851</v>
      </c>
      <c r="M11" s="25">
        <v>41849</v>
      </c>
      <c r="N11" s="25">
        <v>41900</v>
      </c>
      <c r="Q11" s="25">
        <v>42145</v>
      </c>
      <c r="T11" s="80" t="s">
        <v>61</v>
      </c>
      <c r="U11" s="12">
        <v>42306</v>
      </c>
    </row>
    <row r="12" spans="2:48" ht="25.5">
      <c r="B12" s="79">
        <v>112</v>
      </c>
      <c r="C12" s="80" t="s">
        <v>62</v>
      </c>
      <c r="D12" s="19">
        <v>3</v>
      </c>
      <c r="E12" s="25">
        <v>41792</v>
      </c>
      <c r="F12" s="25">
        <v>41793</v>
      </c>
      <c r="G12" s="25">
        <v>41793</v>
      </c>
      <c r="H12" s="25">
        <v>41793</v>
      </c>
      <c r="I12" s="74" t="s">
        <v>71</v>
      </c>
      <c r="J12" s="25">
        <v>41804</v>
      </c>
      <c r="K12" s="25">
        <v>41809</v>
      </c>
      <c r="L12" s="25">
        <v>41863</v>
      </c>
      <c r="M12" s="25">
        <v>41865</v>
      </c>
      <c r="N12" s="25">
        <v>41912</v>
      </c>
      <c r="Q12" s="25">
        <v>42157</v>
      </c>
      <c r="T12" s="80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287</v>
      </c>
      <c r="N4" s="116" t="str">
        <f>$C$14</f>
        <v>GRESSLER Bertrand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287</v>
      </c>
      <c r="C10" s="42" t="s">
        <v>65</v>
      </c>
      <c r="D10" s="19">
        <v>1</v>
      </c>
      <c r="E10" s="25">
        <v>41820</v>
      </c>
      <c r="F10" s="25">
        <v>41842</v>
      </c>
      <c r="G10" s="25"/>
      <c r="H10" s="25"/>
      <c r="I10" s="74" t="s">
        <v>57</v>
      </c>
      <c r="J10" s="25">
        <v>41832</v>
      </c>
      <c r="K10" s="25"/>
      <c r="L10" s="25">
        <v>41891</v>
      </c>
      <c r="M10" s="25"/>
      <c r="N10" s="25">
        <v>41940</v>
      </c>
      <c r="O10" s="25"/>
      <c r="P10" s="25"/>
      <c r="Q10" s="25">
        <v>42185</v>
      </c>
      <c r="R10" s="25"/>
      <c r="S10" s="25"/>
      <c r="T10" s="42" t="s">
        <v>66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9">
        <v>287</v>
      </c>
      <c r="C11" s="80" t="s">
        <v>65</v>
      </c>
      <c r="D11" s="19">
        <v>2</v>
      </c>
      <c r="E11" s="25">
        <v>41822</v>
      </c>
      <c r="F11" s="25">
        <v>41842</v>
      </c>
      <c r="H11" s="25">
        <v>41933</v>
      </c>
      <c r="I11" s="74" t="s">
        <v>82</v>
      </c>
      <c r="J11" s="25">
        <v>41834</v>
      </c>
      <c r="K11" s="25">
        <v>41933</v>
      </c>
      <c r="L11" s="25">
        <v>41893</v>
      </c>
      <c r="M11" s="25">
        <v>41933</v>
      </c>
      <c r="N11" s="25">
        <v>41942</v>
      </c>
      <c r="O11" s="25">
        <v>41942</v>
      </c>
      <c r="P11" s="25">
        <v>41949</v>
      </c>
      <c r="Q11" s="25">
        <v>42187</v>
      </c>
      <c r="T11" s="80" t="s">
        <v>66</v>
      </c>
      <c r="U11" s="12">
        <v>42306</v>
      </c>
    </row>
    <row r="12" spans="2:48" ht="25.5">
      <c r="B12" s="79">
        <v>287</v>
      </c>
      <c r="C12" s="80" t="s">
        <v>65</v>
      </c>
      <c r="D12" s="19">
        <v>3</v>
      </c>
      <c r="E12" s="25">
        <v>41827</v>
      </c>
      <c r="F12" s="25">
        <v>41842</v>
      </c>
      <c r="I12" s="74" t="s">
        <v>57</v>
      </c>
      <c r="J12" s="25">
        <v>41839</v>
      </c>
      <c r="L12" s="25">
        <v>41898</v>
      </c>
      <c r="N12" s="25">
        <v>41947</v>
      </c>
      <c r="Q12" s="25">
        <v>42192</v>
      </c>
      <c r="T12" s="80" t="s">
        <v>66</v>
      </c>
      <c r="U12" s="12">
        <v>42306</v>
      </c>
    </row>
    <row r="13" spans="2:48" ht="25.5">
      <c r="B13" s="90">
        <v>287</v>
      </c>
      <c r="C13" s="91" t="s">
        <v>65</v>
      </c>
      <c r="D13" s="19">
        <v>4</v>
      </c>
      <c r="E13" s="25">
        <v>41921</v>
      </c>
      <c r="F13" s="25">
        <v>41925</v>
      </c>
      <c r="I13" s="74" t="s">
        <v>57</v>
      </c>
      <c r="J13" s="25">
        <v>41933</v>
      </c>
      <c r="L13" s="25">
        <v>41992</v>
      </c>
      <c r="N13" s="25">
        <v>42041</v>
      </c>
      <c r="Q13" s="25">
        <v>42286</v>
      </c>
      <c r="T13" s="91" t="s">
        <v>66</v>
      </c>
      <c r="U13" s="12">
        <v>42306</v>
      </c>
    </row>
    <row r="14" spans="2:48" ht="25.5">
      <c r="B14" s="90">
        <v>287</v>
      </c>
      <c r="C14" s="91" t="s">
        <v>65</v>
      </c>
      <c r="D14" s="19">
        <v>5</v>
      </c>
      <c r="E14" s="25">
        <v>41946</v>
      </c>
      <c r="F14" s="25">
        <v>41948</v>
      </c>
      <c r="H14" s="25">
        <v>41967</v>
      </c>
      <c r="I14" s="74" t="s">
        <v>83</v>
      </c>
      <c r="J14" s="25">
        <v>41958</v>
      </c>
      <c r="K14" s="25">
        <v>41975</v>
      </c>
      <c r="L14" s="25">
        <v>42017</v>
      </c>
      <c r="M14" s="25">
        <v>42032</v>
      </c>
      <c r="N14" s="25">
        <v>42066</v>
      </c>
      <c r="O14" s="25">
        <v>42065</v>
      </c>
      <c r="P14" s="25">
        <v>42069</v>
      </c>
      <c r="Q14" s="25">
        <v>42311</v>
      </c>
      <c r="T14" s="91" t="s">
        <v>66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8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87" t="s">
        <v>17</v>
      </c>
      <c r="M4" s="63">
        <f>$B$12</f>
        <v>379</v>
      </c>
      <c r="N4" s="116" t="str">
        <f>$C$12</f>
        <v>GUTMANN HELLER Agnès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9" t="s">
        <v>32</v>
      </c>
      <c r="M8" s="89" t="s">
        <v>31</v>
      </c>
      <c r="N8" s="88" t="s">
        <v>33</v>
      </c>
      <c r="O8" s="88" t="s">
        <v>34</v>
      </c>
      <c r="P8" s="8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379</v>
      </c>
      <c r="C10" s="42" t="s">
        <v>74</v>
      </c>
      <c r="D10" s="19">
        <v>1</v>
      </c>
      <c r="E10" s="25">
        <v>41971</v>
      </c>
      <c r="F10" s="25">
        <v>41992</v>
      </c>
      <c r="G10" s="25">
        <v>41992</v>
      </c>
      <c r="H10" s="25">
        <v>41992</v>
      </c>
      <c r="I10" s="74" t="s">
        <v>84</v>
      </c>
      <c r="J10" s="25">
        <v>41983</v>
      </c>
      <c r="K10" s="25">
        <v>41984</v>
      </c>
      <c r="L10" s="25">
        <v>42042</v>
      </c>
      <c r="M10" s="25">
        <v>42037</v>
      </c>
      <c r="N10" s="25">
        <v>42091</v>
      </c>
      <c r="O10" s="25">
        <v>41982</v>
      </c>
      <c r="P10" s="25">
        <v>41992</v>
      </c>
      <c r="Q10" s="25">
        <v>42336</v>
      </c>
      <c r="R10" s="25">
        <v>42039</v>
      </c>
      <c r="S10" s="25">
        <v>42040</v>
      </c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90">
        <v>379</v>
      </c>
      <c r="C11" s="91" t="s">
        <v>74</v>
      </c>
      <c r="D11" s="19">
        <v>2</v>
      </c>
      <c r="E11" s="25">
        <v>41982</v>
      </c>
      <c r="F11" s="25">
        <v>41992</v>
      </c>
      <c r="G11" s="25">
        <v>41992</v>
      </c>
      <c r="H11" s="25">
        <v>41992</v>
      </c>
      <c r="I11" s="74" t="s">
        <v>85</v>
      </c>
      <c r="J11" s="25">
        <v>41994</v>
      </c>
      <c r="K11" s="25">
        <v>42019</v>
      </c>
      <c r="L11" s="25">
        <v>42053</v>
      </c>
      <c r="M11" s="25">
        <v>42102</v>
      </c>
      <c r="N11" s="25">
        <v>42102</v>
      </c>
      <c r="O11" s="25">
        <v>42017</v>
      </c>
      <c r="P11" s="25">
        <v>42019</v>
      </c>
      <c r="Q11" s="25">
        <v>42347</v>
      </c>
      <c r="T11" s="91" t="s">
        <v>75</v>
      </c>
      <c r="U11" s="12">
        <v>42306</v>
      </c>
    </row>
    <row r="12" spans="2:48" ht="25.5">
      <c r="B12" s="90">
        <v>379</v>
      </c>
      <c r="C12" s="91" t="s">
        <v>74</v>
      </c>
      <c r="D12" s="19">
        <v>3</v>
      </c>
      <c r="I12" s="74" t="s">
        <v>57</v>
      </c>
      <c r="T12" s="91" t="s">
        <v>75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7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76" t="s">
        <v>17</v>
      </c>
      <c r="M4" s="63">
        <f>$B$12</f>
        <v>291</v>
      </c>
      <c r="N4" s="116" t="str">
        <f>$C$12</f>
        <v>NORMAND-NEMETH Françoise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8" t="s">
        <v>32</v>
      </c>
      <c r="M8" s="78" t="s">
        <v>31</v>
      </c>
      <c r="N8" s="77" t="s">
        <v>33</v>
      </c>
      <c r="O8" s="77" t="s">
        <v>34</v>
      </c>
      <c r="P8" s="7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291</v>
      </c>
      <c r="C10" s="42" t="s">
        <v>67</v>
      </c>
      <c r="D10" s="19">
        <v>1</v>
      </c>
      <c r="E10" s="25"/>
      <c r="F10" s="25"/>
      <c r="G10" s="25"/>
      <c r="H10" s="25"/>
      <c r="I10" s="7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79">
        <v>291</v>
      </c>
      <c r="C11" s="80" t="s">
        <v>67</v>
      </c>
      <c r="D11" s="19">
        <v>2</v>
      </c>
      <c r="I11" s="74" t="s">
        <v>57</v>
      </c>
      <c r="T11" s="80" t="s">
        <v>68</v>
      </c>
      <c r="U11" s="12">
        <v>42306</v>
      </c>
    </row>
    <row r="12" spans="2:48" ht="38.25">
      <c r="B12" s="79">
        <v>291</v>
      </c>
      <c r="C12" s="80" t="s">
        <v>67</v>
      </c>
      <c r="D12" s="19">
        <v>3</v>
      </c>
      <c r="I12" s="74" t="s">
        <v>57</v>
      </c>
      <c r="T12" s="80" t="s">
        <v>68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2" t="s">
        <v>16</v>
      </c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4"/>
      <c r="M3" s="114"/>
      <c r="N3" s="114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5" t="s">
        <v>58</v>
      </c>
      <c r="E4" s="115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111</v>
      </c>
      <c r="N4" s="116" t="str">
        <f>$C$12</f>
        <v>TROMP Guy</v>
      </c>
      <c r="O4" s="116"/>
      <c r="P4" s="116"/>
      <c r="Q4" s="116"/>
      <c r="R4" s="11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7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3" t="s">
        <v>19</v>
      </c>
      <c r="F7" s="104"/>
      <c r="G7" s="104"/>
      <c r="H7" s="104"/>
      <c r="I7" s="104"/>
      <c r="J7" s="105" t="s">
        <v>20</v>
      </c>
      <c r="K7" s="106"/>
      <c r="L7" s="107" t="s">
        <v>21</v>
      </c>
      <c r="M7" s="107"/>
      <c r="N7" s="108" t="s">
        <v>22</v>
      </c>
      <c r="O7" s="109"/>
      <c r="P7" s="110"/>
      <c r="Q7" s="111" t="s">
        <v>23</v>
      </c>
      <c r="R7" s="109"/>
      <c r="S7" s="11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111</v>
      </c>
      <c r="C10" s="42" t="s">
        <v>64</v>
      </c>
      <c r="D10" s="19">
        <v>1</v>
      </c>
      <c r="E10" s="25">
        <v>41759</v>
      </c>
      <c r="F10" s="25">
        <v>41773</v>
      </c>
      <c r="G10" s="25">
        <v>41773</v>
      </c>
      <c r="H10" s="25">
        <v>41780</v>
      </c>
      <c r="I10" s="44" t="s">
        <v>72</v>
      </c>
      <c r="J10" s="25">
        <v>41771</v>
      </c>
      <c r="K10" s="25">
        <v>41786</v>
      </c>
      <c r="L10" s="25">
        <v>41830</v>
      </c>
      <c r="M10" s="25">
        <v>41907</v>
      </c>
      <c r="N10" s="25">
        <v>41879</v>
      </c>
      <c r="O10" s="25">
        <v>41817</v>
      </c>
      <c r="P10" s="25">
        <v>41823</v>
      </c>
      <c r="Q10" s="25">
        <v>42124</v>
      </c>
      <c r="R10" s="25">
        <v>41915</v>
      </c>
      <c r="S10" s="25">
        <v>41919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111</v>
      </c>
      <c r="C11" s="73" t="s">
        <v>64</v>
      </c>
      <c r="D11" s="19">
        <v>2</v>
      </c>
      <c r="E11" s="25">
        <v>41771</v>
      </c>
      <c r="F11" s="25">
        <v>41773</v>
      </c>
      <c r="G11" s="25">
        <v>41773</v>
      </c>
      <c r="H11" s="25">
        <v>41792</v>
      </c>
      <c r="I11" s="74" t="s">
        <v>73</v>
      </c>
      <c r="J11" s="25">
        <v>41783</v>
      </c>
      <c r="K11" s="25">
        <v>41793</v>
      </c>
      <c r="L11" s="25">
        <v>41842</v>
      </c>
      <c r="N11" s="25">
        <v>41891</v>
      </c>
      <c r="O11" s="25">
        <v>41827</v>
      </c>
      <c r="P11" s="25">
        <v>41829</v>
      </c>
      <c r="Q11" s="25">
        <v>42136</v>
      </c>
      <c r="R11" s="25">
        <v>41939</v>
      </c>
      <c r="S11" s="25">
        <v>41940</v>
      </c>
      <c r="T11" s="73" t="s">
        <v>63</v>
      </c>
      <c r="U11" s="12">
        <v>42306</v>
      </c>
    </row>
    <row r="12" spans="2:48" ht="25.5">
      <c r="B12" s="72">
        <v>111</v>
      </c>
      <c r="C12" s="73" t="s">
        <v>64</v>
      </c>
      <c r="D12" s="19">
        <v>3</v>
      </c>
      <c r="I12" s="74" t="s">
        <v>57</v>
      </c>
      <c r="T12" s="73" t="s">
        <v>63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Secteur DE00203</vt:lpstr>
      <vt:lpstr>01731021</vt:lpstr>
      <vt:lpstr>01885647</vt:lpstr>
      <vt:lpstr>03141390</vt:lpstr>
      <vt:lpstr>04229452</vt:lpstr>
      <vt:lpstr>04405638</vt:lpstr>
      <vt:lpstr>06888682</vt:lpstr>
      <vt:lpstr>08955870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2015-10-29T22:01:51Z</dcterms:modified>
</cp:coreProperties>
</file>