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788"/>
  </bookViews>
  <sheets>
    <sheet name="Secteur DE0304" sheetId="1" r:id="rId1"/>
    <sheet name="02599111" sheetId="16" r:id="rId2"/>
    <sheet name="02745550" sheetId="15" r:id="rId3"/>
    <sheet name="03093938" sheetId="2" r:id="rId4"/>
    <sheet name="03216360" sheetId="3" r:id="rId5"/>
    <sheet name="04099915" sheetId="4" r:id="rId6"/>
    <sheet name="05636682" sheetId="9" r:id="rId7"/>
    <sheet name="05562935" sheetId="8" r:id="rId8"/>
    <sheet name="05499488" sheetId="5" r:id="rId9"/>
    <sheet name="06401487" sheetId="13" r:id="rId10"/>
    <sheet name="07379919" sheetId="11" r:id="rId11"/>
    <sheet name="01792618" sheetId="7" r:id="rId12"/>
    <sheet name="07337880" sheetId="14" r:id="rId13"/>
    <sheet name="07531349" sheetId="6" r:id="rId14"/>
    <sheet name="07780683" sheetId="17" r:id="rId15"/>
    <sheet name="07662229" sheetId="12" r:id="rId16"/>
    <sheet name="09605251" sheetId="10" r:id="rId17"/>
  </sheets>
  <definedNames>
    <definedName name="Lancer_la_requête_à_partir_de_MS_Access_Database" localSheetId="11" hidden="1">'01792618'!$B$9:$U$12</definedName>
    <definedName name="Lancer_la_requête_à_partir_de_MS_Access_Database" localSheetId="1" hidden="1">'02599111'!$B$9:$U$12</definedName>
    <definedName name="Lancer_la_requête_à_partir_de_MS_Access_Database" localSheetId="2" hidden="1">'02745550'!$B$9:$U$14</definedName>
    <definedName name="Lancer_la_requête_à_partir_de_MS_Access_Database" localSheetId="3" hidden="1">'03093938'!$B$9:$U$14</definedName>
    <definedName name="Lancer_la_requête_à_partir_de_MS_Access_Database" localSheetId="4" hidden="1">'03216360'!$B$9:$U$14</definedName>
    <definedName name="Lancer_la_requête_à_partir_de_MS_Access_Database" localSheetId="5" hidden="1">'04099915'!$B$9:$U$14</definedName>
    <definedName name="Lancer_la_requête_à_partir_de_MS_Access_Database" localSheetId="8" hidden="1">'05499488'!$B$9:$U$12</definedName>
    <definedName name="Lancer_la_requête_à_partir_de_MS_Access_Database" localSheetId="7" hidden="1">'05562935'!$B$9:$U$12</definedName>
    <definedName name="Lancer_la_requête_à_partir_de_MS_Access_Database" localSheetId="6" hidden="1">'05636682'!$B$9:$U$12</definedName>
    <definedName name="Lancer_la_requête_à_partir_de_MS_Access_Database" localSheetId="9" hidden="1">'06401487'!$B$9:$U$12</definedName>
    <definedName name="Lancer_la_requête_à_partir_de_MS_Access_Database" localSheetId="12" hidden="1">'07337880'!$B$9:$U$12</definedName>
    <definedName name="Lancer_la_requête_à_partir_de_MS_Access_Database" localSheetId="10" hidden="1">'07379919'!$B$9:$U$14</definedName>
    <definedName name="Lancer_la_requête_à_partir_de_MS_Access_Database" localSheetId="13" hidden="1">'07531349'!$B$9:$U$12</definedName>
    <definedName name="Lancer_la_requête_à_partir_de_MS_Access_Database" localSheetId="15" hidden="1">'07662229'!$B$9:$U$12</definedName>
    <definedName name="Lancer_la_requête_à_partir_de_MS_Access_Database" localSheetId="14" hidden="1">'07780683'!$B$9:$U$12</definedName>
    <definedName name="Lancer_la_requête_à_partir_de_MS_Access_Database" localSheetId="16" hidden="1">'09605251'!$B$9:$U$14</definedName>
    <definedName name="Lancer_la_requête_à_partir_de_MS_Access_Database_1" localSheetId="0" hidden="1">'Secteur DE0304'!$A$7:$K$23</definedName>
  </definedNames>
  <calcPr calcId="125725"/>
</workbook>
</file>

<file path=xl/calcChain.xml><?xml version="1.0" encoding="utf-8"?>
<calcChain xmlns="http://schemas.openxmlformats.org/spreadsheetml/2006/main">
  <c r="D24" i="1"/>
  <c r="E24"/>
  <c r="F24"/>
  <c r="G24"/>
  <c r="H24"/>
  <c r="I24"/>
  <c r="N4" i="17"/>
  <c r="M4"/>
  <c r="F4"/>
  <c r="N4" i="16"/>
  <c r="M4"/>
  <c r="F4"/>
  <c r="N4" i="15"/>
  <c r="M4"/>
  <c r="F4"/>
  <c r="N4" i="14"/>
  <c r="M4"/>
  <c r="F4"/>
  <c r="N4" i="13"/>
  <c r="M4"/>
  <c r="F4"/>
  <c r="N4" i="12"/>
  <c r="M4"/>
  <c r="F4"/>
  <c r="N4" i="11"/>
  <c r="M4"/>
  <c r="F4"/>
  <c r="N4" i="10"/>
  <c r="M4"/>
  <c r="F4"/>
  <c r="N4" i="9" l="1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4')_x000d__x000a_ORDER BY Req_REPORT_SECTEURS_GLOBAL.Medecin"/>
  </connection>
  <connection id="2" name="Lancer la requête à partir de MS Access Database0179261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792618')"/>
  </connection>
  <connection id="3" name="Lancer la requête à partir de MS Access Database0259911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599111')"/>
  </connection>
  <connection id="4" name="Lancer la requête à partir de MS Access Database027455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745550')"/>
  </connection>
  <connection id="5" name="Lancer la requête à partir de MS Access Database030939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093938')"/>
  </connection>
  <connection id="6" name="Lancer la requête à partir de MS Access Database0321636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16360')"/>
  </connection>
  <connection id="7" name="Lancer la requête à partir de MS Access Database040999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099915')"/>
  </connection>
  <connection id="8" name="Lancer la requête à partir de MS Access Database0549948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99488')"/>
  </connection>
  <connection id="9" name="Lancer la requête à partir de MS Access Database0556293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562935')"/>
  </connection>
  <connection id="10" name="Lancer la requête à partir de MS Access Database0563668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36682')"/>
  </connection>
  <connection id="11" name="Lancer la requête à partir de MS Access Database0640148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401487')"/>
  </connection>
  <connection id="12" name="Lancer la requête à partir de MS Access Database073378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337880')"/>
  </connection>
  <connection id="13" name="Lancer la requête à partir de MS Access Database0737991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379919')"/>
  </connection>
  <connection id="14" name="Lancer la requête à partir de MS Access Database0753134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531349')"/>
  </connection>
  <connection id="15" name="Lancer la requête à partir de MS Access Database0766222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662229')"/>
  </connection>
  <connection id="16" name="Lancer la requête à partir de MS Access Database0778068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780683')"/>
  </connection>
  <connection id="17" name="Lancer la requête à partir de MS Access Database0960525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605251')"/>
  </connection>
</connections>
</file>

<file path=xl/sharedStrings.xml><?xml version="1.0" encoding="utf-8"?>
<sst xmlns="http://schemas.openxmlformats.org/spreadsheetml/2006/main" count="1007" uniqueCount="117">
  <si>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</si>
  <si>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</si>
  <si>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</si>
  <si>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</si>
  <si>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</si>
  <si>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</si>
  <si>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</si>
  <si>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</si>
  <si>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</si>
  <si>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</si>
  <si>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</si>
  <si>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</si>
  <si>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</si>
  <si>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</si>
  <si>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</si>
  <si>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</si>
  <si>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</si>
  <si>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</si>
  <si>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</si>
  <si>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</si>
  <si>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</si>
  <si>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</si>
  <si>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</si>
  <si>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</si>
  <si>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</si>
  <si>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</si>
  <si>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</si>
  <si>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</si>
  <si>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</si>
  <si>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</si>
  <si>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</si>
  <si>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</si>
  <si>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</si>
  <si>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</si>
  <si>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</si>
  <si>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</si>
  <si>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</si>
  <si>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</si>
  <si>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</si>
  <si>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</si>
  <si>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</si>
  <si>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</si>
  <si>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</si>
  <si>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</si>
  <si>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</si>
  <si>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</si>
  <si>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</si>
  <si>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</si>
  <si>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</si>
  <si>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</si>
  <si>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</si>
  <si>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</si>
  <si>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</si>
  <si>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</si>
  <si>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</si>
  <si>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</si>
  <si>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</si>
  <si>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</si>
  <si>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</si>
  <si>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DE0304</t>
  </si>
  <si>
    <t>MORAULT Emmanuelle</t>
  </si>
  <si>
    <t>WFRM03093938</t>
  </si>
  <si>
    <t>DUFOUR Christine</t>
  </si>
  <si>
    <t>WFRM03216360</t>
  </si>
  <si>
    <t>DUTARTRE Hervé</t>
  </si>
  <si>
    <t>WFRM04099915</t>
  </si>
  <si>
    <t>LACHAISE Sandra</t>
  </si>
  <si>
    <t>WFRM05499488</t>
  </si>
  <si>
    <t>LEROUX Emmanuel</t>
  </si>
  <si>
    <t>WFRM07531349</t>
  </si>
  <si>
    <t>PISTORIUS ENGINGER Véronique</t>
  </si>
  <si>
    <t>PHAN NGUYEN Anne-Marie</t>
  </si>
  <si>
    <t>WFRM01792618</t>
  </si>
  <si>
    <t>LEDIEU WILLEMYNS Ghislaine</t>
  </si>
  <si>
    <t>WFRM05562935</t>
  </si>
  <si>
    <t>LANGELLA Céline</t>
  </si>
  <si>
    <t>WFRM05636682</t>
  </si>
  <si>
    <t>WFRM09605251</t>
  </si>
  <si>
    <t>VOURC'H JOURDAIN Morgane</t>
  </si>
  <si>
    <t>WFRM07379919</t>
  </si>
  <si>
    <t>PAJOT Caroline</t>
  </si>
  <si>
    <t>WFRM07662229</t>
  </si>
  <si>
    <t>RAMDENEE Parvin</t>
  </si>
  <si>
    <t>WFRM06401487</t>
  </si>
  <si>
    <t>MESLIER Christine</t>
  </si>
  <si>
    <t>PIGEON Eric</t>
  </si>
  <si>
    <t>WFRM07337880</t>
  </si>
  <si>
    <t>WFRM02745550</t>
  </si>
  <si>
    <t>DEMAIN Claire-Lucile</t>
  </si>
  <si>
    <t>Via médecin</t>
  </si>
  <si>
    <t>SMS - Téléphone</t>
  </si>
  <si>
    <t>Téléphone</t>
  </si>
  <si>
    <t>SMS - Courrier</t>
  </si>
  <si>
    <t>Courrier - Téléphone</t>
  </si>
  <si>
    <t>22mai:Envoi enveloppe T par courrier pour récupérer page manquante visite inclusion</t>
  </si>
  <si>
    <t>Mail - Courrier - Téléphone</t>
  </si>
  <si>
    <t>Courrier - Via médecin</t>
  </si>
  <si>
    <t>SMS</t>
  </si>
  <si>
    <t>Téléphone - Via médecin</t>
  </si>
  <si>
    <t>03sept: Dr va essayer d'inclure des patients, information donnée sur la date de fin des inclusions</t>
  </si>
  <si>
    <t>05/09: Le Dr a du mal à trouver des patients qui comprennent l'étude, mais va s'efforcer d'en inclure un ou plusieurs autres d'ici fin octobre. Il y pense serieusement.</t>
  </si>
  <si>
    <t>11sept: a inclus,a juste oublié de nous renvoyer les questionnaires d'inclusions. Demande d'autres cahiers.</t>
  </si>
  <si>
    <t>Mail</t>
  </si>
  <si>
    <t>Courrier</t>
  </si>
  <si>
    <t>WFRM02599111</t>
  </si>
  <si>
    <t>DEBONS Michèle</t>
  </si>
  <si>
    <t>WFRM07780683</t>
  </si>
  <si>
    <t>RENAUT Jean-Jacques</t>
  </si>
  <si>
    <t>15oct: a inclus ses 3 patients accepte de recevoir 2 nouveaux cahiers</t>
  </si>
  <si>
    <t>SMS - Mail - Courrier - Téléphone - Via médecin</t>
  </si>
  <si>
    <t>05sept:Va se renseigner pour savoir où il en est et me rappeler dans les plus bref delais.</t>
  </si>
  <si>
    <t>Mail - Courrier</t>
  </si>
  <si>
    <t>06nov: 2 nv cahiers envoyés ce jour</t>
  </si>
  <si>
    <t>18nov: 2 nouveaux cahiers envoyés ce jour</t>
  </si>
  <si>
    <t>Reste 2 patients à inclure</t>
  </si>
  <si>
    <t>Colonne1</t>
  </si>
  <si>
    <t>Question de la PV du 29/04/2015 : confirme que la kératose n'était pas localisée sur la paupière, mais au bas de l'œil, près du nez du patient. Traitement arrêté suite à un œdème palpébral.</t>
  </si>
</sst>
</file>

<file path=xl/styles.xml><?xml version="1.0" encoding="utf-8"?>
<styleSheet xmlns="http://schemas.openxmlformats.org/spreadsheetml/2006/main">
  <numFmts count="1">
    <numFmt numFmtId="164" formatCode="dd/mm/yy;@"/>
  </numFmts>
  <fonts count="30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67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5" fillId="2" borderId="0" xfId="1" applyFont="1" applyFill="1" applyAlignment="1">
      <alignment horizontal="left" wrapText="1"/>
    </xf>
    <xf numFmtId="0" fontId="5" fillId="2" borderId="0" xfId="1" applyFont="1" applyFill="1" applyBorder="1" applyAlignment="1">
      <alignment horizontal="left" wrapText="1"/>
    </xf>
    <xf numFmtId="0" fontId="0" fillId="0" borderId="0" xfId="0" applyBorder="1" applyAlignment="1">
      <alignment wrapText="1"/>
    </xf>
    <xf numFmtId="22" fontId="0" fillId="0" borderId="0" xfId="0" applyNumberFormat="1" applyBorder="1" applyAlignment="1">
      <alignment wrapText="1"/>
    </xf>
    <xf numFmtId="2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11" borderId="0" xfId="0" applyFill="1" applyAlignment="1">
      <alignment vertical="center"/>
    </xf>
    <xf numFmtId="0" fontId="11" fillId="11" borderId="0" xfId="2" applyFill="1" applyAlignment="1" applyProtection="1">
      <alignment horizontal="center" vertical="center"/>
    </xf>
    <xf numFmtId="22" fontId="0" fillId="11" borderId="0" xfId="0" applyNumberFormat="1" applyFill="1" applyAlignment="1">
      <alignment vertical="center"/>
    </xf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vertical="center"/>
    </xf>
    <xf numFmtId="0" fontId="29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6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62"/>
      <tableStyleElement type="headerRow" dxfId="361"/>
      <tableStyleElement type="totalRow" dxfId="360"/>
      <tableStyleElement type="firstColumn" dxfId="359"/>
      <tableStyleElement type="lastColumn" dxfId="358"/>
      <tableStyleElement type="firstRowStripe" dxfId="357"/>
      <tableStyleElement type="secondRowStripe" dxfId="356"/>
      <tableStyleElement type="firstColumnStripe" dxfId="355"/>
      <tableStyleElement type="secondColumnStripe" dxfId="354"/>
    </tableStyle>
    <tableStyle name="TableStyleLight8 2" pivot="0" count="9">
      <tableStyleElement type="wholeTable" dxfId="353"/>
      <tableStyleElement type="headerRow" dxfId="352"/>
      <tableStyleElement type="totalRow" dxfId="351"/>
      <tableStyleElement type="firstColumn" dxfId="350"/>
      <tableStyleElement type="lastColumn" dxfId="349"/>
      <tableStyleElement type="firstRowStripe" dxfId="348"/>
      <tableStyleElement type="secondRowStripe" dxfId="347"/>
      <tableStyleElement type="firstColumnStripe" dxfId="346"/>
      <tableStyleElement type="secondColumnStripe" dxfId="34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4" tableType="queryTable" totalsRowCount="1" headerRowDxfId="344" dataDxfId="343">
  <tableColumns count="12">
    <tableColumn id="1" uniqueName="1" name="Code Secteur" queryTableFieldId="1" dataDxfId="331" totalsRowDxfId="332"/>
    <tableColumn id="2" uniqueName="2" name="VM" queryTableFieldId="2" dataDxfId="330" totalsRowDxfId="333"/>
    <tableColumn id="3" uniqueName="3" name="Code médecin" totalsRowLabel="TOTAL" queryTableFieldId="3" dataDxfId="329" totalsRowDxfId="334" dataCellStyle="Lien hypertexte"/>
    <tableColumn id="4" uniqueName="4" name="Medecin" totalsRowFunction="custom" queryTableFieldId="4" dataDxfId="328" totalsRowDxfId="335">
      <totalsRowFormula>SUBTOTAL(3,D8:D23)</totalsRowFormula>
    </tableColumn>
    <tableColumn id="5" uniqueName="5" name="Date de réception convention financière" totalsRowFunction="custom" queryTableFieldId="5" dataDxfId="327" totalsRowDxfId="336">
      <totalsRowFormula>SUBTOTAL(3,[Date de réception convention financière])</totalsRowFormula>
    </tableColumn>
    <tableColumn id="6" uniqueName="6" name="Date de réception AR kit" totalsRowFunction="custom" queryTableFieldId="6" dataDxfId="326" totalsRowDxfId="337">
      <totalsRowFormula>SUBTOTAL(3,[Date de réception AR kit])</totalsRowFormula>
    </tableColumn>
    <tableColumn id="7" uniqueName="7" name="Date de MEP" totalsRowFunction="custom" queryTableFieldId="7" dataDxfId="325" totalsRowDxfId="338">
      <totalsRowFormula>SUBTOTAL(3,[Date de MEP])</totalsRowFormula>
    </tableColumn>
    <tableColumn id="8" uniqueName="8" name="Desistement" totalsRowFunction="custom" queryTableFieldId="8" dataDxfId="324" totalsRowDxfId="339">
      <totalsRowFormula>SUBTOTAL(3,[Desistement])</totalsRowFormula>
    </tableColumn>
    <tableColumn id="9" uniqueName="9" name="Nb Total Patients inclus" totalsRowFunction="custom" queryTableFieldId="9" dataDxfId="323" totalsRowDxfId="340">
      <totalsRowFormula>SUBTOTAL(109,I8:I23)</totalsRowFormula>
    </tableColumn>
    <tableColumn id="10" uniqueName="10" name="Comptes-rendus contact médecin-GECEM" queryTableFieldId="10" dataDxfId="322" totalsRowDxfId="341"/>
    <tableColumn id="11" uniqueName="11" name="Date" queryTableFieldId="11" dataDxfId="321" totalsRowDxfId="342"/>
    <tableColumn id="12" uniqueName="12" name="Colonne1" queryTableFieldId="12" dataDxfId="32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6" name="Tableau_Lancer_la_requête_à_partir_de_MS_Access_Database1617" displayName="Tableau_Lancer_la_requête_à_partir_de_MS_Access_Database1617" ref="B9:U12" tableType="queryTable" totalsRowShown="0">
  <autoFilter ref="B9:U12"/>
  <tableColumns count="20">
    <tableColumn id="1" uniqueName="1" name="Num_Centre" queryTableFieldId="1" dataDxfId="319"/>
    <tableColumn id="2" uniqueName="2" name="Investigateur" queryTableFieldId="2" dataDxfId="318"/>
    <tableColumn id="3" uniqueName="3" name="Num_Patient" queryTableFieldId="3" dataDxfId="317"/>
    <tableColumn id="4" uniqueName="4" name="INCLUSION_Visite" queryTableFieldId="4" dataDxfId="316"/>
    <tableColumn id="5" uniqueName="5" name="INCLUSION_Reception" queryTableFieldId="5" dataDxfId="315"/>
    <tableColumn id="6" uniqueName="6" name="AQINCLUSION_Reception" queryTableFieldId="6" dataDxfId="314"/>
    <tableColumn id="7" uniqueName="7" name="CONTACT_Reception" queryTableFieldId="7" dataDxfId="313"/>
    <tableColumn id="8" uniqueName="8" name="TypeRappel" queryTableFieldId="8" dataDxfId="312"/>
    <tableColumn id="9" uniqueName="9" name="AQ7Theo" queryTableFieldId="9" dataDxfId="311"/>
    <tableColumn id="10" uniqueName="10" name="AQJ7_Reception" queryTableFieldId="10" dataDxfId="310"/>
    <tableColumn id="11" uniqueName="11" name="AQ_M2_Theo" queryTableFieldId="11" dataDxfId="309"/>
    <tableColumn id="12" uniqueName="12" name="AQM2_Reception" queryTableFieldId="12" dataDxfId="308"/>
    <tableColumn id="13" uniqueName="13" name="VP_Theo" queryTableFieldId="13" dataDxfId="307"/>
    <tableColumn id="14" uniqueName="14" name="PRECOCE_Visite" queryTableFieldId="14" dataDxfId="306"/>
    <tableColumn id="15" uniqueName="15" name="PRECOCE_Reception" queryTableFieldId="15" dataDxfId="305"/>
    <tableColumn id="16" uniqueName="16" name="VT_Theo" queryTableFieldId="16" dataDxfId="304"/>
    <tableColumn id="17" uniqueName="17" name="TARDIF_Visite" queryTableFieldId="17" dataDxfId="303"/>
    <tableColumn id="18" uniqueName="18" name="TARDIF_Reception" queryTableFieldId="18" dataDxfId="302"/>
    <tableColumn id="19" uniqueName="19" name="Onekey" queryTableFieldId="19" dataDxfId="301"/>
    <tableColumn id="20" uniqueName="20" name="Date" queryTableFieldId="20" dataDxfId="3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5" name="Tableau_Lancer_la_requête_à_partir_de_MS_Access_Database16" displayName="Tableau_Lancer_la_requête_à_partir_de_MS_Access_Database16" ref="B9:U14" tableType="queryTable" totalsRowShown="0">
  <autoFilter ref="B9:U14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9" name="Tableau_Lancer_la_requête_à_partir_de_MS_Access_Database456710" displayName="Tableau_Lancer_la_requête_à_partir_de_MS_Access_Database456710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8" name="Tableau_Lancer_la_requête_à_partir_de_MS_Access_Database45679" displayName="Tableau_Lancer_la_requête_à_partir_de_MS_Access_Database45679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3" name="Tableau_Lancer_la_requête_à_partir_de_MS_Access_Database45671114" displayName="Tableau_Lancer_la_requête_à_partir_de_MS_Access_Database45671114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1" name="Tableau_Lancer_la_requête_à_partir_de_MS_Access_Database45671112" displayName="Tableau_Lancer_la_requête_à_partir_de_MS_Access_Database45671112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4" name="Tableau_Lancer_la_requête_à_partir_de_MS_Access_Database4567815" displayName="Tableau_Lancer_la_requête_à_partir_de_MS_Access_Database4567815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7" name="Tableau_Lancer_la_requête_à_partir_de_MS_Access_Database45671118" displayName="Tableau_Lancer_la_requête_à_partir_de_MS_Access_Database45671118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2" name="Tableau_Lancer_la_requête_à_partir_de_MS_Access_Database45671113" displayName="Tableau_Lancer_la_requête_à_partir_de_MS_Access_Database45671113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10" name="Tableau_Lancer_la_requête_à_partir_de_MS_Access_Database456711" displayName="Tableau_Lancer_la_requête_à_partir_de_MS_Access_Database456711" ref="B9:U14" tableType="queryTable" totalsRowShown="0">
  <autoFilter ref="B9:U14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6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style="120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J1" s="115"/>
      <c r="K1" s="2"/>
    </row>
    <row r="2" spans="1:17" s="3" customFormat="1" ht="15.75">
      <c r="C2" s="17"/>
      <c r="D2" s="4"/>
      <c r="E2" s="11" t="s">
        <v>13</v>
      </c>
      <c r="F2" s="30" t="str">
        <f>$A$23</f>
        <v>DE0304</v>
      </c>
      <c r="G2" s="150" t="str">
        <f>$B$23</f>
        <v>MORAULT Emmanuelle</v>
      </c>
      <c r="H2" s="150"/>
      <c r="I2" s="150"/>
      <c r="J2" s="115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$K$23</f>
        <v>42306</v>
      </c>
      <c r="E3" s="22"/>
      <c r="F3" s="22"/>
      <c r="G3" s="22"/>
      <c r="H3" s="22"/>
      <c r="I3" s="17"/>
      <c r="J3" s="115"/>
      <c r="K3" s="2"/>
    </row>
    <row r="4" spans="1:17" s="3" customFormat="1">
      <c r="C4" s="17"/>
      <c r="D4" s="4"/>
      <c r="E4" s="22"/>
      <c r="F4" s="22"/>
      <c r="G4" s="22"/>
      <c r="H4" s="22"/>
      <c r="I4" s="17"/>
      <c r="J4" s="115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116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117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115</v>
      </c>
    </row>
    <row r="8" spans="1:17" s="102" customFormat="1" ht="60">
      <c r="A8" s="102" t="s">
        <v>59</v>
      </c>
      <c r="B8" s="102" t="s">
        <v>60</v>
      </c>
      <c r="C8" s="103" t="s">
        <v>104</v>
      </c>
      <c r="D8" s="104" t="s">
        <v>105</v>
      </c>
      <c r="E8" s="105">
        <v>41922</v>
      </c>
      <c r="F8" s="105">
        <v>41946</v>
      </c>
      <c r="G8" s="105">
        <v>41941</v>
      </c>
      <c r="H8" s="105"/>
      <c r="I8" s="106">
        <v>3</v>
      </c>
      <c r="J8" s="108" t="s">
        <v>116</v>
      </c>
      <c r="K8" s="107">
        <v>42306</v>
      </c>
    </row>
    <row r="9" spans="1:17" s="102" customFormat="1" ht="30">
      <c r="A9" s="102" t="s">
        <v>59</v>
      </c>
      <c r="B9" s="102" t="s">
        <v>60</v>
      </c>
      <c r="C9" s="103" t="s">
        <v>87</v>
      </c>
      <c r="D9" s="104" t="s">
        <v>88</v>
      </c>
      <c r="E9" s="105">
        <v>41820</v>
      </c>
      <c r="F9" s="105">
        <v>41830</v>
      </c>
      <c r="G9" s="105">
        <v>41828</v>
      </c>
      <c r="H9" s="105"/>
      <c r="I9" s="106"/>
      <c r="J9" s="108" t="s">
        <v>101</v>
      </c>
      <c r="K9" s="107">
        <v>42306</v>
      </c>
    </row>
    <row r="10" spans="1:17" s="102" customFormat="1">
      <c r="A10" s="102" t="s">
        <v>59</v>
      </c>
      <c r="B10" s="102" t="s">
        <v>60</v>
      </c>
      <c r="C10" s="103" t="s">
        <v>61</v>
      </c>
      <c r="D10" s="104" t="s">
        <v>62</v>
      </c>
      <c r="E10" s="105">
        <v>41711</v>
      </c>
      <c r="F10" s="105">
        <v>41751</v>
      </c>
      <c r="G10" s="105">
        <v>41746</v>
      </c>
      <c r="H10" s="105"/>
      <c r="I10" s="106">
        <v>4</v>
      </c>
      <c r="J10" s="108" t="s">
        <v>112</v>
      </c>
      <c r="K10" s="107">
        <v>42306</v>
      </c>
    </row>
    <row r="11" spans="1:17" s="102" customFormat="1">
      <c r="A11" s="102" t="s">
        <v>59</v>
      </c>
      <c r="B11" s="102" t="s">
        <v>60</v>
      </c>
      <c r="C11" s="103" t="s">
        <v>63</v>
      </c>
      <c r="D11" s="104" t="s">
        <v>64</v>
      </c>
      <c r="E11" s="105">
        <v>41711</v>
      </c>
      <c r="F11" s="105">
        <v>41758</v>
      </c>
      <c r="G11" s="105">
        <v>41757</v>
      </c>
      <c r="H11" s="105"/>
      <c r="I11" s="106">
        <v>4</v>
      </c>
      <c r="J11" s="108" t="s">
        <v>113</v>
      </c>
      <c r="K11" s="107">
        <v>42306</v>
      </c>
    </row>
    <row r="12" spans="1:17" s="102" customFormat="1" ht="30">
      <c r="A12" s="102" t="s">
        <v>59</v>
      </c>
      <c r="B12" s="102" t="s">
        <v>60</v>
      </c>
      <c r="C12" s="103" t="s">
        <v>65</v>
      </c>
      <c r="D12" s="104" t="s">
        <v>66</v>
      </c>
      <c r="E12" s="105">
        <v>41703</v>
      </c>
      <c r="F12" s="105">
        <v>41757</v>
      </c>
      <c r="G12" s="105">
        <v>41754</v>
      </c>
      <c r="H12" s="105"/>
      <c r="I12" s="106">
        <v>5</v>
      </c>
      <c r="J12" s="108" t="s">
        <v>94</v>
      </c>
      <c r="K12" s="107">
        <v>42306</v>
      </c>
    </row>
    <row r="13" spans="1:17" s="102" customFormat="1">
      <c r="A13" s="102" t="s">
        <v>59</v>
      </c>
      <c r="B13" s="102" t="s">
        <v>60</v>
      </c>
      <c r="C13" s="103" t="s">
        <v>76</v>
      </c>
      <c r="D13" s="109" t="s">
        <v>75</v>
      </c>
      <c r="E13" s="105">
        <v>41764</v>
      </c>
      <c r="F13" s="105">
        <v>41807</v>
      </c>
      <c r="G13" s="105">
        <v>41803</v>
      </c>
      <c r="H13" s="105"/>
      <c r="I13" s="106"/>
      <c r="J13" s="108"/>
      <c r="K13" s="107">
        <v>42306</v>
      </c>
    </row>
    <row r="14" spans="1:17" s="102" customFormat="1" ht="30">
      <c r="A14" s="102" t="s">
        <v>59</v>
      </c>
      <c r="B14" s="102" t="s">
        <v>60</v>
      </c>
      <c r="C14" s="103" t="s">
        <v>74</v>
      </c>
      <c r="D14" s="104" t="s">
        <v>73</v>
      </c>
      <c r="E14" s="105">
        <v>41761</v>
      </c>
      <c r="F14" s="105">
        <v>41766</v>
      </c>
      <c r="G14" s="105">
        <v>41759</v>
      </c>
      <c r="H14" s="105"/>
      <c r="I14" s="106"/>
      <c r="J14" s="108" t="s">
        <v>99</v>
      </c>
      <c r="K14" s="107">
        <v>42306</v>
      </c>
    </row>
    <row r="15" spans="1:17" s="102" customFormat="1">
      <c r="A15" s="102" t="s">
        <v>59</v>
      </c>
      <c r="B15" s="102" t="s">
        <v>60</v>
      </c>
      <c r="C15" s="103" t="s">
        <v>67</v>
      </c>
      <c r="D15" s="104" t="s">
        <v>68</v>
      </c>
      <c r="E15" s="105">
        <v>41703</v>
      </c>
      <c r="F15" s="105">
        <v>41752</v>
      </c>
      <c r="G15" s="105">
        <v>41747</v>
      </c>
      <c r="H15" s="105"/>
      <c r="I15" s="106">
        <v>2</v>
      </c>
      <c r="J15" s="108"/>
      <c r="K15" s="107">
        <v>42306</v>
      </c>
    </row>
    <row r="16" spans="1:17" s="102" customFormat="1">
      <c r="A16" s="102" t="s">
        <v>59</v>
      </c>
      <c r="B16" s="102" t="s">
        <v>60</v>
      </c>
      <c r="C16" s="103" t="s">
        <v>83</v>
      </c>
      <c r="D16" s="104" t="s">
        <v>84</v>
      </c>
      <c r="E16" s="105">
        <v>41787</v>
      </c>
      <c r="F16" s="105">
        <v>41828</v>
      </c>
      <c r="G16" s="105">
        <v>41827</v>
      </c>
      <c r="H16" s="105"/>
      <c r="I16" s="106">
        <v>2</v>
      </c>
      <c r="J16" s="108"/>
      <c r="K16" s="107">
        <v>42306</v>
      </c>
    </row>
    <row r="17" spans="1:12" s="142" customFormat="1" ht="45">
      <c r="A17" s="142" t="s">
        <v>59</v>
      </c>
      <c r="B17" s="142" t="s">
        <v>60</v>
      </c>
      <c r="C17" s="143" t="s">
        <v>79</v>
      </c>
      <c r="D17" s="144" t="s">
        <v>80</v>
      </c>
      <c r="E17" s="145">
        <v>41781</v>
      </c>
      <c r="F17" s="145">
        <v>41808</v>
      </c>
      <c r="G17" s="145">
        <v>41806</v>
      </c>
      <c r="H17" s="145"/>
      <c r="I17" s="146">
        <v>3</v>
      </c>
      <c r="J17" s="147" t="s">
        <v>108</v>
      </c>
      <c r="K17" s="148">
        <v>42306</v>
      </c>
      <c r="L17" s="149" t="s">
        <v>114</v>
      </c>
    </row>
    <row r="18" spans="1:12" s="102" customFormat="1">
      <c r="A18" s="102" t="s">
        <v>59</v>
      </c>
      <c r="B18" s="102" t="s">
        <v>60</v>
      </c>
      <c r="C18" s="103" t="s">
        <v>72</v>
      </c>
      <c r="D18" s="104" t="s">
        <v>71</v>
      </c>
      <c r="E18" s="105">
        <v>41757</v>
      </c>
      <c r="F18" s="105">
        <v>41759</v>
      </c>
      <c r="G18" s="105">
        <v>41753</v>
      </c>
      <c r="H18" s="105"/>
      <c r="I18" s="106">
        <v>3</v>
      </c>
      <c r="J18" s="108"/>
      <c r="K18" s="107">
        <v>42306</v>
      </c>
    </row>
    <row r="19" spans="1:12" s="102" customFormat="1" ht="30">
      <c r="A19" s="102" t="s">
        <v>59</v>
      </c>
      <c r="B19" s="102" t="s">
        <v>60</v>
      </c>
      <c r="C19" s="103" t="s">
        <v>86</v>
      </c>
      <c r="D19" s="104" t="s">
        <v>85</v>
      </c>
      <c r="E19" s="105">
        <v>41802</v>
      </c>
      <c r="F19" s="105">
        <v>41801</v>
      </c>
      <c r="G19" s="105">
        <v>41794</v>
      </c>
      <c r="H19" s="105"/>
      <c r="I19" s="106"/>
      <c r="J19" s="108" t="s">
        <v>110</v>
      </c>
      <c r="K19" s="107">
        <v>42306</v>
      </c>
    </row>
    <row r="20" spans="1:12">
      <c r="A20" s="102" t="s">
        <v>59</v>
      </c>
      <c r="B20" s="102" t="s">
        <v>60</v>
      </c>
      <c r="C20" s="103" t="s">
        <v>69</v>
      </c>
      <c r="D20" s="109" t="s">
        <v>70</v>
      </c>
      <c r="E20" s="105">
        <v>41745</v>
      </c>
      <c r="F20" s="105">
        <v>41746</v>
      </c>
      <c r="G20" s="105">
        <v>41745</v>
      </c>
      <c r="H20" s="105"/>
      <c r="I20" s="106">
        <v>1</v>
      </c>
      <c r="J20" s="108"/>
      <c r="K20" s="107">
        <v>42306</v>
      </c>
      <c r="L20" s="102"/>
    </row>
    <row r="21" spans="1:12" ht="45">
      <c r="A21" s="102" t="s">
        <v>59</v>
      </c>
      <c r="B21" s="102" t="s">
        <v>60</v>
      </c>
      <c r="C21" s="103" t="s">
        <v>81</v>
      </c>
      <c r="D21" s="109" t="s">
        <v>82</v>
      </c>
      <c r="E21" s="105">
        <v>41786</v>
      </c>
      <c r="F21" s="105">
        <v>41801</v>
      </c>
      <c r="G21" s="105">
        <v>41796</v>
      </c>
      <c r="H21" s="105"/>
      <c r="I21" s="106">
        <v>2</v>
      </c>
      <c r="J21" s="108" t="s">
        <v>100</v>
      </c>
      <c r="K21" s="107">
        <v>42306</v>
      </c>
      <c r="L21" s="102"/>
    </row>
    <row r="22" spans="1:12">
      <c r="A22" s="102" t="s">
        <v>59</v>
      </c>
      <c r="B22" s="102" t="s">
        <v>60</v>
      </c>
      <c r="C22" s="103" t="s">
        <v>106</v>
      </c>
      <c r="D22" s="109" t="s">
        <v>107</v>
      </c>
      <c r="E22" s="105">
        <v>41925</v>
      </c>
      <c r="F22" s="105">
        <v>41940</v>
      </c>
      <c r="G22" s="105">
        <v>41939</v>
      </c>
      <c r="H22" s="105"/>
      <c r="I22" s="106">
        <v>2</v>
      </c>
      <c r="J22" s="108"/>
      <c r="K22" s="107">
        <v>42306</v>
      </c>
      <c r="L22" s="102"/>
    </row>
    <row r="23" spans="1:12">
      <c r="A23" s="102" t="s">
        <v>59</v>
      </c>
      <c r="B23" s="102" t="s">
        <v>60</v>
      </c>
      <c r="C23" s="103" t="s">
        <v>77</v>
      </c>
      <c r="D23" s="109" t="s">
        <v>78</v>
      </c>
      <c r="E23" s="105">
        <v>41780</v>
      </c>
      <c r="F23" s="105">
        <v>41802</v>
      </c>
      <c r="G23" s="105">
        <v>41800</v>
      </c>
      <c r="H23" s="105"/>
      <c r="I23" s="106">
        <v>5</v>
      </c>
      <c r="J23" s="108"/>
      <c r="K23" s="107">
        <v>42306</v>
      </c>
      <c r="L23" s="102"/>
    </row>
    <row r="24" spans="1:12">
      <c r="A24" s="28"/>
      <c r="B24" s="28"/>
      <c r="C24" s="27" t="s">
        <v>15</v>
      </c>
      <c r="D24" s="32">
        <f>SUBTOTAL(3,D8:D23)</f>
        <v>16</v>
      </c>
      <c r="E24" s="32">
        <f>SUBTOTAL(3,[Date de réception convention financière])</f>
        <v>16</v>
      </c>
      <c r="F24" s="32">
        <f>SUBTOTAL(3,[Date de réception AR kit])</f>
        <v>16</v>
      </c>
      <c r="G24" s="32">
        <f>SUBTOTAL(3,[Date de MEP])</f>
        <v>16</v>
      </c>
      <c r="H24" s="112">
        <f>SUBTOTAL(3,[Desistement])</f>
        <v>0</v>
      </c>
      <c r="I24" s="27">
        <f>SUBTOTAL(109,I8:I23)</f>
        <v>36</v>
      </c>
      <c r="J24" s="118"/>
      <c r="K24" s="31"/>
    </row>
    <row r="25" spans="1:12">
      <c r="D25" s="10"/>
      <c r="J25" s="119"/>
    </row>
    <row r="26" spans="1:12">
      <c r="C26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13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134" t="s">
        <v>17</v>
      </c>
      <c r="M4" s="62">
        <f>$B$12</f>
        <v>405</v>
      </c>
      <c r="N4" s="155" t="str">
        <f>$C$12</f>
        <v>DEBONS Michèle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32" t="s">
        <v>32</v>
      </c>
      <c r="M8" s="132" t="s">
        <v>31</v>
      </c>
      <c r="N8" s="131" t="s">
        <v>33</v>
      </c>
      <c r="O8" s="131" t="s">
        <v>34</v>
      </c>
      <c r="P8" s="131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405</v>
      </c>
      <c r="C10" s="41" t="s">
        <v>105</v>
      </c>
      <c r="D10" s="19">
        <v>1</v>
      </c>
      <c r="E10" s="25">
        <v>41957</v>
      </c>
      <c r="F10" s="25">
        <v>41981</v>
      </c>
      <c r="G10" s="25">
        <v>41964</v>
      </c>
      <c r="H10" s="25"/>
      <c r="I10" s="141" t="s">
        <v>57</v>
      </c>
      <c r="J10" s="25">
        <v>41969</v>
      </c>
      <c r="K10" s="25">
        <v>41971</v>
      </c>
      <c r="L10" s="25">
        <v>42028</v>
      </c>
      <c r="M10" s="25">
        <v>42031</v>
      </c>
      <c r="N10" s="25">
        <v>42077</v>
      </c>
      <c r="O10" s="25">
        <v>42027</v>
      </c>
      <c r="P10" s="25">
        <v>42046</v>
      </c>
      <c r="Q10" s="25">
        <v>42322</v>
      </c>
      <c r="R10" s="25"/>
      <c r="S10" s="25"/>
      <c r="T10" s="41" t="s">
        <v>104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39">
        <v>405</v>
      </c>
      <c r="C11" s="140" t="s">
        <v>105</v>
      </c>
      <c r="D11" s="19">
        <v>2</v>
      </c>
      <c r="E11" s="25">
        <v>41978</v>
      </c>
      <c r="F11" s="25">
        <v>41981</v>
      </c>
      <c r="G11" s="25">
        <v>42123</v>
      </c>
      <c r="I11" s="141" t="s">
        <v>57</v>
      </c>
      <c r="J11" s="25">
        <v>41990</v>
      </c>
      <c r="K11" s="25">
        <v>42031</v>
      </c>
      <c r="L11" s="25">
        <v>42049</v>
      </c>
      <c r="M11" s="25">
        <v>42080</v>
      </c>
      <c r="N11" s="25">
        <v>42098</v>
      </c>
      <c r="O11" s="25">
        <v>42121</v>
      </c>
      <c r="P11" s="25">
        <v>42123</v>
      </c>
      <c r="Q11" s="25">
        <v>42343</v>
      </c>
      <c r="T11" s="140" t="s">
        <v>104</v>
      </c>
      <c r="U11" s="12">
        <v>42306</v>
      </c>
    </row>
    <row r="12" spans="2:48" ht="25.5">
      <c r="B12" s="139">
        <v>405</v>
      </c>
      <c r="C12" s="140" t="s">
        <v>105</v>
      </c>
      <c r="D12" s="19">
        <v>3</v>
      </c>
      <c r="E12" s="25">
        <v>41988</v>
      </c>
      <c r="F12" s="25">
        <v>41992</v>
      </c>
      <c r="G12" s="25">
        <v>41992</v>
      </c>
      <c r="H12" s="25">
        <v>42009</v>
      </c>
      <c r="I12" s="141" t="s">
        <v>89</v>
      </c>
      <c r="J12" s="25">
        <v>42000</v>
      </c>
      <c r="K12" s="25">
        <v>42018</v>
      </c>
      <c r="L12" s="25">
        <v>42059</v>
      </c>
      <c r="M12" s="25">
        <v>42067</v>
      </c>
      <c r="N12" s="25">
        <v>42108</v>
      </c>
      <c r="O12" s="25">
        <v>42080</v>
      </c>
      <c r="P12" s="25">
        <v>42082</v>
      </c>
      <c r="Q12" s="25">
        <v>42353</v>
      </c>
      <c r="R12" s="25">
        <v>42262</v>
      </c>
      <c r="S12" s="25">
        <v>42264</v>
      </c>
      <c r="T12" s="140" t="s">
        <v>104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122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123" t="s">
        <v>17</v>
      </c>
      <c r="M4" s="62">
        <f>$B$14</f>
        <v>276</v>
      </c>
      <c r="N4" s="155" t="str">
        <f>$C$14</f>
        <v>DEMAIN Claire-Lucile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25" t="s">
        <v>32</v>
      </c>
      <c r="M8" s="125" t="s">
        <v>31</v>
      </c>
      <c r="N8" s="124" t="s">
        <v>33</v>
      </c>
      <c r="O8" s="124" t="s">
        <v>34</v>
      </c>
      <c r="P8" s="124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276</v>
      </c>
      <c r="C10" s="41" t="s">
        <v>88</v>
      </c>
      <c r="D10" s="19">
        <v>1</v>
      </c>
      <c r="E10" s="25"/>
      <c r="F10" s="25"/>
      <c r="G10" s="25"/>
      <c r="H10" s="25"/>
      <c r="I10" s="77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87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26">
        <v>276</v>
      </c>
      <c r="C11" s="127" t="s">
        <v>88</v>
      </c>
      <c r="D11" s="19">
        <v>2</v>
      </c>
      <c r="I11" s="128" t="s">
        <v>57</v>
      </c>
      <c r="T11" s="127" t="s">
        <v>87</v>
      </c>
      <c r="U11" s="12">
        <v>42306</v>
      </c>
    </row>
    <row r="12" spans="2:48" ht="25.5">
      <c r="B12" s="126">
        <v>276</v>
      </c>
      <c r="C12" s="127" t="s">
        <v>88</v>
      </c>
      <c r="D12" s="19">
        <v>3</v>
      </c>
      <c r="I12" s="128" t="s">
        <v>57</v>
      </c>
      <c r="T12" s="127" t="s">
        <v>87</v>
      </c>
      <c r="U12" s="12">
        <v>42306</v>
      </c>
    </row>
    <row r="13" spans="2:48" ht="25.5">
      <c r="B13" s="129">
        <v>276</v>
      </c>
      <c r="C13" s="130" t="s">
        <v>88</v>
      </c>
      <c r="D13" s="19">
        <v>4</v>
      </c>
      <c r="I13" s="128" t="s">
        <v>57</v>
      </c>
      <c r="T13" s="130" t="s">
        <v>87</v>
      </c>
      <c r="U13" s="12">
        <v>42306</v>
      </c>
    </row>
    <row r="14" spans="2:48" ht="25.5">
      <c r="B14" s="129">
        <v>276</v>
      </c>
      <c r="C14" s="130" t="s">
        <v>88</v>
      </c>
      <c r="D14" s="19">
        <v>5</v>
      </c>
      <c r="I14" s="128" t="s">
        <v>57</v>
      </c>
      <c r="T14" s="130" t="s">
        <v>87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56" t="s">
        <v>17</v>
      </c>
      <c r="M4" s="62">
        <f>$B$14</f>
        <v>173</v>
      </c>
      <c r="N4" s="155" t="str">
        <f>$C$14</f>
        <v>DUFOUR Christine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59" t="s">
        <v>32</v>
      </c>
      <c r="M8" s="59" t="s">
        <v>31</v>
      </c>
      <c r="N8" s="60" t="s">
        <v>33</v>
      </c>
      <c r="O8" s="60" t="s">
        <v>34</v>
      </c>
      <c r="P8" s="6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173</v>
      </c>
      <c r="C10" s="41" t="s">
        <v>62</v>
      </c>
      <c r="D10" s="19">
        <v>1</v>
      </c>
      <c r="E10" s="25">
        <v>41795</v>
      </c>
      <c r="F10" s="25">
        <v>41800</v>
      </c>
      <c r="G10" s="25">
        <v>41800</v>
      </c>
      <c r="H10" s="25">
        <v>41800</v>
      </c>
      <c r="I10" s="43" t="s">
        <v>89</v>
      </c>
      <c r="J10" s="25">
        <v>41807</v>
      </c>
      <c r="K10" s="25">
        <v>41807</v>
      </c>
      <c r="L10" s="25">
        <v>41866</v>
      </c>
      <c r="M10" s="25"/>
      <c r="N10" s="25">
        <v>41915</v>
      </c>
      <c r="O10" s="25"/>
      <c r="P10" s="25"/>
      <c r="Q10" s="25">
        <v>42160</v>
      </c>
      <c r="R10" s="25">
        <v>41977</v>
      </c>
      <c r="S10" s="25">
        <v>42153</v>
      </c>
      <c r="T10" s="41" t="s">
        <v>61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173</v>
      </c>
      <c r="C11" s="76" t="s">
        <v>62</v>
      </c>
      <c r="D11" s="19">
        <v>2</v>
      </c>
      <c r="E11" s="25">
        <v>41807</v>
      </c>
      <c r="F11" s="25">
        <v>41810</v>
      </c>
      <c r="G11" s="25">
        <v>41810</v>
      </c>
      <c r="H11" s="25">
        <v>41810</v>
      </c>
      <c r="I11" s="77" t="s">
        <v>89</v>
      </c>
      <c r="J11" s="25">
        <v>41819</v>
      </c>
      <c r="K11" s="25">
        <v>41822</v>
      </c>
      <c r="L11" s="25">
        <v>41878</v>
      </c>
      <c r="M11" s="25">
        <v>41876</v>
      </c>
      <c r="N11" s="25">
        <v>41927</v>
      </c>
      <c r="Q11" s="25">
        <v>42172</v>
      </c>
      <c r="R11" s="25">
        <v>42010</v>
      </c>
      <c r="S11" s="25">
        <v>42068</v>
      </c>
      <c r="T11" s="76" t="s">
        <v>61</v>
      </c>
      <c r="U11" s="12">
        <v>42306</v>
      </c>
    </row>
    <row r="12" spans="2:48" ht="25.5">
      <c r="B12" s="75">
        <v>173</v>
      </c>
      <c r="C12" s="76" t="s">
        <v>62</v>
      </c>
      <c r="D12" s="19">
        <v>3</v>
      </c>
      <c r="E12" s="25">
        <v>41890</v>
      </c>
      <c r="F12" s="25">
        <v>41892</v>
      </c>
      <c r="G12" s="25">
        <v>41892</v>
      </c>
      <c r="H12" s="25">
        <v>41892</v>
      </c>
      <c r="I12" s="141" t="s">
        <v>89</v>
      </c>
      <c r="J12" s="25">
        <v>41902</v>
      </c>
      <c r="K12" s="25">
        <v>42019</v>
      </c>
      <c r="L12" s="25">
        <v>41961</v>
      </c>
      <c r="M12" s="25">
        <v>42069</v>
      </c>
      <c r="N12" s="25">
        <v>42010</v>
      </c>
      <c r="O12" s="25">
        <v>42012</v>
      </c>
      <c r="P12" s="25">
        <v>42068</v>
      </c>
      <c r="Q12" s="25">
        <v>42255</v>
      </c>
      <c r="T12" s="76" t="s">
        <v>61</v>
      </c>
      <c r="U12" s="12">
        <v>42306</v>
      </c>
    </row>
    <row r="13" spans="2:48" ht="25.5">
      <c r="B13" s="139">
        <v>173</v>
      </c>
      <c r="C13" s="140" t="s">
        <v>62</v>
      </c>
      <c r="D13" s="19">
        <v>5</v>
      </c>
      <c r="E13" s="25">
        <v>41991</v>
      </c>
      <c r="F13" s="25">
        <v>41995</v>
      </c>
      <c r="G13" s="25">
        <v>41995</v>
      </c>
      <c r="H13" s="25">
        <v>41995</v>
      </c>
      <c r="I13" s="141" t="s">
        <v>89</v>
      </c>
      <c r="J13" s="25">
        <v>42003</v>
      </c>
      <c r="K13" s="25">
        <v>42027</v>
      </c>
      <c r="L13" s="25">
        <v>42062</v>
      </c>
      <c r="M13" s="25">
        <v>42144</v>
      </c>
      <c r="N13" s="25">
        <v>42111</v>
      </c>
      <c r="O13" s="25">
        <v>42082</v>
      </c>
      <c r="P13" s="25">
        <v>42167</v>
      </c>
      <c r="Q13" s="25">
        <v>42356</v>
      </c>
      <c r="T13" s="140" t="s">
        <v>61</v>
      </c>
      <c r="U13" s="12">
        <v>42306</v>
      </c>
    </row>
    <row r="14" spans="2:48" ht="25.5">
      <c r="B14" s="139">
        <v>173</v>
      </c>
      <c r="C14" s="140" t="s">
        <v>62</v>
      </c>
      <c r="D14" s="19">
        <v>4</v>
      </c>
      <c r="I14" s="141" t="s">
        <v>57</v>
      </c>
      <c r="T14" s="140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64" t="s">
        <v>17</v>
      </c>
      <c r="M4" s="62">
        <f>$B$14</f>
        <v>275</v>
      </c>
      <c r="N4" s="155" t="str">
        <f>$C$14</f>
        <v>DUTARTRE Hervé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275</v>
      </c>
      <c r="C10" s="41" t="s">
        <v>64</v>
      </c>
      <c r="D10" s="19">
        <v>1</v>
      </c>
      <c r="E10" s="25">
        <v>41870</v>
      </c>
      <c r="F10" s="25">
        <v>41871</v>
      </c>
      <c r="G10" s="25">
        <v>41871</v>
      </c>
      <c r="H10" s="25">
        <v>41871</v>
      </c>
      <c r="I10" s="43" t="s">
        <v>97</v>
      </c>
      <c r="J10" s="25">
        <v>41882</v>
      </c>
      <c r="K10" s="25">
        <v>41908</v>
      </c>
      <c r="L10" s="25">
        <v>41941</v>
      </c>
      <c r="M10" s="25">
        <v>41989</v>
      </c>
      <c r="N10" s="25">
        <v>41990</v>
      </c>
      <c r="O10" s="25"/>
      <c r="P10" s="25"/>
      <c r="Q10" s="25">
        <v>42235</v>
      </c>
      <c r="R10" s="25">
        <v>41968</v>
      </c>
      <c r="S10" s="25">
        <v>41981</v>
      </c>
      <c r="T10" s="41" t="s">
        <v>63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275</v>
      </c>
      <c r="C11" s="76" t="s">
        <v>64</v>
      </c>
      <c r="D11" s="19">
        <v>2</v>
      </c>
      <c r="E11" s="25">
        <v>41893</v>
      </c>
      <c r="F11" s="25">
        <v>41897</v>
      </c>
      <c r="G11" s="25">
        <v>41897</v>
      </c>
      <c r="H11" s="25">
        <v>41897</v>
      </c>
      <c r="I11" s="77" t="s">
        <v>97</v>
      </c>
      <c r="J11" s="25">
        <v>41905</v>
      </c>
      <c r="K11" s="25">
        <v>41925</v>
      </c>
      <c r="L11" s="25">
        <v>41964</v>
      </c>
      <c r="M11" s="25">
        <v>41977</v>
      </c>
      <c r="N11" s="25">
        <v>42013</v>
      </c>
      <c r="Q11" s="25">
        <v>42258</v>
      </c>
      <c r="T11" s="76" t="s">
        <v>63</v>
      </c>
      <c r="U11" s="12">
        <v>42306</v>
      </c>
    </row>
    <row r="12" spans="2:48" ht="25.5">
      <c r="B12" s="75">
        <v>275</v>
      </c>
      <c r="C12" s="76" t="s">
        <v>64</v>
      </c>
      <c r="D12" s="19">
        <v>3</v>
      </c>
      <c r="E12" s="25">
        <v>41905</v>
      </c>
      <c r="F12" s="25">
        <v>41921</v>
      </c>
      <c r="G12" s="25">
        <v>41921</v>
      </c>
      <c r="H12" s="25">
        <v>41907</v>
      </c>
      <c r="I12" s="141" t="s">
        <v>95</v>
      </c>
      <c r="J12" s="25">
        <v>41917</v>
      </c>
      <c r="K12" s="25">
        <v>41991</v>
      </c>
      <c r="L12" s="25">
        <v>41976</v>
      </c>
      <c r="M12" s="25">
        <v>42033</v>
      </c>
      <c r="N12" s="25">
        <v>42025</v>
      </c>
      <c r="Q12" s="25">
        <v>42270</v>
      </c>
      <c r="R12" s="25">
        <v>42031</v>
      </c>
      <c r="S12" s="25">
        <v>42039</v>
      </c>
      <c r="T12" s="76" t="s">
        <v>63</v>
      </c>
      <c r="U12" s="12">
        <v>42306</v>
      </c>
    </row>
    <row r="13" spans="2:48" ht="25.5">
      <c r="B13" s="139">
        <v>275</v>
      </c>
      <c r="C13" s="140" t="s">
        <v>64</v>
      </c>
      <c r="D13" s="19">
        <v>4</v>
      </c>
      <c r="E13" s="25">
        <v>41991</v>
      </c>
      <c r="F13" s="25">
        <v>41995</v>
      </c>
      <c r="G13" s="25">
        <v>41995</v>
      </c>
      <c r="I13" s="141" t="s">
        <v>57</v>
      </c>
      <c r="J13" s="25">
        <v>42003</v>
      </c>
      <c r="L13" s="25">
        <v>42062</v>
      </c>
      <c r="N13" s="25">
        <v>42111</v>
      </c>
      <c r="Q13" s="25">
        <v>42356</v>
      </c>
      <c r="T13" s="140" t="s">
        <v>63</v>
      </c>
      <c r="U13" s="12">
        <v>42306</v>
      </c>
    </row>
    <row r="14" spans="2:48" ht="25.5">
      <c r="B14" s="139">
        <v>275</v>
      </c>
      <c r="C14" s="140" t="s">
        <v>64</v>
      </c>
      <c r="D14" s="19">
        <v>5</v>
      </c>
      <c r="I14" s="141" t="s">
        <v>57</v>
      </c>
      <c r="T14" s="140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64" t="s">
        <v>17</v>
      </c>
      <c r="M4" s="62">
        <f>$B$14</f>
        <v>172</v>
      </c>
      <c r="N4" s="155" t="str">
        <f>$C$14</f>
        <v>LACHAISE Sandra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172</v>
      </c>
      <c r="C10" s="41" t="s">
        <v>66</v>
      </c>
      <c r="D10" s="19">
        <v>1</v>
      </c>
      <c r="E10" s="25">
        <v>41758</v>
      </c>
      <c r="F10" s="25">
        <v>41761</v>
      </c>
      <c r="G10" s="25">
        <v>41761</v>
      </c>
      <c r="H10" s="25">
        <v>41761</v>
      </c>
      <c r="I10" s="43" t="s">
        <v>90</v>
      </c>
      <c r="J10" s="25">
        <v>41770</v>
      </c>
      <c r="K10" s="25">
        <v>41771</v>
      </c>
      <c r="L10" s="25">
        <v>41829</v>
      </c>
      <c r="M10" s="25">
        <v>41817</v>
      </c>
      <c r="N10" s="25">
        <v>41878</v>
      </c>
      <c r="O10" s="25">
        <v>41814</v>
      </c>
      <c r="P10" s="25">
        <v>41817</v>
      </c>
      <c r="Q10" s="25">
        <v>42123</v>
      </c>
      <c r="R10" s="25">
        <v>42051</v>
      </c>
      <c r="S10" s="25">
        <v>42052</v>
      </c>
      <c r="T10" s="41" t="s">
        <v>65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172</v>
      </c>
      <c r="C11" s="76" t="s">
        <v>66</v>
      </c>
      <c r="D11" s="19">
        <v>2</v>
      </c>
      <c r="E11" s="25">
        <v>41785</v>
      </c>
      <c r="F11" s="25">
        <v>41787</v>
      </c>
      <c r="G11" s="25">
        <v>41787</v>
      </c>
      <c r="H11" s="25">
        <v>41787</v>
      </c>
      <c r="I11" s="77" t="s">
        <v>91</v>
      </c>
      <c r="J11" s="25">
        <v>41797</v>
      </c>
      <c r="K11" s="25">
        <v>41796</v>
      </c>
      <c r="L11" s="25">
        <v>41856</v>
      </c>
      <c r="M11" s="25">
        <v>41873</v>
      </c>
      <c r="N11" s="25">
        <v>41905</v>
      </c>
      <c r="O11" s="25">
        <v>41845</v>
      </c>
      <c r="P11" s="25">
        <v>41849</v>
      </c>
      <c r="Q11" s="25">
        <v>42150</v>
      </c>
      <c r="T11" s="76" t="s">
        <v>65</v>
      </c>
      <c r="U11" s="12">
        <v>42306</v>
      </c>
    </row>
    <row r="12" spans="2:48" ht="25.5">
      <c r="B12" s="75">
        <v>172</v>
      </c>
      <c r="C12" s="76" t="s">
        <v>66</v>
      </c>
      <c r="D12" s="19">
        <v>3</v>
      </c>
      <c r="E12" s="25">
        <v>41801</v>
      </c>
      <c r="F12" s="25">
        <v>41806</v>
      </c>
      <c r="G12" s="25">
        <v>41806</v>
      </c>
      <c r="H12" s="25">
        <v>41806</v>
      </c>
      <c r="I12" s="77" t="s">
        <v>92</v>
      </c>
      <c r="J12" s="25">
        <v>41813</v>
      </c>
      <c r="K12" s="25">
        <v>41892</v>
      </c>
      <c r="L12" s="25">
        <v>41872</v>
      </c>
      <c r="M12" s="25">
        <v>41892</v>
      </c>
      <c r="N12" s="25">
        <v>41921</v>
      </c>
      <c r="O12" s="25">
        <v>41891</v>
      </c>
      <c r="P12" s="25">
        <v>41892</v>
      </c>
      <c r="Q12" s="25">
        <v>42166</v>
      </c>
      <c r="R12" s="25">
        <v>42122</v>
      </c>
      <c r="S12" s="25">
        <v>42124</v>
      </c>
      <c r="T12" s="76" t="s">
        <v>65</v>
      </c>
      <c r="U12" s="12">
        <v>42306</v>
      </c>
    </row>
    <row r="13" spans="2:48" ht="25.5">
      <c r="B13" s="42">
        <v>172</v>
      </c>
      <c r="C13" s="121" t="s">
        <v>66</v>
      </c>
      <c r="D13" s="19">
        <v>4</v>
      </c>
      <c r="E13" s="25">
        <v>41820</v>
      </c>
      <c r="F13" s="25">
        <v>41822</v>
      </c>
      <c r="G13" s="25">
        <v>41822</v>
      </c>
      <c r="H13" s="25">
        <v>41827</v>
      </c>
      <c r="I13" s="77" t="s">
        <v>91</v>
      </c>
      <c r="J13" s="25">
        <v>41832</v>
      </c>
      <c r="K13" s="25">
        <v>41828</v>
      </c>
      <c r="L13" s="25">
        <v>41891</v>
      </c>
      <c r="M13" s="25">
        <v>41885</v>
      </c>
      <c r="N13" s="25">
        <v>41940</v>
      </c>
      <c r="O13" s="25">
        <v>41883</v>
      </c>
      <c r="P13" s="25">
        <v>41885</v>
      </c>
      <c r="Q13" s="25">
        <v>42185</v>
      </c>
      <c r="R13" s="25">
        <v>42072</v>
      </c>
      <c r="S13" s="25">
        <v>42074</v>
      </c>
      <c r="T13" s="121" t="s">
        <v>65</v>
      </c>
      <c r="U13" s="12">
        <v>42306</v>
      </c>
    </row>
    <row r="14" spans="2:48" ht="25.5">
      <c r="B14" s="42">
        <v>172</v>
      </c>
      <c r="C14" s="121" t="s">
        <v>66</v>
      </c>
      <c r="D14" s="19">
        <v>5</v>
      </c>
      <c r="E14" s="25">
        <v>41891</v>
      </c>
      <c r="F14" s="25">
        <v>41892</v>
      </c>
      <c r="G14" s="25">
        <v>41894</v>
      </c>
      <c r="H14" s="25">
        <v>41894</v>
      </c>
      <c r="I14" s="141" t="s">
        <v>97</v>
      </c>
      <c r="J14" s="25">
        <v>41903</v>
      </c>
      <c r="K14" s="25">
        <v>41960</v>
      </c>
      <c r="L14" s="25">
        <v>41962</v>
      </c>
      <c r="M14" s="25">
        <v>42012</v>
      </c>
      <c r="N14" s="25">
        <v>42011</v>
      </c>
      <c r="Q14" s="25">
        <v>42256</v>
      </c>
      <c r="T14" s="121" t="s">
        <v>65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I18" sqref="I18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78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79" t="s">
        <v>17</v>
      </c>
      <c r="M4" s="62">
        <f>$B$12</f>
        <v>312</v>
      </c>
      <c r="N4" s="155" t="str">
        <f>$C$12</f>
        <v>LANGELLA Céline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81" t="s">
        <v>32</v>
      </c>
      <c r="M8" s="81" t="s">
        <v>31</v>
      </c>
      <c r="N8" s="80" t="s">
        <v>33</v>
      </c>
      <c r="O8" s="80" t="s">
        <v>34</v>
      </c>
      <c r="P8" s="8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312</v>
      </c>
      <c r="C10" s="41" t="s">
        <v>75</v>
      </c>
      <c r="D10" s="19">
        <v>1</v>
      </c>
      <c r="E10" s="25"/>
      <c r="F10" s="25"/>
      <c r="G10" s="25"/>
      <c r="H10" s="25"/>
      <c r="I10" s="77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76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13">
        <v>312</v>
      </c>
      <c r="C11" s="114" t="s">
        <v>75</v>
      </c>
      <c r="D11" s="19">
        <v>2</v>
      </c>
      <c r="I11" s="77" t="s">
        <v>57</v>
      </c>
      <c r="T11" s="114" t="s">
        <v>76</v>
      </c>
      <c r="U11" s="12">
        <v>42306</v>
      </c>
    </row>
    <row r="12" spans="2:48" ht="25.5">
      <c r="B12" s="113">
        <v>312</v>
      </c>
      <c r="C12" s="114" t="s">
        <v>75</v>
      </c>
      <c r="D12" s="19">
        <v>3</v>
      </c>
      <c r="I12" s="77" t="s">
        <v>57</v>
      </c>
      <c r="T12" s="114" t="s">
        <v>76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>
      <selection activeCell="I23" sqref="I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71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72" t="s">
        <v>17</v>
      </c>
      <c r="M4" s="62">
        <f>$B$12</f>
        <v>277</v>
      </c>
      <c r="N4" s="155" t="str">
        <f>$C$12</f>
        <v>LEDIEU WILLEMYNS Ghislaine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74" t="s">
        <v>32</v>
      </c>
      <c r="M8" s="74" t="s">
        <v>31</v>
      </c>
      <c r="N8" s="73" t="s">
        <v>33</v>
      </c>
      <c r="O8" s="73" t="s">
        <v>34</v>
      </c>
      <c r="P8" s="73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277</v>
      </c>
      <c r="C10" s="41" t="s">
        <v>73</v>
      </c>
      <c r="D10" s="19">
        <v>1</v>
      </c>
      <c r="E10" s="25"/>
      <c r="F10" s="25"/>
      <c r="G10" s="25"/>
      <c r="H10" s="25"/>
      <c r="I10" s="4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74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38.25">
      <c r="B11" s="75">
        <v>277</v>
      </c>
      <c r="C11" s="76" t="s">
        <v>73</v>
      </c>
      <c r="D11" s="19">
        <v>2</v>
      </c>
      <c r="I11" s="43" t="s">
        <v>57</v>
      </c>
      <c r="T11" s="76" t="s">
        <v>74</v>
      </c>
      <c r="U11" s="12">
        <v>42306</v>
      </c>
    </row>
    <row r="12" spans="2:48" ht="38.25">
      <c r="B12" s="75">
        <v>277</v>
      </c>
      <c r="C12" s="76" t="s">
        <v>73</v>
      </c>
      <c r="D12" s="19">
        <v>3</v>
      </c>
      <c r="I12" s="43" t="s">
        <v>57</v>
      </c>
      <c r="T12" s="76" t="s">
        <v>74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171</v>
      </c>
      <c r="N4" s="155" t="str">
        <f>$C$12</f>
        <v>LEROUX Emmanuel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171</v>
      </c>
      <c r="C10" s="41" t="s">
        <v>68</v>
      </c>
      <c r="D10" s="19">
        <v>1</v>
      </c>
      <c r="E10" s="25">
        <v>41768</v>
      </c>
      <c r="F10" s="25">
        <v>41773</v>
      </c>
      <c r="G10" s="25">
        <v>41773</v>
      </c>
      <c r="H10" s="25">
        <v>41792</v>
      </c>
      <c r="I10" s="43" t="s">
        <v>96</v>
      </c>
      <c r="J10" s="25">
        <v>41780</v>
      </c>
      <c r="K10" s="25">
        <v>41792</v>
      </c>
      <c r="L10" s="25">
        <v>41839</v>
      </c>
      <c r="M10" s="25"/>
      <c r="N10" s="25">
        <v>41888</v>
      </c>
      <c r="O10" s="25">
        <v>41836</v>
      </c>
      <c r="P10" s="25">
        <v>41837</v>
      </c>
      <c r="Q10" s="25">
        <v>42133</v>
      </c>
      <c r="R10" s="25"/>
      <c r="S10" s="25"/>
      <c r="T10" s="41" t="s">
        <v>67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171</v>
      </c>
      <c r="C11" s="76" t="s">
        <v>68</v>
      </c>
      <c r="D11" s="19">
        <v>2</v>
      </c>
      <c r="E11" s="25">
        <v>41806</v>
      </c>
      <c r="F11" s="25">
        <v>41808</v>
      </c>
      <c r="G11" s="25">
        <v>41808</v>
      </c>
      <c r="H11" s="25">
        <v>41872</v>
      </c>
      <c r="I11" s="77" t="s">
        <v>98</v>
      </c>
      <c r="J11" s="25">
        <v>41818</v>
      </c>
      <c r="K11" s="25">
        <v>41820</v>
      </c>
      <c r="L11" s="25">
        <v>41877</v>
      </c>
      <c r="M11" s="25">
        <v>41872</v>
      </c>
      <c r="N11" s="25">
        <v>41926</v>
      </c>
      <c r="O11" s="25">
        <v>41904</v>
      </c>
      <c r="P11" s="25">
        <v>41911</v>
      </c>
      <c r="Q11" s="25">
        <v>42171</v>
      </c>
      <c r="R11" s="25">
        <v>42044</v>
      </c>
      <c r="S11" s="25">
        <v>42046</v>
      </c>
      <c r="T11" s="76" t="s">
        <v>67</v>
      </c>
      <c r="U11" s="12">
        <v>42306</v>
      </c>
    </row>
    <row r="12" spans="2:48" ht="25.5">
      <c r="B12" s="75">
        <v>171</v>
      </c>
      <c r="C12" s="76" t="s">
        <v>68</v>
      </c>
      <c r="D12" s="19">
        <v>3</v>
      </c>
      <c r="I12" s="77" t="s">
        <v>57</v>
      </c>
      <c r="T12" s="76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K25" sqref="K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94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95" t="s">
        <v>17</v>
      </c>
      <c r="M4" s="62">
        <f>$B$12</f>
        <v>371</v>
      </c>
      <c r="N4" s="155" t="str">
        <f>$C$12</f>
        <v>MESLIER Christine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371</v>
      </c>
      <c r="C10" s="41" t="s">
        <v>84</v>
      </c>
      <c r="D10" s="19">
        <v>1</v>
      </c>
      <c r="E10" s="25">
        <v>41927</v>
      </c>
      <c r="F10" s="25">
        <v>41932</v>
      </c>
      <c r="G10" s="25">
        <v>41932</v>
      </c>
      <c r="H10" s="25">
        <v>41932</v>
      </c>
      <c r="I10" s="77" t="s">
        <v>109</v>
      </c>
      <c r="J10" s="25">
        <v>41939</v>
      </c>
      <c r="K10" s="25">
        <v>41956</v>
      </c>
      <c r="L10" s="25">
        <v>41998</v>
      </c>
      <c r="M10" s="25">
        <v>41995</v>
      </c>
      <c r="N10" s="25">
        <v>42047</v>
      </c>
      <c r="O10" s="25">
        <v>41989</v>
      </c>
      <c r="P10" s="25">
        <v>41991</v>
      </c>
      <c r="Q10" s="25">
        <v>42292</v>
      </c>
      <c r="R10" s="25"/>
      <c r="S10" s="25"/>
      <c r="T10" s="41" t="s">
        <v>83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42">
        <v>371</v>
      </c>
      <c r="C11" s="121" t="s">
        <v>84</v>
      </c>
      <c r="D11" s="19">
        <v>2</v>
      </c>
      <c r="E11" s="25">
        <v>41960</v>
      </c>
      <c r="F11" s="25">
        <v>41967</v>
      </c>
      <c r="G11" s="25">
        <v>41967</v>
      </c>
      <c r="H11" s="25">
        <v>41967</v>
      </c>
      <c r="I11" s="77" t="s">
        <v>98</v>
      </c>
      <c r="J11" s="25">
        <v>41972</v>
      </c>
      <c r="K11" s="25">
        <v>41970</v>
      </c>
      <c r="L11" s="25">
        <v>42031</v>
      </c>
      <c r="M11" s="25">
        <v>42027</v>
      </c>
      <c r="N11" s="25">
        <v>42080</v>
      </c>
      <c r="O11" s="25">
        <v>42009</v>
      </c>
      <c r="P11" s="25">
        <v>42011</v>
      </c>
      <c r="Q11" s="25">
        <v>42325</v>
      </c>
      <c r="T11" s="121" t="s">
        <v>83</v>
      </c>
      <c r="U11" s="12">
        <v>42306</v>
      </c>
    </row>
    <row r="12" spans="2:48" ht="25.5">
      <c r="B12" s="42">
        <v>371</v>
      </c>
      <c r="C12" s="121" t="s">
        <v>84</v>
      </c>
      <c r="D12" s="19">
        <v>3</v>
      </c>
      <c r="I12" s="77" t="s">
        <v>57</v>
      </c>
      <c r="T12" s="121" t="s">
        <v>83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4"/>
  <sheetViews>
    <sheetView workbookViewId="0">
      <selection activeCell="K22" sqref="K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86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87" t="s">
        <v>17</v>
      </c>
      <c r="M4" s="62">
        <f>$B$14</f>
        <v>308</v>
      </c>
      <c r="N4" s="155" t="str">
        <f>$C$14</f>
        <v>PAJOT Caroline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89" t="s">
        <v>32</v>
      </c>
      <c r="M8" s="89" t="s">
        <v>31</v>
      </c>
      <c r="N8" s="88" t="s">
        <v>33</v>
      </c>
      <c r="O8" s="88" t="s">
        <v>34</v>
      </c>
      <c r="P8" s="88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308</v>
      </c>
      <c r="C10" s="41" t="s">
        <v>80</v>
      </c>
      <c r="D10" s="19">
        <v>1</v>
      </c>
      <c r="E10" s="25">
        <v>41914</v>
      </c>
      <c r="F10" s="25">
        <v>41925</v>
      </c>
      <c r="G10" s="25">
        <v>41925</v>
      </c>
      <c r="H10" s="25">
        <v>41925</v>
      </c>
      <c r="I10" s="77" t="s">
        <v>97</v>
      </c>
      <c r="J10" s="25">
        <v>41926</v>
      </c>
      <c r="K10" s="25"/>
      <c r="L10" s="25">
        <v>41985</v>
      </c>
      <c r="M10" s="25"/>
      <c r="N10" s="25">
        <v>42034</v>
      </c>
      <c r="O10" s="25"/>
      <c r="P10" s="25"/>
      <c r="Q10" s="25">
        <v>42279</v>
      </c>
      <c r="R10" s="25"/>
      <c r="S10" s="25"/>
      <c r="T10" s="41" t="s">
        <v>79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13">
        <v>308</v>
      </c>
      <c r="C11" s="114" t="s">
        <v>80</v>
      </c>
      <c r="D11" s="19">
        <v>2</v>
      </c>
      <c r="E11" s="25">
        <v>41914</v>
      </c>
      <c r="F11" s="25">
        <v>41925</v>
      </c>
      <c r="G11" s="25">
        <v>41925</v>
      </c>
      <c r="H11" s="25">
        <v>41925</v>
      </c>
      <c r="I11" s="77" t="s">
        <v>97</v>
      </c>
      <c r="J11" s="25">
        <v>41926</v>
      </c>
      <c r="L11" s="25">
        <v>41985</v>
      </c>
      <c r="N11" s="25">
        <v>42034</v>
      </c>
      <c r="Q11" s="25">
        <v>42279</v>
      </c>
      <c r="T11" s="114" t="s">
        <v>79</v>
      </c>
      <c r="U11" s="12">
        <v>42306</v>
      </c>
    </row>
    <row r="12" spans="2:48" ht="25.5">
      <c r="B12" s="113">
        <v>308</v>
      </c>
      <c r="C12" s="114" t="s">
        <v>80</v>
      </c>
      <c r="D12" s="19">
        <v>3</v>
      </c>
      <c r="E12" s="25">
        <v>41919</v>
      </c>
      <c r="F12" s="25">
        <v>41925</v>
      </c>
      <c r="G12" s="25">
        <v>41925</v>
      </c>
      <c r="H12" s="25">
        <v>41925</v>
      </c>
      <c r="I12" s="128" t="s">
        <v>97</v>
      </c>
      <c r="J12" s="25">
        <v>41931</v>
      </c>
      <c r="L12" s="25">
        <v>41990</v>
      </c>
      <c r="N12" s="25">
        <v>42039</v>
      </c>
      <c r="Q12" s="25">
        <v>42284</v>
      </c>
      <c r="T12" s="114" t="s">
        <v>79</v>
      </c>
      <c r="U12" s="12">
        <v>42306</v>
      </c>
    </row>
    <row r="13" spans="2:48" ht="25.5">
      <c r="B13" s="139">
        <v>308</v>
      </c>
      <c r="C13" s="140" t="s">
        <v>80</v>
      </c>
      <c r="D13" s="19">
        <v>4</v>
      </c>
      <c r="I13" s="141" t="s">
        <v>57</v>
      </c>
      <c r="T13" s="140" t="s">
        <v>79</v>
      </c>
      <c r="U13" s="12">
        <v>42306</v>
      </c>
    </row>
    <row r="14" spans="2:48" ht="25.5">
      <c r="B14" s="139">
        <v>308</v>
      </c>
      <c r="C14" s="140" t="s">
        <v>80</v>
      </c>
      <c r="D14" s="19">
        <v>5</v>
      </c>
      <c r="I14" s="141" t="s">
        <v>57</v>
      </c>
      <c r="T14" s="140" t="s">
        <v>79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>
      <selection activeCell="I25" sqref="I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67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68" t="s">
        <v>17</v>
      </c>
      <c r="M4" s="62">
        <f>$B$12</f>
        <v>170</v>
      </c>
      <c r="N4" s="155" t="str">
        <f>$C$12</f>
        <v>PHAN NGUYEN Anne-Marie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70" t="s">
        <v>32</v>
      </c>
      <c r="M8" s="70" t="s">
        <v>31</v>
      </c>
      <c r="N8" s="69" t="s">
        <v>33</v>
      </c>
      <c r="O8" s="69" t="s">
        <v>34</v>
      </c>
      <c r="P8" s="69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170</v>
      </c>
      <c r="C10" s="41" t="s">
        <v>71</v>
      </c>
      <c r="D10" s="19">
        <v>1</v>
      </c>
      <c r="E10" s="25">
        <v>41792</v>
      </c>
      <c r="F10" s="25">
        <v>41800</v>
      </c>
      <c r="G10" s="25">
        <v>41800</v>
      </c>
      <c r="H10" s="25">
        <v>41800</v>
      </c>
      <c r="I10" s="43" t="s">
        <v>89</v>
      </c>
      <c r="J10" s="25">
        <v>41804</v>
      </c>
      <c r="K10" s="25">
        <v>41803</v>
      </c>
      <c r="L10" s="25">
        <v>41863</v>
      </c>
      <c r="M10" s="25">
        <v>41855</v>
      </c>
      <c r="N10" s="25">
        <v>41912</v>
      </c>
      <c r="O10" s="25">
        <v>41872</v>
      </c>
      <c r="P10" s="25">
        <v>41876</v>
      </c>
      <c r="Q10" s="25">
        <v>42157</v>
      </c>
      <c r="R10" s="25">
        <v>42123</v>
      </c>
      <c r="S10" s="25">
        <v>42128</v>
      </c>
      <c r="T10" s="41" t="s">
        <v>72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170</v>
      </c>
      <c r="C11" s="76" t="s">
        <v>71</v>
      </c>
      <c r="D11" s="19">
        <v>2</v>
      </c>
      <c r="E11" s="25">
        <v>41865</v>
      </c>
      <c r="F11" s="25">
        <v>41871</v>
      </c>
      <c r="G11" s="25">
        <v>41871</v>
      </c>
      <c r="H11" s="25">
        <v>41869</v>
      </c>
      <c r="I11" s="43" t="s">
        <v>102</v>
      </c>
      <c r="J11" s="25">
        <v>41877</v>
      </c>
      <c r="K11" s="25">
        <v>41883</v>
      </c>
      <c r="L11" s="25">
        <v>41936</v>
      </c>
      <c r="N11" s="25">
        <v>41985</v>
      </c>
      <c r="O11" s="25">
        <v>41941</v>
      </c>
      <c r="P11" s="25">
        <v>41942</v>
      </c>
      <c r="Q11" s="25">
        <v>42230</v>
      </c>
      <c r="R11" s="25">
        <v>42058</v>
      </c>
      <c r="S11" s="25">
        <v>42061</v>
      </c>
      <c r="T11" s="76" t="s">
        <v>72</v>
      </c>
      <c r="U11" s="12">
        <v>42306</v>
      </c>
    </row>
    <row r="12" spans="2:48" ht="25.5">
      <c r="B12" s="75">
        <v>170</v>
      </c>
      <c r="C12" s="76" t="s">
        <v>71</v>
      </c>
      <c r="D12" s="19">
        <v>3</v>
      </c>
      <c r="E12" s="25">
        <v>41906</v>
      </c>
      <c r="F12" s="25">
        <v>41907</v>
      </c>
      <c r="G12" s="25">
        <v>41907</v>
      </c>
      <c r="H12" s="25">
        <v>41907</v>
      </c>
      <c r="I12" s="43" t="s">
        <v>103</v>
      </c>
      <c r="J12" s="25">
        <v>41918</v>
      </c>
      <c r="L12" s="25">
        <v>41977</v>
      </c>
      <c r="N12" s="25">
        <v>42026</v>
      </c>
      <c r="O12" s="25">
        <v>41971</v>
      </c>
      <c r="P12" s="25">
        <v>41974</v>
      </c>
      <c r="Q12" s="25">
        <v>42271</v>
      </c>
      <c r="T12" s="76" t="s">
        <v>72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>
      <selection activeCell="E13" sqref="E1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98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99" t="s">
        <v>17</v>
      </c>
      <c r="M4" s="62">
        <f>$B$12</f>
        <v>321</v>
      </c>
      <c r="N4" s="155" t="str">
        <f>$C$12</f>
        <v>PIGEON Eric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01" t="s">
        <v>32</v>
      </c>
      <c r="M8" s="101" t="s">
        <v>31</v>
      </c>
      <c r="N8" s="100" t="s">
        <v>33</v>
      </c>
      <c r="O8" s="100" t="s">
        <v>34</v>
      </c>
      <c r="P8" s="10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321</v>
      </c>
      <c r="C10" s="41" t="s">
        <v>85</v>
      </c>
      <c r="D10" s="19">
        <v>1</v>
      </c>
      <c r="E10" s="25"/>
      <c r="F10" s="25"/>
      <c r="G10" s="25"/>
      <c r="H10" s="25"/>
      <c r="I10" s="4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86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5">
        <v>321</v>
      </c>
      <c r="C11" s="76" t="s">
        <v>85</v>
      </c>
      <c r="D11" s="19">
        <v>2</v>
      </c>
      <c r="I11" s="43" t="s">
        <v>57</v>
      </c>
      <c r="T11" s="76" t="s">
        <v>86</v>
      </c>
      <c r="U11" s="12">
        <v>42306</v>
      </c>
    </row>
    <row r="12" spans="2:48" ht="25.5">
      <c r="B12" s="75">
        <v>321</v>
      </c>
      <c r="C12" s="76" t="s">
        <v>85</v>
      </c>
      <c r="D12" s="19">
        <v>3</v>
      </c>
      <c r="I12" s="43" t="s">
        <v>57</v>
      </c>
      <c r="T12" s="76" t="s">
        <v>86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4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169</v>
      </c>
      <c r="N4" s="155" t="str">
        <f>$C$12</f>
        <v>PISTORIUS ENGINGER Véronique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169</v>
      </c>
      <c r="C10" s="41" t="s">
        <v>70</v>
      </c>
      <c r="D10" s="19">
        <v>1</v>
      </c>
      <c r="E10" s="25">
        <v>41745</v>
      </c>
      <c r="F10" s="25">
        <v>41752</v>
      </c>
      <c r="G10" s="25">
        <v>41752</v>
      </c>
      <c r="H10" s="25"/>
      <c r="I10" s="43" t="s">
        <v>57</v>
      </c>
      <c r="J10" s="25">
        <v>41757</v>
      </c>
      <c r="K10" s="25"/>
      <c r="L10" s="25">
        <v>41816</v>
      </c>
      <c r="M10" s="25"/>
      <c r="N10" s="25">
        <v>41865</v>
      </c>
      <c r="O10" s="25"/>
      <c r="P10" s="25"/>
      <c r="Q10" s="25">
        <v>42110</v>
      </c>
      <c r="R10" s="25"/>
      <c r="S10" s="25"/>
      <c r="T10" s="41" t="s">
        <v>69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38.25">
      <c r="B11" s="75">
        <v>169</v>
      </c>
      <c r="C11" s="76" t="s">
        <v>70</v>
      </c>
      <c r="D11" s="19">
        <v>2</v>
      </c>
      <c r="I11" s="77" t="s">
        <v>57</v>
      </c>
      <c r="T11" s="76" t="s">
        <v>69</v>
      </c>
      <c r="U11" s="12">
        <v>42306</v>
      </c>
    </row>
    <row r="12" spans="2:48" ht="38.25">
      <c r="B12" s="75">
        <v>169</v>
      </c>
      <c r="C12" s="76" t="s">
        <v>70</v>
      </c>
      <c r="D12" s="19">
        <v>3</v>
      </c>
      <c r="I12" s="77" t="s">
        <v>57</v>
      </c>
      <c r="T12" s="76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5"/>
  <dimension ref="B1:AV12"/>
  <sheetViews>
    <sheetView workbookViewId="0">
      <selection activeCell="J25" sqref="J2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13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136" t="s">
        <v>17</v>
      </c>
      <c r="M4" s="62">
        <f>$B$12</f>
        <v>411</v>
      </c>
      <c r="N4" s="155" t="str">
        <f>$C$12</f>
        <v>RENAUT Jean-Jacques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38" t="s">
        <v>32</v>
      </c>
      <c r="M8" s="138" t="s">
        <v>31</v>
      </c>
      <c r="N8" s="137" t="s">
        <v>33</v>
      </c>
      <c r="O8" s="137" t="s">
        <v>34</v>
      </c>
      <c r="P8" s="137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411</v>
      </c>
      <c r="C10" s="41" t="s">
        <v>107</v>
      </c>
      <c r="D10" s="19">
        <v>1</v>
      </c>
      <c r="E10" s="25">
        <v>41942</v>
      </c>
      <c r="F10" s="25">
        <v>41946</v>
      </c>
      <c r="G10" s="25"/>
      <c r="H10" s="25"/>
      <c r="I10" s="141" t="s">
        <v>57</v>
      </c>
      <c r="J10" s="25">
        <v>41954</v>
      </c>
      <c r="K10" s="25">
        <v>41984</v>
      </c>
      <c r="L10" s="25">
        <v>42013</v>
      </c>
      <c r="M10" s="25"/>
      <c r="N10" s="25">
        <v>42062</v>
      </c>
      <c r="O10" s="25"/>
      <c r="P10" s="25"/>
      <c r="Q10" s="25">
        <v>42307</v>
      </c>
      <c r="R10" s="25"/>
      <c r="S10" s="25"/>
      <c r="T10" s="41" t="s">
        <v>106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39">
        <v>411</v>
      </c>
      <c r="C11" s="140" t="s">
        <v>107</v>
      </c>
      <c r="D11" s="19">
        <v>2</v>
      </c>
      <c r="E11" s="25">
        <v>41946</v>
      </c>
      <c r="F11" s="25">
        <v>41948</v>
      </c>
      <c r="G11" s="25">
        <v>41948</v>
      </c>
      <c r="I11" s="141" t="s">
        <v>57</v>
      </c>
      <c r="J11" s="25">
        <v>41958</v>
      </c>
      <c r="K11" s="25">
        <v>41956</v>
      </c>
      <c r="L11" s="25">
        <v>42017</v>
      </c>
      <c r="M11" s="25">
        <v>42018</v>
      </c>
      <c r="N11" s="25">
        <v>42066</v>
      </c>
      <c r="Q11" s="25">
        <v>42311</v>
      </c>
      <c r="T11" s="140" t="s">
        <v>106</v>
      </c>
      <c r="U11" s="12">
        <v>42306</v>
      </c>
    </row>
    <row r="12" spans="2:48" ht="25.5">
      <c r="B12" s="139">
        <v>411</v>
      </c>
      <c r="C12" s="140" t="s">
        <v>107</v>
      </c>
      <c r="D12" s="19">
        <v>3</v>
      </c>
      <c r="I12" s="141" t="s">
        <v>57</v>
      </c>
      <c r="T12" s="140" t="s">
        <v>106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6"/>
  <dimension ref="B1:AV12"/>
  <sheetViews>
    <sheetView workbookViewId="0">
      <selection activeCell="D31" sqref="D3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90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$U$12</f>
        <v>42306</v>
      </c>
      <c r="G4" s="49"/>
      <c r="H4" s="49"/>
      <c r="I4" s="33"/>
      <c r="J4" s="49"/>
      <c r="K4" s="49"/>
      <c r="L4" s="91" t="s">
        <v>17</v>
      </c>
      <c r="M4" s="62">
        <f>$B$12</f>
        <v>279</v>
      </c>
      <c r="N4" s="155" t="str">
        <f>$C$12</f>
        <v>RAMDENEE Parvin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279</v>
      </c>
      <c r="C10" s="41" t="s">
        <v>82</v>
      </c>
      <c r="D10" s="19">
        <v>1</v>
      </c>
      <c r="E10" s="25">
        <v>41829</v>
      </c>
      <c r="F10" s="25">
        <v>41835</v>
      </c>
      <c r="G10" s="25">
        <v>41835</v>
      </c>
      <c r="H10" s="25">
        <v>41835</v>
      </c>
      <c r="I10" s="43" t="s">
        <v>89</v>
      </c>
      <c r="J10" s="25">
        <v>41841</v>
      </c>
      <c r="K10" s="25">
        <v>41890</v>
      </c>
      <c r="L10" s="25">
        <v>41900</v>
      </c>
      <c r="M10" s="25">
        <v>41928</v>
      </c>
      <c r="N10" s="25">
        <v>41949</v>
      </c>
      <c r="O10" s="25"/>
      <c r="P10" s="25"/>
      <c r="Q10" s="25">
        <v>42194</v>
      </c>
      <c r="R10" s="25"/>
      <c r="S10" s="25"/>
      <c r="T10" s="41" t="s">
        <v>81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110">
        <v>279</v>
      </c>
      <c r="C11" s="111" t="s">
        <v>82</v>
      </c>
      <c r="D11" s="19">
        <v>2</v>
      </c>
      <c r="E11" s="25">
        <v>41989</v>
      </c>
      <c r="F11" s="25">
        <v>41992</v>
      </c>
      <c r="G11" s="25">
        <v>41992</v>
      </c>
      <c r="H11" s="25">
        <v>42018</v>
      </c>
      <c r="I11" s="43" t="s">
        <v>103</v>
      </c>
      <c r="J11" s="25">
        <v>42001</v>
      </c>
      <c r="K11" s="25">
        <v>42018</v>
      </c>
      <c r="L11" s="25">
        <v>42060</v>
      </c>
      <c r="M11" s="25">
        <v>42073</v>
      </c>
      <c r="N11" s="25">
        <v>42109</v>
      </c>
      <c r="Q11" s="25">
        <v>42354</v>
      </c>
      <c r="T11" s="111" t="s">
        <v>81</v>
      </c>
      <c r="U11" s="12">
        <v>42306</v>
      </c>
    </row>
    <row r="12" spans="2:48" ht="25.5">
      <c r="B12" s="110">
        <v>279</v>
      </c>
      <c r="C12" s="111" t="s">
        <v>82</v>
      </c>
      <c r="D12" s="19">
        <v>3</v>
      </c>
      <c r="I12" s="43" t="s">
        <v>57</v>
      </c>
      <c r="T12" s="111" t="s">
        <v>81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17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51" t="s">
        <v>16</v>
      </c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53"/>
      <c r="M3" s="153"/>
      <c r="N3" s="153"/>
      <c r="O3" s="82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54" t="s">
        <v>58</v>
      </c>
      <c r="E4" s="154"/>
      <c r="F4" s="52">
        <f>$U$14</f>
        <v>42306</v>
      </c>
      <c r="G4" s="49"/>
      <c r="H4" s="49"/>
      <c r="I4" s="33"/>
      <c r="J4" s="49"/>
      <c r="K4" s="49"/>
      <c r="L4" s="83" t="s">
        <v>17</v>
      </c>
      <c r="M4" s="62">
        <f>$B$14</f>
        <v>326</v>
      </c>
      <c r="N4" s="155" t="str">
        <f>$C$14</f>
        <v>VOURC'H JOURDAIN Morgane</v>
      </c>
      <c r="O4" s="155"/>
      <c r="P4" s="155"/>
      <c r="Q4" s="155"/>
      <c r="R4" s="155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56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58" t="s">
        <v>19</v>
      </c>
      <c r="F7" s="159"/>
      <c r="G7" s="159"/>
      <c r="H7" s="159"/>
      <c r="I7" s="159"/>
      <c r="J7" s="160" t="s">
        <v>20</v>
      </c>
      <c r="K7" s="161"/>
      <c r="L7" s="162" t="s">
        <v>21</v>
      </c>
      <c r="M7" s="162"/>
      <c r="N7" s="163" t="s">
        <v>22</v>
      </c>
      <c r="O7" s="164"/>
      <c r="P7" s="165"/>
      <c r="Q7" s="166" t="s">
        <v>23</v>
      </c>
      <c r="R7" s="164"/>
      <c r="S7" s="165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85" t="s">
        <v>32</v>
      </c>
      <c r="M8" s="85" t="s">
        <v>31</v>
      </c>
      <c r="N8" s="84" t="s">
        <v>33</v>
      </c>
      <c r="O8" s="84" t="s">
        <v>34</v>
      </c>
      <c r="P8" s="84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326</v>
      </c>
      <c r="C10" s="41" t="s">
        <v>78</v>
      </c>
      <c r="D10" s="19">
        <v>1</v>
      </c>
      <c r="E10" s="25">
        <v>41813</v>
      </c>
      <c r="F10" s="25">
        <v>41815</v>
      </c>
      <c r="G10" s="25">
        <v>41815</v>
      </c>
      <c r="H10" s="25">
        <v>41816</v>
      </c>
      <c r="I10" s="43" t="s">
        <v>93</v>
      </c>
      <c r="J10" s="25">
        <v>41825</v>
      </c>
      <c r="K10" s="25">
        <v>41823</v>
      </c>
      <c r="L10" s="25">
        <v>41884</v>
      </c>
      <c r="M10" s="25">
        <v>41891</v>
      </c>
      <c r="N10" s="25">
        <v>41933</v>
      </c>
      <c r="O10" s="25"/>
      <c r="P10" s="25"/>
      <c r="Q10" s="25">
        <v>42178</v>
      </c>
      <c r="R10" s="25"/>
      <c r="S10" s="25"/>
      <c r="T10" s="41" t="s">
        <v>77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38.25">
      <c r="B11" s="110">
        <v>326</v>
      </c>
      <c r="C11" s="111" t="s">
        <v>78</v>
      </c>
      <c r="D11" s="19">
        <v>2</v>
      </c>
      <c r="E11" s="25">
        <v>41837</v>
      </c>
      <c r="F11" s="25">
        <v>41841</v>
      </c>
      <c r="G11" s="25">
        <v>41841</v>
      </c>
      <c r="H11" s="25">
        <v>41841</v>
      </c>
      <c r="I11" s="43" t="s">
        <v>103</v>
      </c>
      <c r="J11" s="25">
        <v>41849</v>
      </c>
      <c r="K11" s="25">
        <v>41849</v>
      </c>
      <c r="L11" s="25">
        <v>41908</v>
      </c>
      <c r="M11" s="25">
        <v>41915</v>
      </c>
      <c r="N11" s="25">
        <v>41957</v>
      </c>
      <c r="O11" s="25">
        <v>41890</v>
      </c>
      <c r="P11" s="25">
        <v>41892</v>
      </c>
      <c r="Q11" s="25">
        <v>42202</v>
      </c>
      <c r="T11" s="111" t="s">
        <v>77</v>
      </c>
      <c r="U11" s="12">
        <v>42306</v>
      </c>
    </row>
    <row r="12" spans="2:48" ht="38.25">
      <c r="B12" s="110">
        <v>326</v>
      </c>
      <c r="C12" s="111" t="s">
        <v>78</v>
      </c>
      <c r="D12" s="19">
        <v>3</v>
      </c>
      <c r="E12" s="25">
        <v>41844</v>
      </c>
      <c r="F12" s="25">
        <v>41848</v>
      </c>
      <c r="G12" s="25">
        <v>41848</v>
      </c>
      <c r="H12" s="25">
        <v>41849</v>
      </c>
      <c r="I12" s="128" t="s">
        <v>111</v>
      </c>
      <c r="J12" s="25">
        <v>41856</v>
      </c>
      <c r="K12" s="25">
        <v>41914</v>
      </c>
      <c r="L12" s="25">
        <v>41915</v>
      </c>
      <c r="M12" s="25">
        <v>41967</v>
      </c>
      <c r="N12" s="25">
        <v>41964</v>
      </c>
      <c r="Q12" s="25">
        <v>42209</v>
      </c>
      <c r="R12" s="25">
        <v>42030</v>
      </c>
      <c r="S12" s="25">
        <v>42032</v>
      </c>
      <c r="T12" s="111" t="s">
        <v>77</v>
      </c>
      <c r="U12" s="12">
        <v>42306</v>
      </c>
    </row>
    <row r="13" spans="2:48" ht="38.25">
      <c r="B13" s="129">
        <v>326</v>
      </c>
      <c r="C13" s="130" t="s">
        <v>78</v>
      </c>
      <c r="D13" s="19">
        <v>4</v>
      </c>
      <c r="E13" s="25">
        <v>41908</v>
      </c>
      <c r="F13" s="25">
        <v>41911</v>
      </c>
      <c r="H13" s="25">
        <v>41911</v>
      </c>
      <c r="I13" s="128" t="s">
        <v>90</v>
      </c>
      <c r="J13" s="25">
        <v>41920</v>
      </c>
      <c r="K13" s="25">
        <v>41920</v>
      </c>
      <c r="L13" s="25">
        <v>41979</v>
      </c>
      <c r="M13" s="25">
        <v>41976</v>
      </c>
      <c r="N13" s="25">
        <v>42028</v>
      </c>
      <c r="Q13" s="25">
        <v>42273</v>
      </c>
      <c r="T13" s="130" t="s">
        <v>77</v>
      </c>
      <c r="U13" s="12">
        <v>42306</v>
      </c>
    </row>
    <row r="14" spans="2:48" ht="38.25">
      <c r="B14" s="129">
        <v>326</v>
      </c>
      <c r="C14" s="130" t="s">
        <v>78</v>
      </c>
      <c r="D14" s="19">
        <v>5</v>
      </c>
      <c r="E14" s="25">
        <v>41940</v>
      </c>
      <c r="F14" s="25">
        <v>41942</v>
      </c>
      <c r="G14" s="25">
        <v>41942</v>
      </c>
      <c r="H14" s="25">
        <v>41942</v>
      </c>
      <c r="I14" s="128" t="s">
        <v>91</v>
      </c>
      <c r="J14" s="25">
        <v>41952</v>
      </c>
      <c r="K14" s="25">
        <v>41955</v>
      </c>
      <c r="L14" s="25">
        <v>42011</v>
      </c>
      <c r="N14" s="25">
        <v>42060</v>
      </c>
      <c r="O14" s="25">
        <v>42010</v>
      </c>
      <c r="P14" s="25">
        <v>42018</v>
      </c>
      <c r="Q14" s="25">
        <v>42305</v>
      </c>
      <c r="T14" s="130" t="s">
        <v>77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Secteur DE0304</vt:lpstr>
      <vt:lpstr>02599111</vt:lpstr>
      <vt:lpstr>02745550</vt:lpstr>
      <vt:lpstr>03093938</vt:lpstr>
      <vt:lpstr>03216360</vt:lpstr>
      <vt:lpstr>04099915</vt:lpstr>
      <vt:lpstr>05636682</vt:lpstr>
      <vt:lpstr>05562935</vt:lpstr>
      <vt:lpstr>05499488</vt:lpstr>
      <vt:lpstr>06401487</vt:lpstr>
      <vt:lpstr>07379919</vt:lpstr>
      <vt:lpstr>01792618</vt:lpstr>
      <vt:lpstr>07337880</vt:lpstr>
      <vt:lpstr>07531349</vt:lpstr>
      <vt:lpstr>07780683</vt:lpstr>
      <vt:lpstr>07662229</vt:lpstr>
      <vt:lpstr>09605251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2015-10-29T22:02:31Z</dcterms:modified>
</cp:coreProperties>
</file>