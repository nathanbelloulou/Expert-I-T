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9700" sheetId="1" r:id="rId1"/>
    <sheet name="DOM30" sheetId="20" r:id="rId2"/>
    <sheet name="DOM02" sheetId="7" r:id="rId3"/>
    <sheet name="DOM31" sheetId="21" r:id="rId4"/>
    <sheet name="DOM20" sheetId="22" r:id="rId5"/>
    <sheet name="DOM06" sheetId="19" r:id="rId6"/>
    <sheet name="DOM07" sheetId="17" r:id="rId7"/>
    <sheet name="DOM17 " sheetId="18" r:id="rId8"/>
    <sheet name="DOM21" sheetId="23" r:id="rId9"/>
    <sheet name="DOM22" sheetId="24" r:id="rId10"/>
    <sheet name="DOM26" sheetId="25" r:id="rId11"/>
    <sheet name="DOM47" sheetId="26" r:id="rId12"/>
  </sheets>
  <definedNames>
    <definedName name="Lancer_la_requête_à_partir_de_MS_Access_Database" localSheetId="2" hidden="1">'DOM02'!$B$9:$U$12</definedName>
    <definedName name="Lancer_la_requête_à_partir_de_MS_Access_Database" localSheetId="5" hidden="1">'DOM06'!$B$9:$U$12</definedName>
    <definedName name="Lancer_la_requête_à_partir_de_MS_Access_Database" localSheetId="6" hidden="1">'DOM07'!$B$9:$U$12</definedName>
    <definedName name="Lancer_la_requête_à_partir_de_MS_Access_Database" localSheetId="7" hidden="1">'DOM17 '!$B$9:$U$12</definedName>
    <definedName name="Lancer_la_requête_à_partir_de_MS_Access_Database" localSheetId="4" hidden="1">'DOM20'!$B$9:$U$12</definedName>
    <definedName name="Lancer_la_requête_à_partir_de_MS_Access_Database" localSheetId="8" hidden="1">'DOM21'!$B$9:$U$12</definedName>
    <definedName name="Lancer_la_requête_à_partir_de_MS_Access_Database" localSheetId="9" hidden="1">'DOM22'!$B$9:$U$12</definedName>
    <definedName name="Lancer_la_requête_à_partir_de_MS_Access_Database" localSheetId="10" hidden="1">'DOM26'!$B$9:$U$13</definedName>
    <definedName name="Lancer_la_requête_à_partir_de_MS_Access_Database" localSheetId="1" hidden="1">'DOM30'!$B$9:$U$15</definedName>
    <definedName name="Lancer_la_requête_à_partir_de_MS_Access_Database" localSheetId="3" hidden="1">'DOM31'!$B$9:$U$12</definedName>
    <definedName name="Lancer_la_requête_à_partir_de_MS_Access_Database" localSheetId="11" hidden="1">'DOM47'!$B$9:$U$12</definedName>
    <definedName name="Lancer_la_requête_à_partir_de_MS_Access_Database_1" localSheetId="0" hidden="1">'Secteur DE9700'!$A$7:$K$18</definedName>
  </definedNames>
  <calcPr calcId="125725"/>
</workbook>
</file>

<file path=xl/calcChain.xml><?xml version="1.0" encoding="utf-8"?>
<calcChain xmlns="http://schemas.openxmlformats.org/spreadsheetml/2006/main">
  <c r="D19" i="1"/>
  <c r="E19"/>
  <c r="F19"/>
  <c r="G19"/>
  <c r="H19"/>
  <c r="I19"/>
  <c r="N4" i="26"/>
  <c r="M4"/>
  <c r="F4"/>
  <c r="N4" i="25"/>
  <c r="M4"/>
  <c r="F4"/>
  <c r="N4" i="24"/>
  <c r="M4"/>
  <c r="F4"/>
  <c r="N4" i="23"/>
  <c r="M4"/>
  <c r="F4"/>
  <c r="N4" i="22"/>
  <c r="M4"/>
  <c r="F4"/>
  <c r="N4" i="21"/>
  <c r="M4"/>
  <c r="F4"/>
  <c r="N4" i="20"/>
  <c r="M4"/>
  <c r="F4"/>
  <c r="N4" i="19"/>
  <c r="M4"/>
  <c r="F4"/>
  <c r="N4" i="18"/>
  <c r="M4"/>
  <c r="F4"/>
  <c r="N4" i="17"/>
  <c r="M4"/>
  <c r="F4"/>
  <c r="N4" i="7" l="1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9700')_x000d__x000a_ORDER BY Req_REPORT_SECTEURS_GLOBAL.Medecin"/>
  </connection>
  <connection id="2" name="Lancer la requête à partir de MS Access DatabaseDOM0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02')"/>
  </connection>
  <connection id="3" name="Lancer la requête à partir de MS Access DatabaseDOM0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06')"/>
  </connection>
  <connection id="4" name="Lancer la requête à partir de MS Access DatabaseDOM0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07')"/>
  </connection>
  <connection id="5" name="Lancer la requête à partir de MS Access DatabaseDOM1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17')"/>
  </connection>
  <connection id="6" name="Lancer la requête à partir de MS Access DatabaseDOM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20')"/>
  </connection>
  <connection id="7" name="Lancer la requête à partir de MS Access DatabaseDOM2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21')"/>
  </connection>
  <connection id="8" name="Lancer la requête à partir de MS Access DatabaseDOM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22')"/>
  </connection>
  <connection id="9" name="Lancer la requête à partir de MS Access DatabaseDOM2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26')"/>
  </connection>
  <connection id="10" name="Lancer la requête à partir de MS Access DatabaseDOM3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30')"/>
  </connection>
  <connection id="11" name="Lancer la requête à partir de MS Access DatabaseDOM3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31')"/>
  </connection>
  <connection id="12" name="Lancer la requête à partir de MS Access DatabaseDOM4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DOM47')"/>
  </connection>
</connections>
</file>

<file path=xl/sharedStrings.xml><?xml version="1.0" encoding="utf-8"?>
<sst xmlns="http://schemas.openxmlformats.org/spreadsheetml/2006/main" count="684" uniqueCount="98">
  <si>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</si>
  <si>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</si>
  <si>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</si>
  <si>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</si>
  <si>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</si>
  <si>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</si>
  <si>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</si>
  <si>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</si>
  <si>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</si>
  <si>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</si>
  <si>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</si>
  <si>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</si>
  <si>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</si>
  <si>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</si>
  <si>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</si>
  <si>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</si>
  <si>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</si>
  <si>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</si>
  <si>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</si>
  <si>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</si>
  <si>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</si>
  <si>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</si>
  <si>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</si>
  <si>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</si>
  <si>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</si>
  <si>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</si>
  <si>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</si>
  <si>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</si>
  <si>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</si>
  <si>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</si>
  <si>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</si>
  <si>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</si>
  <si>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</si>
  <si>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</si>
  <si>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</si>
  <si>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</si>
  <si>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</si>
  <si>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</si>
  <si>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</si>
  <si>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</si>
  <si>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</si>
  <si>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</si>
  <si>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</si>
  <si>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</si>
  <si>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</si>
  <si>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</si>
  <si>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</si>
  <si>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</si>
  <si>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</si>
  <si>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</si>
  <si>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</si>
  <si>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</si>
  <si>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</si>
  <si>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</si>
  <si>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</si>
  <si>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</si>
  <si>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</si>
  <si>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</si>
  <si>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</si>
  <si>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DE9700</t>
  </si>
  <si>
    <t>DOM TOM</t>
  </si>
  <si>
    <t>ANDRIANTSINJOVINA  Thycia</t>
  </si>
  <si>
    <t>DJERIDI  Nadia</t>
  </si>
  <si>
    <t>DOM02</t>
  </si>
  <si>
    <t>DOM07</t>
  </si>
  <si>
    <t>DOM17</t>
  </si>
  <si>
    <t>LAW PING MAN  Charles</t>
  </si>
  <si>
    <t>DOM06</t>
  </si>
  <si>
    <t>DENAT  Nicole</t>
  </si>
  <si>
    <t>DOM30</t>
  </si>
  <si>
    <t>AMAZAN  Emmanuelle</t>
  </si>
  <si>
    <t>DOM31</t>
  </si>
  <si>
    <t>BAUBION  Emilie</t>
  </si>
  <si>
    <t>02juillet : sera en vacances du 18 juillet au 12 août</t>
  </si>
  <si>
    <t>CORDEL Nadège</t>
  </si>
  <si>
    <t>DOM20</t>
  </si>
  <si>
    <t>Mail</t>
  </si>
  <si>
    <t>SMS - Téléphone</t>
  </si>
  <si>
    <t>Courrier 06/08: demande envoi visite inclusion patient 1</t>
  </si>
  <si>
    <t>SMS</t>
  </si>
  <si>
    <t>DOM21</t>
  </si>
  <si>
    <t>RENIER   Max</t>
  </si>
  <si>
    <t>DOM22</t>
  </si>
  <si>
    <t>SAMYN-WINTER Annick</t>
  </si>
  <si>
    <t>03sept:Va essayer d'en inclure à partir d'aujourdhui. Ne le faisait pas avant car pensait que c'était compliqué de faire remplir les questionnaires</t>
  </si>
  <si>
    <t>10sept: n'a pas encore inclus, rentre de vacances et n'a pas vu de cas. A transmis tous les informations à son remplacant car sera en congés maladie du 24 sept au 11 oct.</t>
  </si>
  <si>
    <t>DOM26</t>
  </si>
  <si>
    <t>TONY Danielle</t>
  </si>
  <si>
    <t>SMS - Téléphone - Via médecin</t>
  </si>
  <si>
    <t>Mail - Courrier</t>
  </si>
  <si>
    <t>a inclus 2 patients pas de souci particulier, nous renvoie les questionnaires</t>
  </si>
  <si>
    <t>Téléphone</t>
  </si>
  <si>
    <t>n'a pas vu de cas récemment n'a pas pu inclure. Ne pense pas pouvoir inclure facilement ne voit jamais ce type de patient</t>
  </si>
  <si>
    <t>Courrier</t>
  </si>
  <si>
    <t>MUSSON Pascal</t>
  </si>
  <si>
    <t>DOM47</t>
  </si>
  <si>
    <t>28/10: a inclus ces 3 patients, pas de souci. Veut bien 1 nouveau CRF</t>
  </si>
  <si>
    <t>Via médecin</t>
  </si>
</sst>
</file>

<file path=xl/styles.xml><?xml version="1.0" encoding="utf-8"?>
<styleSheet xmlns="http://schemas.openxmlformats.org/spreadsheetml/2006/main">
  <numFmts count="1">
    <numFmt numFmtId="164" formatCode="dd/mm/yy;@"/>
  </numFmts>
  <fonts count="28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28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22" fontId="0" fillId="0" borderId="0" xfId="0" applyNumberFormat="1" applyAlignment="1">
      <alignment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62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61"/>
      <tableStyleElement type="headerRow" dxfId="260"/>
      <tableStyleElement type="totalRow" dxfId="259"/>
      <tableStyleElement type="firstColumn" dxfId="258"/>
      <tableStyleElement type="lastColumn" dxfId="257"/>
      <tableStyleElement type="firstRowStripe" dxfId="256"/>
      <tableStyleElement type="secondRowStripe" dxfId="255"/>
      <tableStyleElement type="firstColumnStripe" dxfId="254"/>
      <tableStyleElement type="secondColumnStripe" dxfId="253"/>
    </tableStyle>
    <tableStyle name="TableStyleLight8 2" pivot="0" count="9">
      <tableStyleElement type="wholeTable" dxfId="252"/>
      <tableStyleElement type="headerRow" dxfId="251"/>
      <tableStyleElement type="totalRow" dxfId="250"/>
      <tableStyleElement type="firstColumn" dxfId="249"/>
      <tableStyleElement type="lastColumn" dxfId="248"/>
      <tableStyleElement type="firstRowStripe" dxfId="247"/>
      <tableStyleElement type="secondRowStripe" dxfId="246"/>
      <tableStyleElement type="firstColumnStripe" dxfId="245"/>
      <tableStyleElement type="secondColumnStripe" dxfId="244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9" tableType="queryTable" totalsRowCount="1" headerRowDxfId="243" dataDxfId="242">
  <tableColumns count="11">
    <tableColumn id="1" uniqueName="1" name="Code Secteur" queryTableFieldId="1" dataDxfId="230" totalsRowDxfId="231"/>
    <tableColumn id="2" uniqueName="2" name="VM" queryTableFieldId="2" dataDxfId="229" totalsRowDxfId="232"/>
    <tableColumn id="3" uniqueName="3" name="Code médecin" totalsRowLabel="TOTAL" queryTableFieldId="3" dataDxfId="228" totalsRowDxfId="233" dataCellStyle="Lien hypertexte"/>
    <tableColumn id="4" uniqueName="4" name="Medecin" totalsRowFunction="custom" queryTableFieldId="4" dataDxfId="227" totalsRowDxfId="234">
      <totalsRowFormula>SUBTOTAL(3,D8:D18)</totalsRowFormula>
    </tableColumn>
    <tableColumn id="5" uniqueName="5" name="Date de réception convention financière" totalsRowFunction="custom" queryTableFieldId="5" dataDxfId="226" totalsRowDxfId="235">
      <totalsRowFormula>SUBTOTAL(3,[Date de réception convention financière])</totalsRowFormula>
    </tableColumn>
    <tableColumn id="6" uniqueName="6" name="Date de réception AR kit" totalsRowFunction="custom" queryTableFieldId="6" dataDxfId="225" totalsRowDxfId="236">
      <totalsRowFormula>SUBTOTAL(3,[Date de réception AR kit])</totalsRowFormula>
    </tableColumn>
    <tableColumn id="7" uniqueName="7" name="Date de MEP" totalsRowFunction="custom" queryTableFieldId="7" dataDxfId="224" totalsRowDxfId="237">
      <totalsRowFormula>SUBTOTAL(3,[Date de MEP])</totalsRowFormula>
    </tableColumn>
    <tableColumn id="8" uniqueName="8" name="Desistement" totalsRowFunction="custom" queryTableFieldId="8" dataDxfId="223" totalsRowDxfId="238">
      <totalsRowFormula>SUBTOTAL(3,[Desistement])</totalsRowFormula>
    </tableColumn>
    <tableColumn id="9" uniqueName="9" name="Nb Total Patients inclus" totalsRowFunction="custom" queryTableFieldId="9" dataDxfId="222" totalsRowDxfId="239">
      <totalsRowFormula>SUBTOTAL(109,I8:I18)</totalsRowFormula>
    </tableColumn>
    <tableColumn id="10" uniqueName="10" name="Comptes-rendus contact médecin-GECEM" queryTableFieldId="10" dataDxfId="221" totalsRowDxfId="240"/>
    <tableColumn id="11" uniqueName="11" name="Date" queryTableFieldId="11" dataDxfId="220" totalsRowDxfId="241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6" name="Tableau_Lancer_la_requête_à_partir_de_MS_Access_Database4257" displayName="Tableau_Lancer_la_requête_à_partir_de_MS_Access_Database4257" ref="B9:U15" tableType="queryTable" totalsRowShown="0">
  <autoFilter ref="B9:U15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7" name="Tableau_Lancer_la_requête_à_partir_de_MS_Access_Database42578" displayName="Tableau_Lancer_la_requête_à_partir_de_MS_Access_Database42578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8" name="Tableau_Lancer_la_requête_à_partir_de_MS_Access_Database425789" displayName="Tableau_Lancer_la_requête_à_partir_de_MS_Access_Database425789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5" name="Tableau_Lancer_la_requête_à_partir_de_MS_Access_Database46" displayName="Tableau_Lancer_la_requête_à_partir_de_MS_Access_Database46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1" name="Tableau_Lancer_la_requête_à_partir_de_MS_Access_Database42" displayName="Tableau_Lancer_la_requête_à_partir_de_MS_Access_Database42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4" name="Tableau_Lancer_la_requête_à_partir_de_MS_Access_Database425" displayName="Tableau_Lancer_la_requête_à_partir_de_MS_Access_Database425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9" name="Tableau_Lancer_la_requête_à_partir_de_MS_Access_Database42510" displayName="Tableau_Lancer_la_requête_à_partir_de_MS_Access_Database42510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10" name="Tableau_Lancer_la_requête_à_partir_de_MS_Access_Database4251011" displayName="Tableau_Lancer_la_requête_à_partir_de_MS_Access_Database4251011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11" name="Tableau_Lancer_la_requête_à_partir_de_MS_Access_Database425101112" displayName="Tableau_Lancer_la_requête_à_partir_de_MS_Access_Database425101112" ref="B9:U13" tableType="queryTable" totalsRowShown="0">
  <autoFilter ref="B9:U13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2" name="Tableau_Lancer_la_requête_à_partir_de_MS_Access_Database42510111213" displayName="Tableau_Lancer_la_requête_à_partir_de_MS_Access_Database42510111213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1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$A$18</f>
        <v>DE9700</v>
      </c>
      <c r="G2" s="111" t="str">
        <f>$B$18</f>
        <v>DOM TOM</v>
      </c>
      <c r="H2" s="111"/>
      <c r="I2" s="111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$K$18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71" customFormat="1">
      <c r="A8" s="71" t="s">
        <v>59</v>
      </c>
      <c r="B8" s="71" t="s">
        <v>60</v>
      </c>
      <c r="C8" s="72" t="s">
        <v>69</v>
      </c>
      <c r="D8" s="73" t="s">
        <v>70</v>
      </c>
      <c r="E8" s="16">
        <v>41823</v>
      </c>
      <c r="F8" s="16">
        <v>41852</v>
      </c>
      <c r="G8" s="16">
        <v>41845</v>
      </c>
      <c r="H8" s="16"/>
      <c r="I8" s="15">
        <v>4</v>
      </c>
      <c r="J8" s="73"/>
      <c r="K8" s="74">
        <v>42306</v>
      </c>
    </row>
    <row r="9" spans="1:17" s="71" customFormat="1" ht="45">
      <c r="A9" s="71" t="s">
        <v>59</v>
      </c>
      <c r="B9" s="71" t="s">
        <v>60</v>
      </c>
      <c r="C9" s="72" t="s">
        <v>63</v>
      </c>
      <c r="D9" s="73" t="s">
        <v>61</v>
      </c>
      <c r="E9" s="16">
        <v>41792</v>
      </c>
      <c r="F9" s="16"/>
      <c r="G9" s="16">
        <v>41801</v>
      </c>
      <c r="H9" s="16"/>
      <c r="I9" s="15"/>
      <c r="J9" s="73" t="s">
        <v>85</v>
      </c>
      <c r="K9" s="74">
        <v>42306</v>
      </c>
    </row>
    <row r="10" spans="1:17">
      <c r="A10" s="71" t="s">
        <v>59</v>
      </c>
      <c r="B10" s="71" t="s">
        <v>60</v>
      </c>
      <c r="C10" s="72" t="s">
        <v>71</v>
      </c>
      <c r="D10" s="73" t="s">
        <v>72</v>
      </c>
      <c r="E10" s="16">
        <v>41823</v>
      </c>
      <c r="F10" s="16">
        <v>41835</v>
      </c>
      <c r="G10" s="16">
        <v>41821</v>
      </c>
      <c r="H10" s="16"/>
      <c r="I10" s="15">
        <v>3</v>
      </c>
      <c r="J10" s="73" t="s">
        <v>73</v>
      </c>
      <c r="K10" s="74">
        <v>42306</v>
      </c>
    </row>
    <row r="11" spans="1:17" ht="30">
      <c r="A11" s="71" t="s">
        <v>59</v>
      </c>
      <c r="B11" s="71" t="s">
        <v>60</v>
      </c>
      <c r="C11" s="72" t="s">
        <v>75</v>
      </c>
      <c r="D11" s="73" t="s">
        <v>74</v>
      </c>
      <c r="E11" s="16">
        <v>41828</v>
      </c>
      <c r="F11" s="16"/>
      <c r="G11" s="16">
        <v>41904</v>
      </c>
      <c r="H11" s="16"/>
      <c r="I11" s="15"/>
      <c r="J11" s="73" t="s">
        <v>92</v>
      </c>
      <c r="K11" s="74">
        <v>42306</v>
      </c>
    </row>
    <row r="12" spans="1:17">
      <c r="A12" s="71" t="s">
        <v>59</v>
      </c>
      <c r="B12" s="71" t="s">
        <v>60</v>
      </c>
      <c r="C12" s="72" t="s">
        <v>67</v>
      </c>
      <c r="D12" s="73" t="s">
        <v>68</v>
      </c>
      <c r="E12" s="16">
        <v>41809</v>
      </c>
      <c r="F12" s="16"/>
      <c r="G12" s="16">
        <v>41815</v>
      </c>
      <c r="H12" s="16"/>
      <c r="I12" s="15">
        <v>3</v>
      </c>
      <c r="J12" s="73"/>
      <c r="K12" s="74">
        <v>42306</v>
      </c>
    </row>
    <row r="13" spans="1:17">
      <c r="A13" s="71" t="s">
        <v>59</v>
      </c>
      <c r="B13" s="71" t="s">
        <v>60</v>
      </c>
      <c r="C13" s="72" t="s">
        <v>64</v>
      </c>
      <c r="D13" s="73" t="s">
        <v>62</v>
      </c>
      <c r="E13" s="16">
        <v>41793</v>
      </c>
      <c r="F13" s="16">
        <v>41806</v>
      </c>
      <c r="G13" s="16">
        <v>41801</v>
      </c>
      <c r="H13" s="16"/>
      <c r="I13" s="15">
        <v>1</v>
      </c>
      <c r="J13" s="73" t="s">
        <v>78</v>
      </c>
      <c r="K13" s="74">
        <v>42306</v>
      </c>
    </row>
    <row r="14" spans="1:17" ht="45">
      <c r="A14" s="71" t="s">
        <v>59</v>
      </c>
      <c r="B14" s="71" t="s">
        <v>60</v>
      </c>
      <c r="C14" s="72" t="s">
        <v>65</v>
      </c>
      <c r="D14" s="73" t="s">
        <v>66</v>
      </c>
      <c r="E14" s="16">
        <v>41806</v>
      </c>
      <c r="F14" s="16"/>
      <c r="G14" s="16">
        <v>41816</v>
      </c>
      <c r="H14" s="16"/>
      <c r="I14" s="15">
        <v>1</v>
      </c>
      <c r="J14" s="73" t="s">
        <v>84</v>
      </c>
      <c r="K14" s="74">
        <v>42306</v>
      </c>
    </row>
    <row r="15" spans="1:17">
      <c r="A15" s="71" t="s">
        <v>59</v>
      </c>
      <c r="B15" s="71" t="s">
        <v>60</v>
      </c>
      <c r="C15" s="72" t="s">
        <v>95</v>
      </c>
      <c r="D15" s="73" t="s">
        <v>94</v>
      </c>
      <c r="E15" s="16">
        <v>41932</v>
      </c>
      <c r="F15" s="16">
        <v>41948</v>
      </c>
      <c r="G15" s="16">
        <v>41927</v>
      </c>
      <c r="H15" s="16"/>
      <c r="I15" s="15">
        <v>2</v>
      </c>
      <c r="J15" s="73"/>
      <c r="K15" s="74">
        <v>42306</v>
      </c>
    </row>
    <row r="16" spans="1:17">
      <c r="A16" s="71" t="s">
        <v>59</v>
      </c>
      <c r="B16" s="71" t="s">
        <v>60</v>
      </c>
      <c r="C16" s="72" t="s">
        <v>80</v>
      </c>
      <c r="D16" s="73" t="s">
        <v>81</v>
      </c>
      <c r="E16" s="16">
        <v>41891</v>
      </c>
      <c r="F16" s="16">
        <v>41929</v>
      </c>
      <c r="G16" s="16">
        <v>41919</v>
      </c>
      <c r="H16" s="16"/>
      <c r="I16" s="15">
        <v>3</v>
      </c>
      <c r="J16" s="73"/>
      <c r="K16" s="74">
        <v>42306</v>
      </c>
    </row>
    <row r="17" spans="1:11" ht="30">
      <c r="A17" s="71" t="s">
        <v>59</v>
      </c>
      <c r="B17" s="71" t="s">
        <v>60</v>
      </c>
      <c r="C17" s="72" t="s">
        <v>82</v>
      </c>
      <c r="D17" s="73" t="s">
        <v>83</v>
      </c>
      <c r="E17" s="16">
        <v>41891</v>
      </c>
      <c r="F17" s="16">
        <v>41914</v>
      </c>
      <c r="G17" s="16">
        <v>41901</v>
      </c>
      <c r="H17" s="16"/>
      <c r="I17" s="15">
        <v>3</v>
      </c>
      <c r="J17" s="73" t="s">
        <v>90</v>
      </c>
      <c r="K17" s="74">
        <v>42306</v>
      </c>
    </row>
    <row r="18" spans="1:11" ht="30">
      <c r="A18" s="71" t="s">
        <v>59</v>
      </c>
      <c r="B18" s="71" t="s">
        <v>60</v>
      </c>
      <c r="C18" s="72" t="s">
        <v>86</v>
      </c>
      <c r="D18" s="106" t="s">
        <v>87</v>
      </c>
      <c r="E18" s="16">
        <v>41893</v>
      </c>
      <c r="F18" s="16">
        <v>41905</v>
      </c>
      <c r="G18" s="16">
        <v>41900</v>
      </c>
      <c r="H18" s="16"/>
      <c r="I18" s="15">
        <v>3</v>
      </c>
      <c r="J18" s="106" t="s">
        <v>96</v>
      </c>
      <c r="K18" s="74">
        <v>42306</v>
      </c>
    </row>
    <row r="19" spans="1:11">
      <c r="A19" s="28"/>
      <c r="B19" s="28"/>
      <c r="C19" s="27" t="s">
        <v>15</v>
      </c>
      <c r="D19" s="33">
        <f>SUBTOTAL(3,D8:D18)</f>
        <v>11</v>
      </c>
      <c r="E19" s="33">
        <f>SUBTOTAL(3,[Date de réception convention financière])</f>
        <v>11</v>
      </c>
      <c r="F19" s="33">
        <f>SUBTOTAL(3,[Date de réception AR kit])</f>
        <v>7</v>
      </c>
      <c r="G19" s="33">
        <f>SUBTOTAL(3,[Date de MEP])</f>
        <v>11</v>
      </c>
      <c r="H19" s="79">
        <f>SUBTOTAL(3,[Desistement])</f>
        <v>0</v>
      </c>
      <c r="I19" s="27">
        <f>SUBTOTAL(109,I8:I18)</f>
        <v>23</v>
      </c>
      <c r="J19" s="31"/>
      <c r="K19" s="32"/>
    </row>
    <row r="20" spans="1:11">
      <c r="D20" s="10"/>
      <c r="J20" s="10"/>
    </row>
    <row r="21" spans="1:11">
      <c r="C21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5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8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$U$15</f>
        <v>42306</v>
      </c>
      <c r="G4" s="50"/>
      <c r="H4" s="50"/>
      <c r="I4" s="34"/>
      <c r="J4" s="50"/>
      <c r="K4" s="50"/>
      <c r="L4" s="85" t="s">
        <v>17</v>
      </c>
      <c r="M4" s="59">
        <f>$B$15</f>
        <v>360</v>
      </c>
      <c r="N4" s="116" t="str">
        <f>$C$15</f>
        <v>AMAZAN  Emmanuelle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87" t="s">
        <v>32</v>
      </c>
      <c r="M8" s="87" t="s">
        <v>31</v>
      </c>
      <c r="N8" s="86" t="s">
        <v>33</v>
      </c>
      <c r="O8" s="86" t="s">
        <v>34</v>
      </c>
      <c r="P8" s="86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360</v>
      </c>
      <c r="C10" s="42" t="s">
        <v>70</v>
      </c>
      <c r="D10" s="19">
        <v>1</v>
      </c>
      <c r="E10" s="25">
        <v>41878</v>
      </c>
      <c r="F10" s="25">
        <v>41886</v>
      </c>
      <c r="G10" s="25">
        <v>41886</v>
      </c>
      <c r="H10" s="25">
        <v>41886</v>
      </c>
      <c r="I10" s="66" t="s">
        <v>79</v>
      </c>
      <c r="J10" s="25">
        <v>41890</v>
      </c>
      <c r="K10" s="25">
        <v>41905</v>
      </c>
      <c r="L10" s="25">
        <v>41949</v>
      </c>
      <c r="M10" s="25">
        <v>42034</v>
      </c>
      <c r="N10" s="25">
        <v>41998</v>
      </c>
      <c r="O10" s="25"/>
      <c r="P10" s="25"/>
      <c r="Q10" s="25">
        <v>42243</v>
      </c>
      <c r="R10" s="25">
        <v>42121</v>
      </c>
      <c r="S10" s="25">
        <v>42200</v>
      </c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4">
        <v>360</v>
      </c>
      <c r="C11" s="65" t="s">
        <v>70</v>
      </c>
      <c r="D11" s="19">
        <v>2</v>
      </c>
      <c r="E11" s="25">
        <v>41911</v>
      </c>
      <c r="F11" s="25">
        <v>41926</v>
      </c>
      <c r="G11" s="25">
        <v>41926</v>
      </c>
      <c r="H11" s="25">
        <v>41926</v>
      </c>
      <c r="I11" s="66" t="s">
        <v>91</v>
      </c>
      <c r="J11" s="25">
        <v>41923</v>
      </c>
      <c r="K11" s="25">
        <v>41927</v>
      </c>
      <c r="L11" s="25">
        <v>41982</v>
      </c>
      <c r="M11" s="25">
        <v>41991</v>
      </c>
      <c r="N11" s="25">
        <v>42031</v>
      </c>
      <c r="O11" s="25">
        <v>41941</v>
      </c>
      <c r="P11" s="25">
        <v>41948</v>
      </c>
      <c r="Q11" s="25">
        <v>42276</v>
      </c>
      <c r="R11" s="25">
        <v>42102</v>
      </c>
      <c r="S11" s="25">
        <v>42200</v>
      </c>
      <c r="T11" s="65" t="s">
        <v>69</v>
      </c>
      <c r="U11" s="12">
        <v>42306</v>
      </c>
    </row>
    <row r="12" spans="2:48" ht="25.5">
      <c r="B12" s="64">
        <v>360</v>
      </c>
      <c r="C12" s="65" t="s">
        <v>70</v>
      </c>
      <c r="D12" s="19">
        <v>3</v>
      </c>
      <c r="E12" s="25">
        <v>41914</v>
      </c>
      <c r="F12" s="25">
        <v>41926</v>
      </c>
      <c r="G12" s="25">
        <v>41926</v>
      </c>
      <c r="H12" s="25">
        <v>41926</v>
      </c>
      <c r="I12" s="101" t="s">
        <v>76</v>
      </c>
      <c r="J12" s="25">
        <v>41926</v>
      </c>
      <c r="K12" s="25">
        <v>41936</v>
      </c>
      <c r="L12" s="25">
        <v>41985</v>
      </c>
      <c r="N12" s="25">
        <v>42034</v>
      </c>
      <c r="O12" s="25">
        <v>41946</v>
      </c>
      <c r="P12" s="25">
        <v>41964</v>
      </c>
      <c r="Q12" s="25">
        <v>42279</v>
      </c>
      <c r="R12" s="25">
        <v>42144</v>
      </c>
      <c r="S12" s="25">
        <v>42200</v>
      </c>
      <c r="T12" s="65" t="s">
        <v>69</v>
      </c>
      <c r="U12" s="12">
        <v>42306</v>
      </c>
    </row>
    <row r="13" spans="2:48" ht="25.5">
      <c r="B13" s="109">
        <v>360</v>
      </c>
      <c r="C13" s="110" t="s">
        <v>70</v>
      </c>
      <c r="D13" s="19">
        <v>4</v>
      </c>
      <c r="E13" s="25">
        <v>41946</v>
      </c>
      <c r="F13" s="25">
        <v>41967</v>
      </c>
      <c r="G13" s="25">
        <v>41967</v>
      </c>
      <c r="H13" s="25">
        <v>41964</v>
      </c>
      <c r="I13" s="101" t="s">
        <v>97</v>
      </c>
      <c r="J13" s="25">
        <v>41958</v>
      </c>
      <c r="K13" s="25">
        <v>41961</v>
      </c>
      <c r="L13" s="25">
        <v>42017</v>
      </c>
      <c r="M13" s="25">
        <v>42058</v>
      </c>
      <c r="N13" s="25">
        <v>42066</v>
      </c>
      <c r="O13" s="25">
        <v>41990</v>
      </c>
      <c r="P13" s="25">
        <v>42013</v>
      </c>
      <c r="Q13" s="25">
        <v>42311</v>
      </c>
      <c r="R13" s="25">
        <v>42166</v>
      </c>
      <c r="S13" s="25">
        <v>42200</v>
      </c>
      <c r="T13" s="110" t="s">
        <v>69</v>
      </c>
      <c r="U13" s="12">
        <v>42306</v>
      </c>
    </row>
    <row r="14" spans="2:48" ht="25.5">
      <c r="B14" s="109">
        <v>360</v>
      </c>
      <c r="C14" s="110" t="s">
        <v>70</v>
      </c>
      <c r="D14" s="19">
        <v>5</v>
      </c>
      <c r="I14" s="101" t="s">
        <v>57</v>
      </c>
      <c r="T14" s="110" t="s">
        <v>69</v>
      </c>
      <c r="U14" s="12">
        <v>42306</v>
      </c>
    </row>
    <row r="15" spans="2:48" ht="25.5">
      <c r="B15" s="109">
        <v>360</v>
      </c>
      <c r="C15" s="110" t="s">
        <v>70</v>
      </c>
      <c r="D15" s="19">
        <v>6</v>
      </c>
      <c r="I15" s="101" t="s">
        <v>57</v>
      </c>
      <c r="T15" s="110" t="s">
        <v>69</v>
      </c>
      <c r="U15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6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61" t="s">
        <v>17</v>
      </c>
      <c r="M4" s="59">
        <f>$B$12</f>
        <v>338</v>
      </c>
      <c r="N4" s="116" t="str">
        <f>$C$12</f>
        <v>ANDRIANTSINJOVINA  Thycia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63" t="s">
        <v>32</v>
      </c>
      <c r="M8" s="63" t="s">
        <v>31</v>
      </c>
      <c r="N8" s="62" t="s">
        <v>33</v>
      </c>
      <c r="O8" s="62" t="s">
        <v>34</v>
      </c>
      <c r="P8" s="62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338</v>
      </c>
      <c r="C10" s="42" t="s">
        <v>61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4">
        <v>338</v>
      </c>
      <c r="C11" s="65" t="s">
        <v>61</v>
      </c>
      <c r="D11" s="19">
        <v>2</v>
      </c>
      <c r="I11" s="44" t="s">
        <v>57</v>
      </c>
      <c r="T11" s="65" t="s">
        <v>63</v>
      </c>
      <c r="U11" s="12">
        <v>42306</v>
      </c>
    </row>
    <row r="12" spans="2:48" ht="16.5" customHeight="1">
      <c r="B12" s="64">
        <v>338</v>
      </c>
      <c r="C12" s="65" t="s">
        <v>61</v>
      </c>
      <c r="D12" s="19">
        <v>3</v>
      </c>
      <c r="I12" s="44" t="s">
        <v>57</v>
      </c>
      <c r="T12" s="65" t="s">
        <v>63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8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85" t="s">
        <v>17</v>
      </c>
      <c r="M4" s="59">
        <f>$B$12</f>
        <v>361</v>
      </c>
      <c r="N4" s="116" t="str">
        <f>$C$12</f>
        <v>BAUBION  Emilie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87" t="s">
        <v>32</v>
      </c>
      <c r="M8" s="87" t="s">
        <v>31</v>
      </c>
      <c r="N8" s="86" t="s">
        <v>33</v>
      </c>
      <c r="O8" s="86" t="s">
        <v>34</v>
      </c>
      <c r="P8" s="86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361</v>
      </c>
      <c r="C10" s="42" t="s">
        <v>72</v>
      </c>
      <c r="D10" s="19">
        <v>1</v>
      </c>
      <c r="E10" s="25">
        <v>41835</v>
      </c>
      <c r="F10" s="25">
        <v>41851</v>
      </c>
      <c r="G10" s="25">
        <v>41851</v>
      </c>
      <c r="H10" s="25">
        <v>41908</v>
      </c>
      <c r="I10" s="66" t="s">
        <v>88</v>
      </c>
      <c r="J10" s="25">
        <v>41847</v>
      </c>
      <c r="K10" s="25">
        <v>41845</v>
      </c>
      <c r="L10" s="25">
        <v>41906</v>
      </c>
      <c r="M10" s="25">
        <v>41908</v>
      </c>
      <c r="N10" s="25">
        <v>41955</v>
      </c>
      <c r="O10" s="25">
        <v>41886</v>
      </c>
      <c r="P10" s="25">
        <v>41897</v>
      </c>
      <c r="Q10" s="25">
        <v>42200</v>
      </c>
      <c r="R10" s="25">
        <v>42142</v>
      </c>
      <c r="S10" s="25">
        <v>42172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 s="64">
        <v>361</v>
      </c>
      <c r="C11" s="65" t="s">
        <v>72</v>
      </c>
      <c r="D11" s="19">
        <v>2</v>
      </c>
      <c r="E11" s="25">
        <v>41901</v>
      </c>
      <c r="F11" s="25">
        <v>41907</v>
      </c>
      <c r="G11" s="25">
        <v>41907</v>
      </c>
      <c r="H11" s="25">
        <v>41907</v>
      </c>
      <c r="I11" s="66" t="s">
        <v>79</v>
      </c>
      <c r="J11" s="25">
        <v>41913</v>
      </c>
      <c r="L11" s="25">
        <v>41972</v>
      </c>
      <c r="N11" s="25">
        <v>42021</v>
      </c>
      <c r="Q11" s="25">
        <v>42266</v>
      </c>
      <c r="T11" s="65" t="s">
        <v>71</v>
      </c>
      <c r="U11" s="12">
        <v>42306</v>
      </c>
    </row>
    <row r="12" spans="2:48">
      <c r="B12" s="64">
        <v>361</v>
      </c>
      <c r="C12" s="65" t="s">
        <v>72</v>
      </c>
      <c r="D12" s="19">
        <v>3</v>
      </c>
      <c r="E12" s="25">
        <v>41911</v>
      </c>
      <c r="F12" s="25">
        <v>41921</v>
      </c>
      <c r="G12" s="25">
        <v>41921</v>
      </c>
      <c r="H12" s="25">
        <v>41921</v>
      </c>
      <c r="I12" s="66" t="s">
        <v>76</v>
      </c>
      <c r="J12" s="25">
        <v>41923</v>
      </c>
      <c r="K12" s="25">
        <v>41960</v>
      </c>
      <c r="L12" s="25">
        <v>41982</v>
      </c>
      <c r="M12" s="25">
        <v>42006</v>
      </c>
      <c r="N12" s="25">
        <v>42031</v>
      </c>
      <c r="Q12" s="25">
        <v>42276</v>
      </c>
      <c r="T12" s="65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8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85" t="s">
        <v>17</v>
      </c>
      <c r="M4" s="59">
        <f>$B$12</f>
        <v>500</v>
      </c>
      <c r="N4" s="116" t="str">
        <f>$C$12</f>
        <v>CORDEL Nadège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87" t="s">
        <v>32</v>
      </c>
      <c r="M8" s="87" t="s">
        <v>31</v>
      </c>
      <c r="N8" s="86" t="s">
        <v>33</v>
      </c>
      <c r="O8" s="86" t="s">
        <v>34</v>
      </c>
      <c r="P8" s="86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500</v>
      </c>
      <c r="C10" s="42" t="s">
        <v>74</v>
      </c>
      <c r="D10" s="19">
        <v>1</v>
      </c>
      <c r="E10" s="25"/>
      <c r="F10" s="25"/>
      <c r="G10" s="25"/>
      <c r="H10" s="25"/>
      <c r="I10" s="66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 s="92">
        <v>500</v>
      </c>
      <c r="C11" s="93" t="s">
        <v>74</v>
      </c>
      <c r="D11" s="19">
        <v>2</v>
      </c>
      <c r="I11" s="66" t="s">
        <v>57</v>
      </c>
      <c r="T11" s="93" t="s">
        <v>75</v>
      </c>
      <c r="U11" s="12">
        <v>42306</v>
      </c>
    </row>
    <row r="12" spans="2:48">
      <c r="B12" s="92">
        <v>500</v>
      </c>
      <c r="C12" s="93" t="s">
        <v>74</v>
      </c>
      <c r="D12" s="19">
        <v>3</v>
      </c>
      <c r="I12" s="66" t="s">
        <v>57</v>
      </c>
      <c r="T12" s="93" t="s">
        <v>75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8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81" t="s">
        <v>17</v>
      </c>
      <c r="M4" s="59">
        <f>$B$12</f>
        <v>354</v>
      </c>
      <c r="N4" s="116" t="str">
        <f>$C$12</f>
        <v>DENAT  Nicole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83" t="s">
        <v>32</v>
      </c>
      <c r="M8" s="83" t="s">
        <v>31</v>
      </c>
      <c r="N8" s="82" t="s">
        <v>33</v>
      </c>
      <c r="O8" s="82" t="s">
        <v>34</v>
      </c>
      <c r="P8" s="82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354</v>
      </c>
      <c r="C10" s="42" t="s">
        <v>68</v>
      </c>
      <c r="D10" s="19">
        <v>1</v>
      </c>
      <c r="E10" s="25">
        <v>41828</v>
      </c>
      <c r="F10" s="25">
        <v>41831</v>
      </c>
      <c r="G10" s="25">
        <v>41831</v>
      </c>
      <c r="H10" s="25">
        <v>41831</v>
      </c>
      <c r="I10" s="66" t="s">
        <v>76</v>
      </c>
      <c r="J10" s="25">
        <v>41840</v>
      </c>
      <c r="K10" s="25">
        <v>41842</v>
      </c>
      <c r="L10" s="25">
        <v>41899</v>
      </c>
      <c r="M10" s="25">
        <v>41894</v>
      </c>
      <c r="N10" s="25">
        <v>41948</v>
      </c>
      <c r="O10" s="25">
        <v>41914</v>
      </c>
      <c r="P10" s="25">
        <v>41925</v>
      </c>
      <c r="Q10" s="25">
        <v>42193</v>
      </c>
      <c r="R10" s="25">
        <v>42157</v>
      </c>
      <c r="S10" s="25">
        <v>42172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4">
        <v>354</v>
      </c>
      <c r="C11" s="65" t="s">
        <v>68</v>
      </c>
      <c r="D11" s="19">
        <v>2</v>
      </c>
      <c r="E11" s="25">
        <v>41828</v>
      </c>
      <c r="F11" s="25">
        <v>41831</v>
      </c>
      <c r="G11" s="25">
        <v>41831</v>
      </c>
      <c r="H11" s="25">
        <v>41831</v>
      </c>
      <c r="I11" s="66" t="s">
        <v>76</v>
      </c>
      <c r="J11" s="25">
        <v>41840</v>
      </c>
      <c r="K11" s="25">
        <v>41841</v>
      </c>
      <c r="L11" s="25">
        <v>41899</v>
      </c>
      <c r="N11" s="25">
        <v>41948</v>
      </c>
      <c r="O11" s="25">
        <v>41857</v>
      </c>
      <c r="P11" s="25">
        <v>41863</v>
      </c>
      <c r="Q11" s="25">
        <v>42193</v>
      </c>
      <c r="T11" s="65" t="s">
        <v>67</v>
      </c>
      <c r="U11" s="12">
        <v>42306</v>
      </c>
    </row>
    <row r="12" spans="2:48" ht="16.5" customHeight="1">
      <c r="B12" s="64">
        <v>354</v>
      </c>
      <c r="C12" s="65" t="s">
        <v>68</v>
      </c>
      <c r="D12" s="19">
        <v>3</v>
      </c>
      <c r="E12" s="25">
        <v>41857</v>
      </c>
      <c r="F12" s="25">
        <v>41863</v>
      </c>
      <c r="G12" s="25">
        <v>41863</v>
      </c>
      <c r="H12" s="25">
        <v>41863</v>
      </c>
      <c r="I12" s="66" t="s">
        <v>89</v>
      </c>
      <c r="J12" s="25">
        <v>41869</v>
      </c>
      <c r="K12" s="25">
        <v>41873</v>
      </c>
      <c r="L12" s="25">
        <v>41928</v>
      </c>
      <c r="M12" s="25">
        <v>41928</v>
      </c>
      <c r="N12" s="25">
        <v>41977</v>
      </c>
      <c r="O12" s="25">
        <v>41883</v>
      </c>
      <c r="P12" s="25">
        <v>41890</v>
      </c>
      <c r="Q12" s="25">
        <v>42222</v>
      </c>
      <c r="T12" s="65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6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68" t="s">
        <v>17</v>
      </c>
      <c r="M4" s="59">
        <f>$B$12</f>
        <v>339</v>
      </c>
      <c r="N4" s="116" t="str">
        <f>$C$12</f>
        <v>DJERIDI  Nadia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70" t="s">
        <v>32</v>
      </c>
      <c r="M8" s="70" t="s">
        <v>31</v>
      </c>
      <c r="N8" s="69" t="s">
        <v>33</v>
      </c>
      <c r="O8" s="69" t="s">
        <v>34</v>
      </c>
      <c r="P8" s="69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339</v>
      </c>
      <c r="C10" s="42" t="s">
        <v>62</v>
      </c>
      <c r="D10" s="19">
        <v>1</v>
      </c>
      <c r="E10" s="25"/>
      <c r="F10" s="25"/>
      <c r="G10" s="25"/>
      <c r="H10" s="25">
        <v>41836</v>
      </c>
      <c r="I10" s="66" t="s">
        <v>77</v>
      </c>
      <c r="J10" s="25"/>
      <c r="K10" s="25">
        <v>41876</v>
      </c>
      <c r="L10" s="25"/>
      <c r="M10" s="25">
        <v>41876</v>
      </c>
      <c r="N10" s="25"/>
      <c r="O10" s="25"/>
      <c r="P10" s="25"/>
      <c r="Q10" s="25"/>
      <c r="R10" s="25"/>
      <c r="S10" s="25"/>
      <c r="T10" s="42" t="s">
        <v>64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 s="64">
        <v>339</v>
      </c>
      <c r="C11" s="65" t="s">
        <v>62</v>
      </c>
      <c r="D11" s="19">
        <v>2</v>
      </c>
      <c r="I11" s="66" t="s">
        <v>57</v>
      </c>
      <c r="T11" s="65" t="s">
        <v>64</v>
      </c>
      <c r="U11" s="12">
        <v>42306</v>
      </c>
    </row>
    <row r="12" spans="2:48">
      <c r="B12" s="64">
        <v>339</v>
      </c>
      <c r="C12" s="65" t="s">
        <v>62</v>
      </c>
      <c r="D12" s="19">
        <v>3</v>
      </c>
      <c r="I12" s="66" t="s">
        <v>57</v>
      </c>
      <c r="T12" s="65" t="s">
        <v>64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7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78" t="s">
        <v>17</v>
      </c>
      <c r="M4" s="59">
        <f>$B$12</f>
        <v>349</v>
      </c>
      <c r="N4" s="116" t="str">
        <f>$C$12</f>
        <v>LAW PING MAN  Charles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76" t="s">
        <v>32</v>
      </c>
      <c r="M8" s="76" t="s">
        <v>31</v>
      </c>
      <c r="N8" s="75" t="s">
        <v>33</v>
      </c>
      <c r="O8" s="75" t="s">
        <v>34</v>
      </c>
      <c r="P8" s="75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349</v>
      </c>
      <c r="C10" s="42" t="s">
        <v>66</v>
      </c>
      <c r="D10" s="19">
        <v>1</v>
      </c>
      <c r="E10" s="25"/>
      <c r="F10" s="25"/>
      <c r="G10" s="25"/>
      <c r="H10" s="25"/>
      <c r="I10" s="66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4">
        <v>349</v>
      </c>
      <c r="C11" s="65" t="s">
        <v>66</v>
      </c>
      <c r="D11" s="19">
        <v>2</v>
      </c>
      <c r="E11" s="25">
        <v>41928</v>
      </c>
      <c r="F11" s="25">
        <v>41934</v>
      </c>
      <c r="I11" s="66" t="s">
        <v>57</v>
      </c>
      <c r="J11" s="25">
        <v>41940</v>
      </c>
      <c r="K11" s="25">
        <v>41940</v>
      </c>
      <c r="L11" s="25">
        <v>41999</v>
      </c>
      <c r="M11" s="25">
        <v>42010</v>
      </c>
      <c r="N11" s="25">
        <v>42048</v>
      </c>
      <c r="Q11" s="25">
        <v>42293</v>
      </c>
      <c r="T11" s="65" t="s">
        <v>65</v>
      </c>
      <c r="U11" s="12">
        <v>42306</v>
      </c>
    </row>
    <row r="12" spans="2:48" ht="25.5">
      <c r="B12" s="64">
        <v>349</v>
      </c>
      <c r="C12" s="65" t="s">
        <v>66</v>
      </c>
      <c r="D12" s="19">
        <v>3</v>
      </c>
      <c r="I12" s="66" t="s">
        <v>57</v>
      </c>
      <c r="T12" s="65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8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89" t="s">
        <v>17</v>
      </c>
      <c r="M4" s="59">
        <f>$B$12</f>
        <v>385</v>
      </c>
      <c r="N4" s="116" t="str">
        <f>$C$12</f>
        <v>RENIER   Max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91" t="s">
        <v>32</v>
      </c>
      <c r="M8" s="91" t="s">
        <v>31</v>
      </c>
      <c r="N8" s="90" t="s">
        <v>33</v>
      </c>
      <c r="O8" s="90" t="s">
        <v>34</v>
      </c>
      <c r="P8" s="90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385</v>
      </c>
      <c r="C10" s="42" t="s">
        <v>81</v>
      </c>
      <c r="D10" s="19">
        <v>2</v>
      </c>
      <c r="E10" s="25">
        <v>41925</v>
      </c>
      <c r="F10" s="25">
        <v>41929</v>
      </c>
      <c r="G10" s="25"/>
      <c r="H10" s="25">
        <v>41929</v>
      </c>
      <c r="I10" s="66" t="s">
        <v>79</v>
      </c>
      <c r="J10" s="25">
        <v>41937</v>
      </c>
      <c r="K10" s="25">
        <v>41957</v>
      </c>
      <c r="L10" s="25">
        <v>41996</v>
      </c>
      <c r="M10" s="25">
        <v>42012</v>
      </c>
      <c r="N10" s="25">
        <v>42045</v>
      </c>
      <c r="O10" s="25">
        <v>42068</v>
      </c>
      <c r="P10" s="25">
        <v>42074</v>
      </c>
      <c r="Q10" s="25">
        <v>42290</v>
      </c>
      <c r="R10" s="25">
        <v>42268</v>
      </c>
      <c r="S10" s="25">
        <v>42289</v>
      </c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 s="98">
        <v>385</v>
      </c>
      <c r="C11" s="99" t="s">
        <v>81</v>
      </c>
      <c r="D11" s="19">
        <v>3</v>
      </c>
      <c r="E11" s="25">
        <v>41941</v>
      </c>
      <c r="F11" s="25">
        <v>41948</v>
      </c>
      <c r="I11" s="66" t="s">
        <v>57</v>
      </c>
      <c r="J11" s="25">
        <v>41953</v>
      </c>
      <c r="L11" s="25">
        <v>42012</v>
      </c>
      <c r="N11" s="25">
        <v>42061</v>
      </c>
      <c r="O11" s="25">
        <v>42061</v>
      </c>
      <c r="P11" s="25">
        <v>42066</v>
      </c>
      <c r="Q11" s="25">
        <v>42306</v>
      </c>
      <c r="R11" s="25">
        <v>42263</v>
      </c>
      <c r="S11" s="25">
        <v>42292</v>
      </c>
      <c r="T11" s="99" t="s">
        <v>80</v>
      </c>
      <c r="U11" s="12">
        <v>42306</v>
      </c>
    </row>
    <row r="12" spans="2:48">
      <c r="B12" s="98">
        <v>385</v>
      </c>
      <c r="C12" s="99" t="s">
        <v>81</v>
      </c>
      <c r="D12" s="19">
        <v>1</v>
      </c>
      <c r="E12" s="25">
        <v>41920</v>
      </c>
      <c r="F12" s="25">
        <v>41929</v>
      </c>
      <c r="H12" s="25">
        <v>41940</v>
      </c>
      <c r="I12" s="66" t="s">
        <v>93</v>
      </c>
      <c r="J12" s="25">
        <v>41932</v>
      </c>
      <c r="K12" s="25">
        <v>41955</v>
      </c>
      <c r="L12" s="25">
        <v>41991</v>
      </c>
      <c r="M12" s="25">
        <v>42095</v>
      </c>
      <c r="N12" s="25">
        <v>42040</v>
      </c>
      <c r="O12" s="25">
        <v>42086</v>
      </c>
      <c r="P12" s="25">
        <v>42093</v>
      </c>
      <c r="Q12" s="25">
        <v>42285</v>
      </c>
      <c r="R12" s="25">
        <v>42249</v>
      </c>
      <c r="S12" s="25">
        <v>42268</v>
      </c>
      <c r="T12" s="99" t="s">
        <v>80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8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89" t="s">
        <v>17</v>
      </c>
      <c r="M4" s="59">
        <f>$B$12</f>
        <v>386</v>
      </c>
      <c r="N4" s="116" t="str">
        <f>$C$12</f>
        <v>SAMYN-WINTER Annick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91" t="s">
        <v>32</v>
      </c>
      <c r="M8" s="91" t="s">
        <v>31</v>
      </c>
      <c r="N8" s="90" t="s">
        <v>33</v>
      </c>
      <c r="O8" s="90" t="s">
        <v>34</v>
      </c>
      <c r="P8" s="90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386</v>
      </c>
      <c r="C10" s="42" t="s">
        <v>83</v>
      </c>
      <c r="D10" s="19">
        <v>1</v>
      </c>
      <c r="E10" s="25">
        <v>41835</v>
      </c>
      <c r="F10" s="25">
        <v>41932</v>
      </c>
      <c r="G10" s="25">
        <v>41932</v>
      </c>
      <c r="H10" s="25">
        <v>41932</v>
      </c>
      <c r="I10" s="66" t="s">
        <v>93</v>
      </c>
      <c r="J10" s="25">
        <v>41847</v>
      </c>
      <c r="K10" s="25">
        <v>41932</v>
      </c>
      <c r="L10" s="25">
        <v>41906</v>
      </c>
      <c r="M10" s="25">
        <v>41932</v>
      </c>
      <c r="N10" s="25">
        <v>41955</v>
      </c>
      <c r="O10" s="25">
        <v>41835</v>
      </c>
      <c r="P10" s="25">
        <v>41932</v>
      </c>
      <c r="Q10" s="25">
        <v>42200</v>
      </c>
      <c r="R10" s="25">
        <v>41996</v>
      </c>
      <c r="S10" s="25">
        <v>42010</v>
      </c>
      <c r="T10" s="42" t="s">
        <v>82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98">
        <v>386</v>
      </c>
      <c r="C11" s="99" t="s">
        <v>83</v>
      </c>
      <c r="D11" s="19">
        <v>2</v>
      </c>
      <c r="E11" s="25">
        <v>41912</v>
      </c>
      <c r="F11" s="25">
        <v>41932</v>
      </c>
      <c r="G11" s="25">
        <v>41932</v>
      </c>
      <c r="H11" s="25">
        <v>41967</v>
      </c>
      <c r="I11" s="66" t="s">
        <v>76</v>
      </c>
      <c r="J11" s="25">
        <v>41924</v>
      </c>
      <c r="K11" s="25">
        <v>41932</v>
      </c>
      <c r="L11" s="25">
        <v>41983</v>
      </c>
      <c r="M11" s="25">
        <v>41932</v>
      </c>
      <c r="N11" s="25">
        <v>42032</v>
      </c>
      <c r="O11" s="25">
        <v>41912</v>
      </c>
      <c r="P11" s="25">
        <v>41932</v>
      </c>
      <c r="Q11" s="25">
        <v>42277</v>
      </c>
      <c r="R11" s="25">
        <v>42024</v>
      </c>
      <c r="S11" s="25">
        <v>42031</v>
      </c>
      <c r="T11" s="99" t="s">
        <v>82</v>
      </c>
      <c r="U11" s="12">
        <v>42306</v>
      </c>
    </row>
    <row r="12" spans="2:48" ht="25.5">
      <c r="B12" s="98">
        <v>386</v>
      </c>
      <c r="C12" s="99" t="s">
        <v>83</v>
      </c>
      <c r="D12" s="19">
        <v>3</v>
      </c>
      <c r="E12" s="25">
        <v>41933</v>
      </c>
      <c r="F12" s="25">
        <v>41967</v>
      </c>
      <c r="G12" s="25">
        <v>41967</v>
      </c>
      <c r="H12" s="25">
        <v>41967</v>
      </c>
      <c r="I12" s="66" t="s">
        <v>93</v>
      </c>
      <c r="J12" s="25">
        <v>41945</v>
      </c>
      <c r="K12" s="25">
        <v>41967</v>
      </c>
      <c r="L12" s="25">
        <v>42004</v>
      </c>
      <c r="N12" s="25">
        <v>42053</v>
      </c>
      <c r="O12" s="25">
        <v>41972</v>
      </c>
      <c r="P12" s="25">
        <v>42010</v>
      </c>
      <c r="Q12" s="25">
        <v>42298</v>
      </c>
      <c r="T12" s="99" t="s">
        <v>82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B1:AV13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9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$U$13</f>
        <v>42306</v>
      </c>
      <c r="G4" s="50"/>
      <c r="H4" s="50"/>
      <c r="I4" s="34"/>
      <c r="J4" s="50"/>
      <c r="K4" s="50"/>
      <c r="L4" s="97" t="s">
        <v>17</v>
      </c>
      <c r="M4" s="59">
        <f>$B$13</f>
        <v>387</v>
      </c>
      <c r="N4" s="116" t="str">
        <f>$C$13</f>
        <v>TONY Danielle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95" t="s">
        <v>32</v>
      </c>
      <c r="M8" s="95" t="s">
        <v>31</v>
      </c>
      <c r="N8" s="94" t="s">
        <v>33</v>
      </c>
      <c r="O8" s="94" t="s">
        <v>34</v>
      </c>
      <c r="P8" s="94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387</v>
      </c>
      <c r="C10" s="42" t="s">
        <v>87</v>
      </c>
      <c r="D10" s="19">
        <v>1</v>
      </c>
      <c r="E10" s="25">
        <v>41922</v>
      </c>
      <c r="F10" s="25">
        <v>41947</v>
      </c>
      <c r="G10" s="25"/>
      <c r="H10" s="25">
        <v>41947</v>
      </c>
      <c r="I10" s="66" t="s">
        <v>97</v>
      </c>
      <c r="J10" s="25">
        <v>41934</v>
      </c>
      <c r="K10" s="25">
        <v>41947</v>
      </c>
      <c r="L10" s="25">
        <v>41993</v>
      </c>
      <c r="M10" s="25">
        <v>42025</v>
      </c>
      <c r="N10" s="25">
        <v>42042</v>
      </c>
      <c r="O10" s="25">
        <v>41929</v>
      </c>
      <c r="P10" s="25">
        <v>41947</v>
      </c>
      <c r="Q10" s="25">
        <v>42287</v>
      </c>
      <c r="R10" s="25"/>
      <c r="S10" s="25"/>
      <c r="T10" s="42" t="s">
        <v>86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 s="43">
        <v>387</v>
      </c>
      <c r="C11" s="100" t="s">
        <v>87</v>
      </c>
      <c r="D11" s="19">
        <v>2</v>
      </c>
      <c r="E11" s="25">
        <v>41926</v>
      </c>
      <c r="F11" s="25">
        <v>41947</v>
      </c>
      <c r="H11" s="25">
        <v>41947</v>
      </c>
      <c r="I11" s="101" t="s">
        <v>97</v>
      </c>
      <c r="J11" s="25">
        <v>41938</v>
      </c>
      <c r="K11" s="25">
        <v>41947</v>
      </c>
      <c r="L11" s="25">
        <v>41997</v>
      </c>
      <c r="M11" s="25">
        <v>42025</v>
      </c>
      <c r="N11" s="25">
        <v>42046</v>
      </c>
      <c r="O11" s="25">
        <v>41933</v>
      </c>
      <c r="P11" s="25">
        <v>41947</v>
      </c>
      <c r="Q11" s="25">
        <v>42291</v>
      </c>
      <c r="T11" s="100" t="s">
        <v>86</v>
      </c>
      <c r="U11" s="12">
        <v>42306</v>
      </c>
    </row>
    <row r="12" spans="2:48">
      <c r="B12" s="43">
        <v>387</v>
      </c>
      <c r="C12" s="100" t="s">
        <v>87</v>
      </c>
      <c r="D12" s="19">
        <v>3</v>
      </c>
      <c r="E12" s="25">
        <v>41926</v>
      </c>
      <c r="F12" s="25">
        <v>41947</v>
      </c>
      <c r="H12" s="25">
        <v>41947</v>
      </c>
      <c r="I12" s="101" t="s">
        <v>97</v>
      </c>
      <c r="J12" s="25">
        <v>41938</v>
      </c>
      <c r="K12" s="25">
        <v>41947</v>
      </c>
      <c r="L12" s="25">
        <v>41997</v>
      </c>
      <c r="M12" s="25">
        <v>42025</v>
      </c>
      <c r="N12" s="25">
        <v>42046</v>
      </c>
      <c r="O12" s="25">
        <v>41926</v>
      </c>
      <c r="P12" s="25">
        <v>41947</v>
      </c>
      <c r="Q12" s="25">
        <v>42291</v>
      </c>
      <c r="T12" s="100" t="s">
        <v>86</v>
      </c>
      <c r="U12" s="12">
        <v>42306</v>
      </c>
    </row>
    <row r="13" spans="2:48">
      <c r="B13" s="107">
        <v>387</v>
      </c>
      <c r="C13" s="108" t="s">
        <v>87</v>
      </c>
      <c r="D13" s="19">
        <v>4</v>
      </c>
      <c r="I13" s="101" t="s">
        <v>57</v>
      </c>
      <c r="T13" s="108" t="s">
        <v>86</v>
      </c>
      <c r="U13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10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105" t="s">
        <v>17</v>
      </c>
      <c r="M4" s="59">
        <f>$B$12</f>
        <v>384</v>
      </c>
      <c r="N4" s="116" t="str">
        <f>$C$12</f>
        <v>MUSSON Pascal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6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7" t="s">
        <v>30</v>
      </c>
      <c r="K8" s="57" t="s">
        <v>31</v>
      </c>
      <c r="L8" s="103" t="s">
        <v>32</v>
      </c>
      <c r="M8" s="103" t="s">
        <v>31</v>
      </c>
      <c r="N8" s="102" t="s">
        <v>33</v>
      </c>
      <c r="O8" s="102" t="s">
        <v>34</v>
      </c>
      <c r="P8" s="102" t="s">
        <v>35</v>
      </c>
      <c r="Q8" s="58" t="s">
        <v>36</v>
      </c>
      <c r="R8" s="58" t="s">
        <v>34</v>
      </c>
      <c r="S8" s="58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384</v>
      </c>
      <c r="C10" s="42" t="s">
        <v>94</v>
      </c>
      <c r="D10" s="19">
        <v>1</v>
      </c>
      <c r="E10" s="25">
        <v>41935</v>
      </c>
      <c r="F10" s="25">
        <v>41948</v>
      </c>
      <c r="G10" s="25">
        <v>42002</v>
      </c>
      <c r="H10" s="25">
        <v>41948</v>
      </c>
      <c r="I10" s="101" t="s">
        <v>97</v>
      </c>
      <c r="J10" s="25">
        <v>41947</v>
      </c>
      <c r="K10" s="25">
        <v>41956</v>
      </c>
      <c r="L10" s="25">
        <v>42006</v>
      </c>
      <c r="M10" s="25">
        <v>42002</v>
      </c>
      <c r="N10" s="25">
        <v>42055</v>
      </c>
      <c r="O10" s="25">
        <v>41961</v>
      </c>
      <c r="P10" s="25">
        <v>41971</v>
      </c>
      <c r="Q10" s="25">
        <v>42300</v>
      </c>
      <c r="R10" s="25"/>
      <c r="S10" s="25"/>
      <c r="T10" s="42" t="s">
        <v>95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 s="43">
        <v>384</v>
      </c>
      <c r="C11" s="100" t="s">
        <v>94</v>
      </c>
      <c r="D11" s="19">
        <v>2</v>
      </c>
      <c r="E11" s="25">
        <v>41951</v>
      </c>
      <c r="F11" s="25">
        <v>41974</v>
      </c>
      <c r="G11" s="25">
        <v>42002</v>
      </c>
      <c r="H11" s="25">
        <v>41974</v>
      </c>
      <c r="I11" s="101" t="s">
        <v>97</v>
      </c>
      <c r="J11" s="25">
        <v>41963</v>
      </c>
      <c r="K11" s="25">
        <v>42002</v>
      </c>
      <c r="L11" s="25">
        <v>42022</v>
      </c>
      <c r="M11" s="25">
        <v>42051</v>
      </c>
      <c r="N11" s="25">
        <v>42071</v>
      </c>
      <c r="O11" s="25">
        <v>41988</v>
      </c>
      <c r="P11" s="25">
        <v>42002</v>
      </c>
      <c r="Q11" s="25">
        <v>42316</v>
      </c>
      <c r="T11" s="100" t="s">
        <v>95</v>
      </c>
      <c r="U11" s="12">
        <v>42306</v>
      </c>
    </row>
    <row r="12" spans="2:48">
      <c r="B12" s="43">
        <v>384</v>
      </c>
      <c r="C12" s="100" t="s">
        <v>94</v>
      </c>
      <c r="D12" s="19">
        <v>3</v>
      </c>
      <c r="I12" s="101" t="s">
        <v>57</v>
      </c>
      <c r="T12" s="100" t="s">
        <v>95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Secteur DE9700</vt:lpstr>
      <vt:lpstr>DOM30</vt:lpstr>
      <vt:lpstr>DOM02</vt:lpstr>
      <vt:lpstr>DOM31</vt:lpstr>
      <vt:lpstr>DOM20</vt:lpstr>
      <vt:lpstr>DOM06</vt:lpstr>
      <vt:lpstr>DOM07</vt:lpstr>
      <vt:lpstr>DOM17 </vt:lpstr>
      <vt:lpstr>DOM21</vt:lpstr>
      <vt:lpstr>DOM22</vt:lpstr>
      <vt:lpstr>DOM26</vt:lpstr>
      <vt:lpstr>DOM47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2015-10-29T22:03:28Z</dcterms:modified>
</cp:coreProperties>
</file>