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queryTables/queryTable17.xml" ContentType="application/vnd.openxmlformats-officedocument.spreadsheetml.query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worksheets/sheet17.xml" ContentType="application/vnd.openxmlformats-officedocument.spreadsheetml.worksheet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queryTables/queryTable16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 tabRatio="692"/>
  </bookViews>
  <sheets>
    <sheet name="Secteur DE0405" sheetId="1" r:id="rId1"/>
    <sheet name="00223085" sheetId="13" r:id="rId2"/>
    <sheet name="01212750" sheetId="17" r:id="rId3"/>
    <sheet name="03478055" sheetId="2" r:id="rId4"/>
    <sheet name="03088508" sheetId="3" r:id="rId5"/>
    <sheet name="03297205" sheetId="4" r:id="rId6"/>
    <sheet name="00072920" sheetId="14" r:id="rId7"/>
    <sheet name="04549922" sheetId="5" r:id="rId8"/>
    <sheet name="04392219" sheetId="6" r:id="rId9"/>
    <sheet name="02429046" sheetId="7" r:id="rId10"/>
    <sheet name="05798480" sheetId="15" r:id="rId11"/>
    <sheet name="05983076" sheetId="8" r:id="rId12"/>
    <sheet name="06180289" sheetId="9" r:id="rId13"/>
    <sheet name="06878103" sheetId="10" r:id="rId14"/>
    <sheet name="07112636" sheetId="16" r:id="rId15"/>
    <sheet name="07513494" sheetId="11" r:id="rId16"/>
    <sheet name="08150730" sheetId="12" r:id="rId17"/>
  </sheets>
  <definedNames>
    <definedName name="Lancer_la_requête_à_partir_de_MS_Access_Database" localSheetId="6" hidden="1">'00072920'!$B$9:$U$12</definedName>
    <definedName name="Lancer_la_requête_à_partir_de_MS_Access_Database" localSheetId="1" hidden="1">'00223085'!$B$9:$U$12</definedName>
    <definedName name="Lancer_la_requête_à_partir_de_MS_Access_Database" localSheetId="2" hidden="1">'01212750'!$B$9:$U$12</definedName>
    <definedName name="Lancer_la_requête_à_partir_de_MS_Access_Database" localSheetId="9" hidden="1">'02429046'!$B$9:$U$14</definedName>
    <definedName name="Lancer_la_requête_à_partir_de_MS_Access_Database" localSheetId="4" hidden="1">'03088508'!$B$9:$U$17</definedName>
    <definedName name="Lancer_la_requête_à_partir_de_MS_Access_Database" localSheetId="5" hidden="1">'03297205'!$B$9:$U$14</definedName>
    <definedName name="Lancer_la_requête_à_partir_de_MS_Access_Database" localSheetId="3" hidden="1">'03478055'!$B$9:$U$12</definedName>
    <definedName name="Lancer_la_requête_à_partir_de_MS_Access_Database" localSheetId="8" hidden="1">'04392219'!$B$9:$U$14</definedName>
    <definedName name="Lancer_la_requête_à_partir_de_MS_Access_Database" localSheetId="7" hidden="1">'04549922'!$B$9:$U$12</definedName>
    <definedName name="Lancer_la_requête_à_partir_de_MS_Access_Database" localSheetId="10" hidden="1">'05798480'!$B$9:$U$12</definedName>
    <definedName name="Lancer_la_requête_à_partir_de_MS_Access_Database" localSheetId="11" hidden="1">'05983076'!$B$9:$U$12</definedName>
    <definedName name="Lancer_la_requête_à_partir_de_MS_Access_Database" localSheetId="12" hidden="1">'06180289'!$B$9:$U$14</definedName>
    <definedName name="Lancer_la_requête_à_partir_de_MS_Access_Database" localSheetId="13" hidden="1">'06878103'!$B$9:$U$12</definedName>
    <definedName name="Lancer_la_requête_à_partir_de_MS_Access_Database" localSheetId="14" hidden="1">'07112636'!$B$9:$U$14</definedName>
    <definedName name="Lancer_la_requête_à_partir_de_MS_Access_Database" localSheetId="15" hidden="1">'07513494'!$B$9:$U$14</definedName>
    <definedName name="Lancer_la_requête_à_partir_de_MS_Access_Database" localSheetId="16" hidden="1">'08150730'!$B$9:$U$14</definedName>
    <definedName name="Lancer_la_requête_à_partir_de_MS_Access_Database_1" localSheetId="0" hidden="1">'Secteur DE0405'!$A$7:$K$23</definedName>
  </definedNames>
  <calcPr calcId="125725"/>
</workbook>
</file>

<file path=xl/calcChain.xml><?xml version="1.0" encoding="utf-8"?>
<calcChain xmlns="http://schemas.openxmlformats.org/spreadsheetml/2006/main">
  <c r="D24" i="1"/>
  <c r="E24"/>
  <c r="F24"/>
  <c r="G24"/>
  <c r="H24"/>
  <c r="I24"/>
  <c r="N4" i="17"/>
  <c r="M4"/>
  <c r="F4"/>
  <c r="N4" i="16"/>
  <c r="M4"/>
  <c r="F4"/>
  <c r="N4" i="15"/>
  <c r="M4"/>
  <c r="F4"/>
  <c r="N4" i="14"/>
  <c r="M4"/>
  <c r="F4"/>
  <c r="N4" i="13" l="1"/>
  <c r="M4"/>
  <c r="F4"/>
  <c r="N4" i="12"/>
  <c r="M4"/>
  <c r="F4"/>
  <c r="N4" i="11"/>
  <c r="M4"/>
  <c r="F4"/>
  <c r="N4" i="10"/>
  <c r="M4"/>
  <c r="F4"/>
  <c r="N4" i="9"/>
  <c r="M4"/>
  <c r="F4"/>
  <c r="N4" i="8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N4" i="2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405')_x000d__x000a_ORDER BY Req_REPORT_SECTEURS_GLOBAL.Medecin"/>
  </connection>
  <connection id="2" name="Lancer la requête à partir de MS Access Database0007292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072920')"/>
  </connection>
  <connection id="3" name="Lancer la requête à partir de MS Access Database0022308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223085')"/>
  </connection>
  <connection id="4" name="Lancer la requête à partir de MS Access Database0121275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212750')"/>
  </connection>
  <connection id="5" name="Lancer la requête à partir de MS Access Database0242904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429046')"/>
  </connection>
  <connection id="6" name="Lancer la requête à partir de MS Access Database0308850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088508')"/>
  </connection>
  <connection id="7" name="Lancer la requête à partir de MS Access Database0329720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297205')"/>
  </connection>
  <connection id="8" name="Lancer la requête à partir de MS Access Database0347805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478055')"/>
  </connection>
  <connection id="9" name="Lancer la requête à partir de MS Access Database0439221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392219')"/>
  </connection>
  <connection id="10" name="Lancer la requête à partir de MS Access Database0454992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549922')"/>
  </connection>
  <connection id="11" name="Lancer la requête à partir de MS Access Database0579848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798480')"/>
  </connection>
  <connection id="12" name="Lancer la requête à partir de MS Access Database0598307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983076')"/>
  </connection>
  <connection id="13" name="Lancer la requête à partir de MS Access Database0618028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180289')"/>
  </connection>
  <connection id="14" name="Lancer la requête à partir de MS Access Database0687810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878103')"/>
  </connection>
  <connection id="15" name="Lancer la requête à partir de MS Access Database0711263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112636')"/>
  </connection>
  <connection id="16" name="Lancer la requête à partir de MS Access Database0751349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513494')"/>
  </connection>
  <connection id="17" name="Lancer la requête à partir de MS Access Database0815073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150730')"/>
  </connection>
</connections>
</file>

<file path=xl/sharedStrings.xml><?xml version="1.0" encoding="utf-8"?>
<sst xmlns="http://schemas.openxmlformats.org/spreadsheetml/2006/main" count="1027" uniqueCount="118">
  <si>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</si>
  <si>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</si>
  <si>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</si>
  <si>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</si>
  <si>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</si>
  <si>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</si>
  <si>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</si>
  <si>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</si>
  <si>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</si>
  <si>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</si>
  <si>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</si>
  <si>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</si>
  <si>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</si>
  <si>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</si>
  <si>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</si>
  <si>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</si>
  <si>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</si>
  <si>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</si>
  <si>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</si>
  <si>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</si>
  <si>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</si>
  <si>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</si>
  <si>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</si>
  <si>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</si>
  <si>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</si>
  <si>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</si>
  <si>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</si>
  <si>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</si>
  <si>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</si>
  <si>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</si>
  <si>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</si>
  <si>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</si>
  <si>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</si>
  <si>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</si>
  <si>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</si>
  <si>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</si>
  <si>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</si>
  <si>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</si>
  <si>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</si>
  <si>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</si>
  <si>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</si>
  <si>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</si>
  <si>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</si>
  <si>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</si>
  <si>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</si>
  <si>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</si>
  <si>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</si>
  <si>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</si>
  <si>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</si>
  <si>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</si>
  <si>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</si>
  <si>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</si>
  <si>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</si>
  <si>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</si>
  <si>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</si>
  <si>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</si>
  <si>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</si>
  <si>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</si>
  <si>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</si>
  <si>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DE0405</t>
  </si>
  <si>
    <t>RIGAUD Nathalie</t>
  </si>
  <si>
    <t>WFRM03478055</t>
  </si>
  <si>
    <t>FERRY Jean-Paul</t>
  </si>
  <si>
    <t>WFRM03088508</t>
  </si>
  <si>
    <t>FROIDEVAUX David</t>
  </si>
  <si>
    <t>WFRM03297205</t>
  </si>
  <si>
    <t>GARY Sandra</t>
  </si>
  <si>
    <t>WFRM04549922</t>
  </si>
  <si>
    <t>HENRY-MORIN Annick</t>
  </si>
  <si>
    <t>WFRM04392219</t>
  </si>
  <si>
    <t>JOUHET Christelle</t>
  </si>
  <si>
    <t>WFRM02429046</t>
  </si>
  <si>
    <t>KOUDSI Hacina</t>
  </si>
  <si>
    <t>WFRM05983076</t>
  </si>
  <si>
    <t>MAINEMER Michel</t>
  </si>
  <si>
    <t>WFRM06180289</t>
  </si>
  <si>
    <t>WFRM06878103</t>
  </si>
  <si>
    <t>NOE Christine</t>
  </si>
  <si>
    <t>WFRM07513494</t>
  </si>
  <si>
    <t>POUS Pierre</t>
  </si>
  <si>
    <t>WFRM08150730</t>
  </si>
  <si>
    <t>RUER Mireille</t>
  </si>
  <si>
    <t>ARNAUD-JOURDAN Anne</t>
  </si>
  <si>
    <t>WFRM00223085</t>
  </si>
  <si>
    <t>17juin: A inclus 1 patient. Elle va rappeler au patient de transmettre les questionnaires. Je lui rappelle de nous transmettre la visite d'inclusion. Renouvelle son engagement concernant le protocole y pense.</t>
  </si>
  <si>
    <t>Mail</t>
  </si>
  <si>
    <t>SMS - Mail</t>
  </si>
  <si>
    <t>Via médecin</t>
  </si>
  <si>
    <t>Mail - Courrier - Téléphone</t>
  </si>
  <si>
    <t>Courrier</t>
  </si>
  <si>
    <t>Téléphone</t>
  </si>
  <si>
    <t>SMS - Mail - Courrier - Téléphone</t>
  </si>
  <si>
    <t>Téléphone - Via médecin</t>
  </si>
  <si>
    <t>SMS - Via médecin</t>
  </si>
  <si>
    <t>Courrier - Via médecin</t>
  </si>
  <si>
    <t>SMS - Mail - Courrier - Téléphone - Via médecin</t>
  </si>
  <si>
    <t>Mail - Courrier</t>
  </si>
  <si>
    <t>Courrier 22août : envoi courrier pour relance à faire patient 2 n'a pas renvoyé son auto-questionnaire 2 mois.</t>
  </si>
  <si>
    <t>05sept: Le Dr devrait inclure un autre patient qui souhaitait débuter l'étude en rentrant de vacances.</t>
  </si>
  <si>
    <t>19sept: Le Dr NOE ne souhaite plus inclure d'autres patients et préfère prescrire comme ça.</t>
  </si>
  <si>
    <t>WFRM00072920</t>
  </si>
  <si>
    <t>HELLIER Isabelle</t>
  </si>
  <si>
    <t>WFRM05798480</t>
  </si>
  <si>
    <t>LIBERT Pascale</t>
  </si>
  <si>
    <t>WFRM07112636</t>
  </si>
  <si>
    <t>PECHEUX Méryl Julien</t>
  </si>
  <si>
    <t>SMS</t>
  </si>
  <si>
    <t>WFRM01212750</t>
  </si>
  <si>
    <t>BOULAY Colette</t>
  </si>
  <si>
    <t>13nov:ne souhaite pas inclure de nouveau patient</t>
  </si>
  <si>
    <t>a reçu le kit il y a très peu de temps. Va donc prochainement inclure des patients.</t>
  </si>
  <si>
    <t>SMS - Téléphone - Via médecin</t>
  </si>
  <si>
    <t>06nov: souhaite 3 nouveaux cahiers =&gt; envoyé le 14nov</t>
  </si>
  <si>
    <t>Courrier - Téléphone</t>
  </si>
  <si>
    <t>Colonne1</t>
  </si>
  <si>
    <t>Reste 3 patients à inclure</t>
  </si>
  <si>
    <t>MEZI Lyazid</t>
  </si>
  <si>
    <t>message laissé à la secrétaire: demande envoi visite inclusion patient 1562</t>
  </si>
</sst>
</file>

<file path=xl/styles.xml><?xml version="1.0" encoding="utf-8"?>
<styleSheet xmlns="http://schemas.openxmlformats.org/spreadsheetml/2006/main">
  <numFmts count="1">
    <numFmt numFmtId="164" formatCode="dd/mm/yy;@"/>
  </numFmts>
  <fonts count="29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8080"/>
      </left>
      <right style="thin">
        <color rgb="FF000000"/>
      </right>
      <top style="thin">
        <color rgb="FF000000"/>
      </top>
      <bottom style="thin">
        <color rgb="FF008080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23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164" fontId="0" fillId="0" borderId="0" xfId="0" applyNumberFormat="1" applyAlignment="1">
      <alignment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14" fontId="0" fillId="0" borderId="0" xfId="0" applyNumberFormat="1"/>
    <xf numFmtId="0" fontId="27" fillId="0" borderId="0" xfId="0" applyFont="1" applyAlignment="1">
      <alignment horizontal="center" vertical="center" wrapText="1"/>
    </xf>
    <xf numFmtId="0" fontId="27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0" fillId="11" borderId="0" xfId="0" applyFill="1" applyAlignment="1">
      <alignment vertical="center" wrapText="1"/>
    </xf>
    <xf numFmtId="0" fontId="11" fillId="11" borderId="0" xfId="2" applyFill="1" applyAlignment="1" applyProtection="1">
      <alignment horizontal="center" vertical="center" wrapText="1"/>
    </xf>
    <xf numFmtId="22" fontId="0" fillId="11" borderId="0" xfId="0" applyNumberFormat="1" applyFill="1" applyAlignment="1">
      <alignment vertical="center" wrapText="1"/>
    </xf>
    <xf numFmtId="164" fontId="0" fillId="11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164" fontId="0" fillId="11" borderId="0" xfId="0" applyNumberFormat="1" applyFill="1" applyAlignment="1">
      <alignment vertical="center" wrapText="1"/>
    </xf>
    <xf numFmtId="0" fontId="28" fillId="12" borderId="5" xfId="0" applyFont="1" applyFill="1" applyBorder="1" applyAlignment="1">
      <alignment vertical="center" wrapText="1"/>
    </xf>
    <xf numFmtId="14" fontId="7" fillId="3" borderId="0" xfId="1" applyNumberFormat="1" applyFont="1" applyFill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363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362"/>
      <tableStyleElement type="headerRow" dxfId="361"/>
      <tableStyleElement type="totalRow" dxfId="360"/>
      <tableStyleElement type="firstColumn" dxfId="359"/>
      <tableStyleElement type="lastColumn" dxfId="358"/>
      <tableStyleElement type="firstRowStripe" dxfId="357"/>
      <tableStyleElement type="secondRowStripe" dxfId="356"/>
      <tableStyleElement type="firstColumnStripe" dxfId="355"/>
      <tableStyleElement type="secondColumnStripe" dxfId="354"/>
    </tableStyle>
    <tableStyle name="TableStyleLight8 2" pivot="0" count="9">
      <tableStyleElement type="wholeTable" dxfId="353"/>
      <tableStyleElement type="headerRow" dxfId="352"/>
      <tableStyleElement type="totalRow" dxfId="351"/>
      <tableStyleElement type="firstColumn" dxfId="350"/>
      <tableStyleElement type="lastColumn" dxfId="349"/>
      <tableStyleElement type="firstRowStripe" dxfId="348"/>
      <tableStyleElement type="secondRowStripe" dxfId="347"/>
      <tableStyleElement type="firstColumnStripe" dxfId="346"/>
      <tableStyleElement type="secondColumnStripe" dxfId="345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2.xml><?xml version="1.0" encoding="utf-8"?>
<queryTable xmlns="http://schemas.openxmlformats.org/spreadsheetml/2006/main" name="Lancer la requête à partir de MS Access Database" adjustColumnWidth="0" connectionId="1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3.xml><?xml version="1.0" encoding="utf-8"?>
<queryTable xmlns="http://schemas.openxmlformats.org/spreadsheetml/2006/main" name="Lancer la requête à partir de MS Access Database" adjustColumnWidth="0" connectionId="1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4.xml><?xml version="1.0" encoding="utf-8"?>
<queryTable xmlns="http://schemas.openxmlformats.org/spreadsheetml/2006/main" name="Lancer la requête à partir de MS Access Database" adjustColumnWidth="0" connectionId="1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5.xml><?xml version="1.0" encoding="utf-8"?>
<queryTable xmlns="http://schemas.openxmlformats.org/spreadsheetml/2006/main" name="Lancer la requête à partir de MS Access Database" adjustColumnWidth="0" connectionId="1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6.xml><?xml version="1.0" encoding="utf-8"?>
<queryTable xmlns="http://schemas.openxmlformats.org/spreadsheetml/2006/main" name="Lancer la requête à partir de MS Access Database" adjustColumnWidth="0" connectionId="1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7.xml><?xml version="1.0" encoding="utf-8"?>
<queryTable xmlns="http://schemas.openxmlformats.org/spreadsheetml/2006/main" name="Lancer la requête à partir de MS Access Database" adjustColumnWidth="0" connectionId="1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L24" tableType="queryTable" totalsRowCount="1" headerRowDxfId="344" dataDxfId="343">
  <tableColumns count="12">
    <tableColumn id="1" uniqueName="1" name="Code Secteur" queryTableFieldId="1" dataDxfId="331" totalsRowDxfId="332"/>
    <tableColumn id="2" uniqueName="2" name="VM" queryTableFieldId="2" dataDxfId="330" totalsRowDxfId="333"/>
    <tableColumn id="3" uniqueName="3" name="Code médecin" totalsRowLabel="TOTAL" queryTableFieldId="3" dataDxfId="329" totalsRowDxfId="334" dataCellStyle="Lien hypertexte"/>
    <tableColumn id="4" uniqueName="4" name="Medecin" totalsRowFunction="custom" queryTableFieldId="4" dataDxfId="328" totalsRowDxfId="335">
      <totalsRowFormula>SUBTOTAL(3,D8:D23)</totalsRowFormula>
    </tableColumn>
    <tableColumn id="5" uniqueName="5" name="Date de réception convention financière" totalsRowFunction="custom" queryTableFieldId="5" dataDxfId="327" totalsRowDxfId="336">
      <totalsRowFormula>SUBTOTAL(3,[Date de réception convention financière])</totalsRowFormula>
    </tableColumn>
    <tableColumn id="6" uniqueName="6" name="Date de réception AR kit" totalsRowFunction="custom" queryTableFieldId="6" dataDxfId="326" totalsRowDxfId="337">
      <totalsRowFormula>SUBTOTAL(3,[Date de réception AR kit])</totalsRowFormula>
    </tableColumn>
    <tableColumn id="7" uniqueName="7" name="Date de MEP" totalsRowFunction="custom" queryTableFieldId="7" dataDxfId="325" totalsRowDxfId="338">
      <totalsRowFormula>SUBTOTAL(3,[Date de MEP])</totalsRowFormula>
    </tableColumn>
    <tableColumn id="8" uniqueName="8" name="Desistement" totalsRowFunction="custom" queryTableFieldId="8" dataDxfId="324" totalsRowDxfId="339">
      <totalsRowFormula>SUBTOTAL(3,[Desistement])</totalsRowFormula>
    </tableColumn>
    <tableColumn id="9" uniqueName="9" name="Nb Total Patients inclus" totalsRowFunction="custom" queryTableFieldId="9" dataDxfId="323" totalsRowDxfId="340">
      <totalsRowFormula>SUBTOTAL(109,I8:I23)</totalsRowFormula>
    </tableColumn>
    <tableColumn id="10" uniqueName="10" name="Comptes-rendus contact médecin-GECEM" queryTableFieldId="10" dataDxfId="322" totalsRowDxfId="341"/>
    <tableColumn id="11" uniqueName="11" name="Date" queryTableFieldId="11" dataDxfId="321" totalsRowDxfId="342"/>
    <tableColumn id="12" uniqueName="12" name="Colonne1" queryTableFieldId="12" dataDxfId="320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3" name="Tableau_Lancer_la_requête_à_partir_de_MS_Access_Database45678910111214" displayName="Tableau_Lancer_la_requête_à_partir_de_MS_Access_Database45678910111214" ref="B9:U12" tableType="queryTable" totalsRowShown="0">
  <autoFilter ref="B9:U12"/>
  <tableColumns count="20">
    <tableColumn id="1" uniqueName="1" name="Num_Centre" queryTableFieldId="1" dataDxfId="319"/>
    <tableColumn id="2" uniqueName="2" name="Investigateur" queryTableFieldId="2" dataDxfId="318"/>
    <tableColumn id="3" uniqueName="3" name="Num_Patient" queryTableFieldId="3" dataDxfId="317"/>
    <tableColumn id="4" uniqueName="4" name="INCLUSION_Visite" queryTableFieldId="4" dataDxfId="316"/>
    <tableColumn id="5" uniqueName="5" name="INCLUSION_Reception" queryTableFieldId="5" dataDxfId="315"/>
    <tableColumn id="6" uniqueName="6" name="AQINCLUSION_Reception" queryTableFieldId="6" dataDxfId="314"/>
    <tableColumn id="7" uniqueName="7" name="CONTACT_Reception" queryTableFieldId="7" dataDxfId="313"/>
    <tableColumn id="8" uniqueName="8" name="TypeRappel" queryTableFieldId="8" dataDxfId="312"/>
    <tableColumn id="9" uniqueName="9" name="AQ7Theo" queryTableFieldId="9" dataDxfId="311"/>
    <tableColumn id="10" uniqueName="10" name="AQJ7_Reception" queryTableFieldId="10" dataDxfId="310"/>
    <tableColumn id="11" uniqueName="11" name="AQ_M2_Theo" queryTableFieldId="11" dataDxfId="309"/>
    <tableColumn id="12" uniqueName="12" name="AQM2_Reception" queryTableFieldId="12" dataDxfId="308"/>
    <tableColumn id="13" uniqueName="13" name="VP_Theo" queryTableFieldId="13" dataDxfId="307"/>
    <tableColumn id="14" uniqueName="14" name="PRECOCE_Visite" queryTableFieldId="14" dataDxfId="306"/>
    <tableColumn id="15" uniqueName="15" name="PRECOCE_Reception" queryTableFieldId="15" dataDxfId="305"/>
    <tableColumn id="16" uniqueName="16" name="VT_Theo" queryTableFieldId="16" dataDxfId="304"/>
    <tableColumn id="17" uniqueName="17" name="TARDIF_Visite" queryTableFieldId="17" dataDxfId="303"/>
    <tableColumn id="18" uniqueName="18" name="TARDIF_Reception" queryTableFieldId="18" dataDxfId="302"/>
    <tableColumn id="19" uniqueName="19" name="Onekey" queryTableFieldId="19" dataDxfId="301"/>
    <tableColumn id="20" uniqueName="20" name="Date" queryTableFieldId="20" dataDxfId="30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17" name="Tableau_Lancer_la_requête_à_partir_de_MS_Access_Database4567891011121418" displayName="Tableau_Lancer_la_requête_à_partir_de_MS_Access_Database4567891011121418" ref="B9:U12" tableType="queryTable" totalsRowShown="0">
  <autoFilter ref="B9:U12"/>
  <tableColumns count="20">
    <tableColumn id="1" uniqueName="1" name="Num_Centre" queryTableFieldId="1" dataDxfId="299"/>
    <tableColumn id="2" uniqueName="2" name="Investigateur" queryTableFieldId="2" dataDxfId="298"/>
    <tableColumn id="3" uniqueName="3" name="Num_Patient" queryTableFieldId="3" dataDxfId="297"/>
    <tableColumn id="4" uniqueName="4" name="INCLUSION_Visite" queryTableFieldId="4" dataDxfId="296"/>
    <tableColumn id="5" uniqueName="5" name="INCLUSION_Reception" queryTableFieldId="5" dataDxfId="295"/>
    <tableColumn id="6" uniqueName="6" name="AQINCLUSION_Reception" queryTableFieldId="6" dataDxfId="294"/>
    <tableColumn id="7" uniqueName="7" name="CONTACT_Reception" queryTableFieldId="7" dataDxfId="293"/>
    <tableColumn id="8" uniqueName="8" name="TypeRappel" queryTableFieldId="8" dataDxfId="292"/>
    <tableColumn id="9" uniqueName="9" name="AQ7Theo" queryTableFieldId="9" dataDxfId="291"/>
    <tableColumn id="10" uniqueName="10" name="AQJ7_Reception" queryTableFieldId="10" dataDxfId="290"/>
    <tableColumn id="11" uniqueName="11" name="AQ_M2_Theo" queryTableFieldId="11" dataDxfId="289"/>
    <tableColumn id="12" uniqueName="12" name="AQM2_Reception" queryTableFieldId="12" dataDxfId="288"/>
    <tableColumn id="13" uniqueName="13" name="VP_Theo" queryTableFieldId="13" dataDxfId="287"/>
    <tableColumn id="14" uniqueName="14" name="PRECOCE_Visite" queryTableFieldId="14" dataDxfId="286"/>
    <tableColumn id="15" uniqueName="15" name="PRECOCE_Reception" queryTableFieldId="15" dataDxfId="285"/>
    <tableColumn id="16" uniqueName="16" name="VT_Theo" queryTableFieldId="16" dataDxfId="284"/>
    <tableColumn id="17" uniqueName="17" name="TARDIF_Visite" queryTableFieldId="17" dataDxfId="283"/>
    <tableColumn id="18" uniqueName="18" name="TARDIF_Reception" queryTableFieldId="18" dataDxfId="282"/>
    <tableColumn id="19" uniqueName="19" name="Onekey" queryTableFieldId="19" dataDxfId="281"/>
    <tableColumn id="20" uniqueName="20" name="Date" queryTableFieldId="20" dataDxfId="28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1" name="Tableau_Lancer_la_requête_à_partir_de_MS_Access_Database" displayName="Tableau_Lancer_la_requête_à_partir_de_MS_Access_Database" ref="B9:U12" tableType="queryTable" totalsRowShown="0">
  <autoFilter ref="B9:U12"/>
  <tableColumns count="20">
    <tableColumn id="1" uniqueName="1" name="Num_Centre" queryTableFieldId="1" dataDxfId="279"/>
    <tableColumn id="2" uniqueName="2" name="Investigateur" queryTableFieldId="2" dataDxfId="278"/>
    <tableColumn id="3" uniqueName="3" name="Num_Patient" queryTableFieldId="3" dataDxfId="277"/>
    <tableColumn id="4" uniqueName="4" name="INCLUSION_Visite" queryTableFieldId="4" dataDxfId="276"/>
    <tableColumn id="5" uniqueName="5" name="INCLUSION_Reception" queryTableFieldId="5" dataDxfId="275"/>
    <tableColumn id="6" uniqueName="6" name="AQINCLUSION_Reception" queryTableFieldId="6" dataDxfId="274"/>
    <tableColumn id="7" uniqueName="7" name="CONTACT_Reception" queryTableFieldId="7" dataDxfId="273"/>
    <tableColumn id="8" uniqueName="8" name="TypeRappel" queryTableFieldId="8" dataDxfId="272"/>
    <tableColumn id="9" uniqueName="9" name="AQ7Theo" queryTableFieldId="9" dataDxfId="271"/>
    <tableColumn id="10" uniqueName="10" name="AQJ7_Reception" queryTableFieldId="10" dataDxfId="270"/>
    <tableColumn id="11" uniqueName="11" name="AQ_M2_Theo" queryTableFieldId="11" dataDxfId="269"/>
    <tableColumn id="12" uniqueName="12" name="AQM2_Reception" queryTableFieldId="12" dataDxfId="268"/>
    <tableColumn id="13" uniqueName="13" name="VP_Theo" queryTableFieldId="13" dataDxfId="267"/>
    <tableColumn id="14" uniqueName="14" name="PRECOCE_Visite" queryTableFieldId="14" dataDxfId="266"/>
    <tableColumn id="15" uniqueName="15" name="PRECOCE_Reception" queryTableFieldId="15" dataDxfId="265"/>
    <tableColumn id="16" uniqueName="16" name="VT_Theo" queryTableFieldId="16" dataDxfId="264"/>
    <tableColumn id="17" uniqueName="17" name="TARDIF_Visite" queryTableFieldId="17" dataDxfId="263"/>
    <tableColumn id="18" uniqueName="18" name="TARDIF_Reception" queryTableFieldId="18" dataDxfId="262"/>
    <tableColumn id="19" uniqueName="19" name="Onekey" queryTableFieldId="19" dataDxfId="261"/>
    <tableColumn id="20" uniqueName="20" name="Date" queryTableFieldId="20" dataDxfId="26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3" name="Tableau_Lancer_la_requête_à_partir_de_MS_Access_Database4" displayName="Tableau_Lancer_la_requête_à_partir_de_MS_Access_Database4" ref="B9:U17" tableType="queryTable" totalsRowShown="0">
  <autoFilter ref="B9:U17"/>
  <tableColumns count="20">
    <tableColumn id="1" uniqueName="1" name="Num_Centre" queryTableFieldId="1" dataDxfId="259"/>
    <tableColumn id="2" uniqueName="2" name="Investigateur" queryTableFieldId="2" dataDxfId="258"/>
    <tableColumn id="3" uniqueName="3" name="Num_Patient" queryTableFieldId="3" dataDxfId="257"/>
    <tableColumn id="4" uniqueName="4" name="INCLUSION_Visite" queryTableFieldId="4" dataDxfId="256"/>
    <tableColumn id="5" uniqueName="5" name="INCLUSION_Reception" queryTableFieldId="5" dataDxfId="255"/>
    <tableColumn id="6" uniqueName="6" name="AQINCLUSION_Reception" queryTableFieldId="6" dataDxfId="254"/>
    <tableColumn id="7" uniqueName="7" name="CONTACT_Reception" queryTableFieldId="7" dataDxfId="253"/>
    <tableColumn id="8" uniqueName="8" name="TypeRappel" queryTableFieldId="8" dataDxfId="252"/>
    <tableColumn id="9" uniqueName="9" name="AQ7Theo" queryTableFieldId="9" dataDxfId="251"/>
    <tableColumn id="10" uniqueName="10" name="AQJ7_Reception" queryTableFieldId="10" dataDxfId="250"/>
    <tableColumn id="11" uniqueName="11" name="AQ_M2_Theo" queryTableFieldId="11" dataDxfId="249"/>
    <tableColumn id="12" uniqueName="12" name="AQM2_Reception" queryTableFieldId="12" dataDxfId="248"/>
    <tableColumn id="13" uniqueName="13" name="VP_Theo" queryTableFieldId="13" dataDxfId="247"/>
    <tableColumn id="14" uniqueName="14" name="PRECOCE_Visite" queryTableFieldId="14" dataDxfId="246"/>
    <tableColumn id="15" uniqueName="15" name="PRECOCE_Reception" queryTableFieldId="15" dataDxfId="245"/>
    <tableColumn id="16" uniqueName="16" name="VT_Theo" queryTableFieldId="16" dataDxfId="244"/>
    <tableColumn id="17" uniqueName="17" name="TARDIF_Visite" queryTableFieldId="17" dataDxfId="243"/>
    <tableColumn id="18" uniqueName="18" name="TARDIF_Reception" queryTableFieldId="18" dataDxfId="242"/>
    <tableColumn id="19" uniqueName="19" name="Onekey" queryTableFieldId="19" dataDxfId="241"/>
    <tableColumn id="20" uniqueName="20" name="Date" queryTableFieldId="20" dataDxfId="24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4" name="Tableau_Lancer_la_requête_à_partir_de_MS_Access_Database45" displayName="Tableau_Lancer_la_requête_à_partir_de_MS_Access_Database45" ref="B9:U14" tableType="queryTable" totalsRowShown="0">
  <autoFilter ref="B9:U14"/>
  <tableColumns count="20">
    <tableColumn id="1" uniqueName="1" name="Num_Centre" queryTableFieldId="1" dataDxfId="239"/>
    <tableColumn id="2" uniqueName="2" name="Investigateur" queryTableFieldId="2" dataDxfId="238"/>
    <tableColumn id="3" uniqueName="3" name="Num_Patient" queryTableFieldId="3" dataDxfId="237"/>
    <tableColumn id="4" uniqueName="4" name="INCLUSION_Visite" queryTableFieldId="4" dataDxfId="236"/>
    <tableColumn id="5" uniqueName="5" name="INCLUSION_Reception" queryTableFieldId="5" dataDxfId="235"/>
    <tableColumn id="6" uniqueName="6" name="AQINCLUSION_Reception" queryTableFieldId="6" dataDxfId="234"/>
    <tableColumn id="7" uniqueName="7" name="CONTACT_Reception" queryTableFieldId="7" dataDxfId="233"/>
    <tableColumn id="8" uniqueName="8" name="TypeRappel" queryTableFieldId="8" dataDxfId="232"/>
    <tableColumn id="9" uniqueName="9" name="AQ7Theo" queryTableFieldId="9" dataDxfId="231"/>
    <tableColumn id="10" uniqueName="10" name="AQJ7_Reception" queryTableFieldId="10" dataDxfId="230"/>
    <tableColumn id="11" uniqueName="11" name="AQ_M2_Theo" queryTableFieldId="11" dataDxfId="229"/>
    <tableColumn id="12" uniqueName="12" name="AQM2_Reception" queryTableFieldId="12" dataDxfId="228"/>
    <tableColumn id="13" uniqueName="13" name="VP_Theo" queryTableFieldId="13" dataDxfId="227"/>
    <tableColumn id="14" uniqueName="14" name="PRECOCE_Visite" queryTableFieldId="14" dataDxfId="226"/>
    <tableColumn id="15" uniqueName="15" name="PRECOCE_Reception" queryTableFieldId="15" dataDxfId="225"/>
    <tableColumn id="16" uniqueName="16" name="VT_Theo" queryTableFieldId="16" dataDxfId="224"/>
    <tableColumn id="17" uniqueName="17" name="TARDIF_Visite" queryTableFieldId="17" dataDxfId="223"/>
    <tableColumn id="18" uniqueName="18" name="TARDIF_Reception" queryTableFieldId="18" dataDxfId="222"/>
    <tableColumn id="19" uniqueName="19" name="Onekey" queryTableFieldId="19" dataDxfId="221"/>
    <tableColumn id="20" uniqueName="20" name="Date" queryTableFieldId="20" dataDxfId="22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14" name="Tableau_Lancer_la_requête_à_partir_de_MS_Access_Database4515" displayName="Tableau_Lancer_la_requête_à_partir_de_MS_Access_Database4515" ref="B9:U12" tableType="queryTable" totalsRowShown="0">
  <autoFilter ref="B9:U12"/>
  <tableColumns count="20">
    <tableColumn id="1" uniqueName="1" name="Num_Centre" queryTableFieldId="1" dataDxfId="219"/>
    <tableColumn id="2" uniqueName="2" name="Investigateur" queryTableFieldId="2" dataDxfId="218"/>
    <tableColumn id="3" uniqueName="3" name="Num_Patient" queryTableFieldId="3" dataDxfId="217"/>
    <tableColumn id="4" uniqueName="4" name="INCLUSION_Visite" queryTableFieldId="4" dataDxfId="216"/>
    <tableColumn id="5" uniqueName="5" name="INCLUSION_Reception" queryTableFieldId="5" dataDxfId="215"/>
    <tableColumn id="6" uniqueName="6" name="AQINCLUSION_Reception" queryTableFieldId="6" dataDxfId="214"/>
    <tableColumn id="7" uniqueName="7" name="CONTACT_Reception" queryTableFieldId="7" dataDxfId="213"/>
    <tableColumn id="8" uniqueName="8" name="TypeRappel" queryTableFieldId="8" dataDxfId="212"/>
    <tableColumn id="9" uniqueName="9" name="AQ7Theo" queryTableFieldId="9" dataDxfId="211"/>
    <tableColumn id="10" uniqueName="10" name="AQJ7_Reception" queryTableFieldId="10" dataDxfId="210"/>
    <tableColumn id="11" uniqueName="11" name="AQ_M2_Theo" queryTableFieldId="11" dataDxfId="209"/>
    <tableColumn id="12" uniqueName="12" name="AQM2_Reception" queryTableFieldId="12" dataDxfId="208"/>
    <tableColumn id="13" uniqueName="13" name="VP_Theo" queryTableFieldId="13" dataDxfId="207"/>
    <tableColumn id="14" uniqueName="14" name="PRECOCE_Visite" queryTableFieldId="14" dataDxfId="206"/>
    <tableColumn id="15" uniqueName="15" name="PRECOCE_Reception" queryTableFieldId="15" dataDxfId="205"/>
    <tableColumn id="16" uniqueName="16" name="VT_Theo" queryTableFieldId="16" dataDxfId="204"/>
    <tableColumn id="17" uniqueName="17" name="TARDIF_Visite" queryTableFieldId="17" dataDxfId="203"/>
    <tableColumn id="18" uniqueName="18" name="TARDIF_Reception" queryTableFieldId="18" dataDxfId="202"/>
    <tableColumn id="19" uniqueName="19" name="Onekey" queryTableFieldId="19" dataDxfId="201"/>
    <tableColumn id="20" uniqueName="20" name="Date" queryTableFieldId="20" dataDxfId="20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5" name="Tableau_Lancer_la_requête_à_partir_de_MS_Access_Database456" displayName="Tableau_Lancer_la_requête_à_partir_de_MS_Access_Database456" ref="B9:U12" tableType="queryTable" totalsRowShown="0">
  <autoFilter ref="B9:U12"/>
  <tableColumns count="20">
    <tableColumn id="1" uniqueName="1" name="Num_Centre" queryTableFieldId="1" dataDxfId="199"/>
    <tableColumn id="2" uniqueName="2" name="Investigateur" queryTableFieldId="2" dataDxfId="198"/>
    <tableColumn id="3" uniqueName="3" name="Num_Patient" queryTableFieldId="3" dataDxfId="197"/>
    <tableColumn id="4" uniqueName="4" name="INCLUSION_Visite" queryTableFieldId="4" dataDxfId="196"/>
    <tableColumn id="5" uniqueName="5" name="INCLUSION_Reception" queryTableFieldId="5" dataDxfId="195"/>
    <tableColumn id="6" uniqueName="6" name="AQINCLUSION_Reception" queryTableFieldId="6" dataDxfId="194"/>
    <tableColumn id="7" uniqueName="7" name="CONTACT_Reception" queryTableFieldId="7" dataDxfId="193"/>
    <tableColumn id="8" uniqueName="8" name="TypeRappel" queryTableFieldId="8" dataDxfId="192"/>
    <tableColumn id="9" uniqueName="9" name="AQ7Theo" queryTableFieldId="9" dataDxfId="191"/>
    <tableColumn id="10" uniqueName="10" name="AQJ7_Reception" queryTableFieldId="10" dataDxfId="190"/>
    <tableColumn id="11" uniqueName="11" name="AQ_M2_Theo" queryTableFieldId="11" dataDxfId="189"/>
    <tableColumn id="12" uniqueName="12" name="AQM2_Reception" queryTableFieldId="12" dataDxfId="188"/>
    <tableColumn id="13" uniqueName="13" name="VP_Theo" queryTableFieldId="13" dataDxfId="187"/>
    <tableColumn id="14" uniqueName="14" name="PRECOCE_Visite" queryTableFieldId="14" dataDxfId="186"/>
    <tableColumn id="15" uniqueName="15" name="PRECOCE_Reception" queryTableFieldId="15" dataDxfId="185"/>
    <tableColumn id="16" uniqueName="16" name="VT_Theo" queryTableFieldId="16" dataDxfId="184"/>
    <tableColumn id="17" uniqueName="17" name="TARDIF_Visite" queryTableFieldId="17" dataDxfId="183"/>
    <tableColumn id="18" uniqueName="18" name="TARDIF_Reception" queryTableFieldId="18" dataDxfId="182"/>
    <tableColumn id="19" uniqueName="19" name="Onekey" queryTableFieldId="19" dataDxfId="181"/>
    <tableColumn id="20" uniqueName="20" name="Date" queryTableFieldId="20" dataDxfId="18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4" tableType="queryTable" totalsRowShown="0">
  <autoFilter ref="B9:U14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7" name="Tableau_Lancer_la_requête_à_partir_de_MS_Access_Database45678" displayName="Tableau_Lancer_la_requête_à_partir_de_MS_Access_Database45678" ref="B9:U14" tableType="queryTable" totalsRowShown="0">
  <autoFilter ref="B9:U14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15" name="Tableau_Lancer_la_requête_à_partir_de_MS_Access_Database4567816" displayName="Tableau_Lancer_la_requête_à_partir_de_MS_Access_Database4567816" ref="B9:U12" tableType="queryTable" totalsRowShown="0">
  <autoFilter ref="B9:U12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12.xml><?xml version="1.0" encoding="utf-8"?>
<table xmlns="http://schemas.openxmlformats.org/spreadsheetml/2006/main" id="8" name="Tableau_Lancer_la_requête_à_partir_de_MS_Access_Database456789" displayName="Tableau_Lancer_la_requête_à_partir_de_MS_Access_Database456789" ref="B9:U12" tableType="queryTable" totalsRowShown="0">
  <autoFilter ref="B9:U12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13.xml><?xml version="1.0" encoding="utf-8"?>
<table xmlns="http://schemas.openxmlformats.org/spreadsheetml/2006/main" id="9" name="Tableau_Lancer_la_requête_à_partir_de_MS_Access_Database45678910" displayName="Tableau_Lancer_la_requête_à_partir_de_MS_Access_Database45678910" ref="B9:U14" tableType="queryTable" totalsRowShown="0">
  <autoFilter ref="B9:U14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14.xml><?xml version="1.0" encoding="utf-8"?>
<table xmlns="http://schemas.openxmlformats.org/spreadsheetml/2006/main" id="10" name="Tableau_Lancer_la_requête_à_partir_de_MS_Access_Database4567891011" displayName="Tableau_Lancer_la_requête_à_partir_de_MS_Access_Database4567891011" ref="B9:U12" tableType="queryTable" totalsRowShown="0">
  <autoFilter ref="B9:U12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15.xml><?xml version="1.0" encoding="utf-8"?>
<table xmlns="http://schemas.openxmlformats.org/spreadsheetml/2006/main" id="16" name="Tableau_Lancer_la_requête_à_partir_de_MS_Access_Database456789101117" displayName="Tableau_Lancer_la_requête_à_partir_de_MS_Access_Database456789101117" ref="B9:U14" tableType="queryTable" totalsRowShown="0">
  <autoFilter ref="B9:U14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16.xml><?xml version="1.0" encoding="utf-8"?>
<table xmlns="http://schemas.openxmlformats.org/spreadsheetml/2006/main" id="11" name="Tableau_Lancer_la_requête_à_partir_de_MS_Access_Database456789101112" displayName="Tableau_Lancer_la_requête_à_partir_de_MS_Access_Database456789101112" ref="B9:U14" tableType="queryTable" totalsRowShown="0">
  <autoFilter ref="B9:U14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7.xml><?xml version="1.0" encoding="utf-8"?>
<table xmlns="http://schemas.openxmlformats.org/spreadsheetml/2006/main" id="12" name="Tableau_Lancer_la_requête_à_partir_de_MS_Access_Database45678910111213" displayName="Tableau_Lancer_la_requête_à_partir_de_MS_Access_Database45678910111213" ref="B9:U14" tableType="queryTable" totalsRowShown="0">
  <autoFilter ref="B9:U14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26"/>
  <sheetViews>
    <sheetView tabSelected="1" topLeftCell="C10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$A$23</f>
        <v>DE0405</v>
      </c>
      <c r="G2" s="106" t="str">
        <f>$B$23</f>
        <v>RIGAUD Nathalie</v>
      </c>
      <c r="H2" s="106"/>
      <c r="I2" s="106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$K$23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  <c r="L7" s="15" t="s">
        <v>114</v>
      </c>
    </row>
    <row r="8" spans="1:17" s="78" customFormat="1" ht="30">
      <c r="A8" s="78" t="s">
        <v>59</v>
      </c>
      <c r="B8" s="78" t="s">
        <v>60</v>
      </c>
      <c r="C8" s="79" t="s">
        <v>83</v>
      </c>
      <c r="D8" s="77" t="s">
        <v>82</v>
      </c>
      <c r="E8" s="16">
        <v>41775</v>
      </c>
      <c r="F8" s="16">
        <v>41787</v>
      </c>
      <c r="G8" s="16">
        <v>41785</v>
      </c>
      <c r="H8" s="16"/>
      <c r="I8" s="15">
        <v>2</v>
      </c>
      <c r="J8" s="77" t="s">
        <v>98</v>
      </c>
      <c r="K8" s="80">
        <v>42306</v>
      </c>
    </row>
    <row r="9" spans="1:17" s="78" customFormat="1" ht="30">
      <c r="A9" s="78" t="s">
        <v>59</v>
      </c>
      <c r="B9" s="78" t="s">
        <v>60</v>
      </c>
      <c r="C9" s="79" t="s">
        <v>107</v>
      </c>
      <c r="D9" s="77" t="s">
        <v>108</v>
      </c>
      <c r="E9" s="16">
        <v>41936</v>
      </c>
      <c r="F9" s="16">
        <v>41955</v>
      </c>
      <c r="G9" s="16">
        <v>41949</v>
      </c>
      <c r="H9" s="16"/>
      <c r="I9" s="15">
        <v>3</v>
      </c>
      <c r="J9" s="77" t="s">
        <v>110</v>
      </c>
      <c r="K9" s="80">
        <v>42306</v>
      </c>
    </row>
    <row r="10" spans="1:17" s="78" customFormat="1" ht="30">
      <c r="A10" s="78" t="s">
        <v>59</v>
      </c>
      <c r="B10" s="78" t="s">
        <v>60</v>
      </c>
      <c r="C10" s="79" t="s">
        <v>61</v>
      </c>
      <c r="D10" s="77" t="s">
        <v>62</v>
      </c>
      <c r="E10" s="16">
        <v>41718</v>
      </c>
      <c r="F10" s="16">
        <v>41746</v>
      </c>
      <c r="G10" s="16">
        <v>41743</v>
      </c>
      <c r="H10" s="16"/>
      <c r="I10" s="15">
        <v>3</v>
      </c>
      <c r="J10" s="77" t="s">
        <v>97</v>
      </c>
      <c r="K10" s="80">
        <v>42306</v>
      </c>
    </row>
    <row r="11" spans="1:17" s="99" customFormat="1" ht="45">
      <c r="A11" s="99" t="s">
        <v>59</v>
      </c>
      <c r="B11" s="99" t="s">
        <v>60</v>
      </c>
      <c r="C11" s="100" t="s">
        <v>63</v>
      </c>
      <c r="D11" s="101" t="s">
        <v>64</v>
      </c>
      <c r="E11" s="102">
        <v>41722</v>
      </c>
      <c r="F11" s="102">
        <v>41747</v>
      </c>
      <c r="G11" s="102">
        <v>41744</v>
      </c>
      <c r="H11" s="102"/>
      <c r="I11" s="103">
        <v>5</v>
      </c>
      <c r="J11" s="101" t="s">
        <v>112</v>
      </c>
      <c r="K11" s="104">
        <v>42306</v>
      </c>
      <c r="L11" s="105" t="s">
        <v>115</v>
      </c>
    </row>
    <row r="12" spans="1:17" s="78" customFormat="1">
      <c r="A12" s="78" t="s">
        <v>59</v>
      </c>
      <c r="B12" s="78" t="s">
        <v>60</v>
      </c>
      <c r="C12" s="79" t="s">
        <v>65</v>
      </c>
      <c r="D12" s="77" t="s">
        <v>66</v>
      </c>
      <c r="E12" s="16">
        <v>41709</v>
      </c>
      <c r="F12" s="16">
        <v>41751</v>
      </c>
      <c r="G12" s="16">
        <v>41746</v>
      </c>
      <c r="H12" s="16"/>
      <c r="I12" s="15">
        <v>5</v>
      </c>
      <c r="J12" s="77"/>
      <c r="K12" s="80">
        <v>42306</v>
      </c>
    </row>
    <row r="13" spans="1:17" s="78" customFormat="1">
      <c r="A13" s="78" t="s">
        <v>59</v>
      </c>
      <c r="B13" s="78" t="s">
        <v>60</v>
      </c>
      <c r="C13" s="79" t="s">
        <v>100</v>
      </c>
      <c r="D13" s="77" t="s">
        <v>101</v>
      </c>
      <c r="E13" s="16">
        <v>41920</v>
      </c>
      <c r="F13" s="16">
        <v>41928</v>
      </c>
      <c r="G13" s="16">
        <v>41926</v>
      </c>
      <c r="H13" s="16"/>
      <c r="I13" s="15">
        <v>3</v>
      </c>
      <c r="J13" s="77"/>
      <c r="K13" s="80">
        <v>42306</v>
      </c>
    </row>
    <row r="14" spans="1:17" s="78" customFormat="1">
      <c r="A14" s="78" t="s">
        <v>59</v>
      </c>
      <c r="B14" s="78" t="s">
        <v>60</v>
      </c>
      <c r="C14" s="79" t="s">
        <v>67</v>
      </c>
      <c r="D14" s="77" t="s">
        <v>68</v>
      </c>
      <c r="E14" s="16">
        <v>41715</v>
      </c>
      <c r="F14" s="16">
        <v>41753</v>
      </c>
      <c r="G14" s="16">
        <v>41751</v>
      </c>
      <c r="H14" s="16"/>
      <c r="I14" s="15">
        <v>2</v>
      </c>
      <c r="J14" s="77"/>
      <c r="K14" s="80">
        <v>42306</v>
      </c>
    </row>
    <row r="15" spans="1:17" s="78" customFormat="1">
      <c r="A15" s="78" t="s">
        <v>59</v>
      </c>
      <c r="B15" s="78" t="s">
        <v>60</v>
      </c>
      <c r="C15" s="79" t="s">
        <v>69</v>
      </c>
      <c r="D15" s="77" t="s">
        <v>70</v>
      </c>
      <c r="E15" s="16">
        <v>41696</v>
      </c>
      <c r="F15" s="16">
        <v>41761</v>
      </c>
      <c r="G15" s="16">
        <v>41757</v>
      </c>
      <c r="H15" s="16"/>
      <c r="I15" s="15">
        <v>5</v>
      </c>
      <c r="J15" s="77"/>
      <c r="K15" s="80">
        <v>42306</v>
      </c>
    </row>
    <row r="16" spans="1:17" s="78" customFormat="1">
      <c r="A16" s="78" t="s">
        <v>59</v>
      </c>
      <c r="B16" s="78" t="s">
        <v>60</v>
      </c>
      <c r="C16" s="79" t="s">
        <v>71</v>
      </c>
      <c r="D16" s="77" t="s">
        <v>72</v>
      </c>
      <c r="E16" s="16">
        <v>41698</v>
      </c>
      <c r="F16" s="16">
        <v>41761</v>
      </c>
      <c r="G16" s="16">
        <v>41757</v>
      </c>
      <c r="H16" s="16"/>
      <c r="I16" s="15">
        <v>5</v>
      </c>
      <c r="J16" s="77"/>
      <c r="K16" s="80">
        <v>42306</v>
      </c>
    </row>
    <row r="17" spans="1:12" s="78" customFormat="1">
      <c r="A17" s="78" t="s">
        <v>59</v>
      </c>
      <c r="B17" s="78" t="s">
        <v>60</v>
      </c>
      <c r="C17" s="79" t="s">
        <v>102</v>
      </c>
      <c r="D17" s="77" t="s">
        <v>103</v>
      </c>
      <c r="E17" s="16">
        <v>41919</v>
      </c>
      <c r="F17" s="16">
        <v>41962</v>
      </c>
      <c r="G17" s="16">
        <v>41960</v>
      </c>
      <c r="H17" s="16"/>
      <c r="I17" s="15">
        <v>3</v>
      </c>
      <c r="J17" s="77"/>
      <c r="K17" s="80">
        <v>42306</v>
      </c>
    </row>
    <row r="18" spans="1:12" s="78" customFormat="1">
      <c r="A18" s="78" t="s">
        <v>59</v>
      </c>
      <c r="B18" s="78" t="s">
        <v>60</v>
      </c>
      <c r="C18" s="79" t="s">
        <v>73</v>
      </c>
      <c r="D18" s="77" t="s">
        <v>74</v>
      </c>
      <c r="E18" s="16">
        <v>41703</v>
      </c>
      <c r="F18" s="16">
        <v>41747</v>
      </c>
      <c r="G18" s="16">
        <v>41745</v>
      </c>
      <c r="H18" s="16"/>
      <c r="I18" s="15">
        <v>3</v>
      </c>
      <c r="J18" s="77" t="s">
        <v>109</v>
      </c>
      <c r="K18" s="80">
        <v>42306</v>
      </c>
    </row>
    <row r="19" spans="1:12" s="78" customFormat="1" ht="30">
      <c r="A19" s="78" t="s">
        <v>59</v>
      </c>
      <c r="B19" s="78" t="s">
        <v>60</v>
      </c>
      <c r="C19" s="79" t="s">
        <v>75</v>
      </c>
      <c r="D19" s="81" t="s">
        <v>116</v>
      </c>
      <c r="E19" s="16">
        <v>41703</v>
      </c>
      <c r="F19" s="16">
        <v>41743</v>
      </c>
      <c r="G19" s="16">
        <v>41740</v>
      </c>
      <c r="H19" s="16"/>
      <c r="I19" s="15">
        <v>4</v>
      </c>
      <c r="J19" s="81" t="s">
        <v>117</v>
      </c>
      <c r="K19" s="80">
        <v>42306</v>
      </c>
    </row>
    <row r="20" spans="1:12" ht="30">
      <c r="A20" s="78" t="s">
        <v>59</v>
      </c>
      <c r="B20" s="78" t="s">
        <v>60</v>
      </c>
      <c r="C20" s="79" t="s">
        <v>76</v>
      </c>
      <c r="D20" s="81" t="s">
        <v>77</v>
      </c>
      <c r="E20" s="16">
        <v>41704</v>
      </c>
      <c r="F20" s="16">
        <v>41753</v>
      </c>
      <c r="G20" s="16">
        <v>41751</v>
      </c>
      <c r="H20" s="16"/>
      <c r="I20" s="15">
        <v>3</v>
      </c>
      <c r="J20" s="81" t="s">
        <v>99</v>
      </c>
      <c r="K20" s="80">
        <v>42306</v>
      </c>
      <c r="L20" s="78"/>
    </row>
    <row r="21" spans="1:12">
      <c r="A21" s="78" t="s">
        <v>59</v>
      </c>
      <c r="B21" s="78" t="s">
        <v>60</v>
      </c>
      <c r="C21" s="79" t="s">
        <v>104</v>
      </c>
      <c r="D21" s="81" t="s">
        <v>105</v>
      </c>
      <c r="E21" s="16">
        <v>41920</v>
      </c>
      <c r="F21" s="16">
        <v>41928</v>
      </c>
      <c r="G21" s="16">
        <v>41926</v>
      </c>
      <c r="H21" s="16"/>
      <c r="I21" s="15">
        <v>5</v>
      </c>
      <c r="J21" s="81"/>
      <c r="K21" s="80">
        <v>42306</v>
      </c>
      <c r="L21" s="78"/>
    </row>
    <row r="22" spans="1:12">
      <c r="A22" s="78" t="s">
        <v>59</v>
      </c>
      <c r="B22" s="78" t="s">
        <v>60</v>
      </c>
      <c r="C22" s="79" t="s">
        <v>78</v>
      </c>
      <c r="D22" s="81" t="s">
        <v>79</v>
      </c>
      <c r="E22" s="16">
        <v>41701</v>
      </c>
      <c r="F22" s="16">
        <v>41751</v>
      </c>
      <c r="G22" s="16">
        <v>41746</v>
      </c>
      <c r="H22" s="16"/>
      <c r="I22" s="15">
        <v>5</v>
      </c>
      <c r="J22" s="81"/>
      <c r="K22" s="80">
        <v>42306</v>
      </c>
      <c r="L22" s="78"/>
    </row>
    <row r="23" spans="1:12" ht="60">
      <c r="A23" s="78" t="s">
        <v>59</v>
      </c>
      <c r="B23" s="78" t="s">
        <v>60</v>
      </c>
      <c r="C23" s="79" t="s">
        <v>80</v>
      </c>
      <c r="D23" s="81" t="s">
        <v>81</v>
      </c>
      <c r="E23" s="16">
        <v>41702</v>
      </c>
      <c r="F23" s="16">
        <v>41761</v>
      </c>
      <c r="G23" s="16">
        <v>41759</v>
      </c>
      <c r="H23" s="16"/>
      <c r="I23" s="15">
        <v>4</v>
      </c>
      <c r="J23" s="81" t="s">
        <v>84</v>
      </c>
      <c r="K23" s="80">
        <v>42306</v>
      </c>
      <c r="L23" s="78"/>
    </row>
    <row r="24" spans="1:12">
      <c r="A24" s="28"/>
      <c r="B24" s="28"/>
      <c r="C24" s="27" t="s">
        <v>15</v>
      </c>
      <c r="D24" s="33">
        <f>SUBTOTAL(3,D8:D23)</f>
        <v>16</v>
      </c>
      <c r="E24" s="33">
        <f>SUBTOTAL(3,[Date de réception convention financière])</f>
        <v>16</v>
      </c>
      <c r="F24" s="33">
        <f>SUBTOTAL(3,[Date de réception AR kit])</f>
        <v>16</v>
      </c>
      <c r="G24" s="33">
        <f>SUBTOTAL(3,[Date de MEP])</f>
        <v>16</v>
      </c>
      <c r="H24" s="82">
        <f>SUBTOTAL(3,[Desistement])</f>
        <v>0</v>
      </c>
      <c r="I24" s="27">
        <f>SUBTOTAL(109,I8:I23)</f>
        <v>60</v>
      </c>
      <c r="J24" s="31"/>
      <c r="K24" s="32"/>
    </row>
    <row r="25" spans="1:12">
      <c r="D25" s="10"/>
      <c r="J25" s="10"/>
    </row>
    <row r="26" spans="1:12">
      <c r="C26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2"/>
  <sheetViews>
    <sheetView workbookViewId="0">
      <selection activeCell="D32" sqref="D32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6" t="s">
        <v>16</v>
      </c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8"/>
      <c r="M3" s="118"/>
      <c r="N3" s="118"/>
      <c r="O3" s="6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9" t="s">
        <v>58</v>
      </c>
      <c r="E4" s="119"/>
      <c r="F4" s="53">
        <f>$U$12</f>
        <v>42306</v>
      </c>
      <c r="G4" s="50"/>
      <c r="H4" s="50"/>
      <c r="I4" s="34"/>
      <c r="J4" s="50"/>
      <c r="K4" s="50"/>
      <c r="L4" s="69" t="s">
        <v>17</v>
      </c>
      <c r="M4" s="63">
        <f>$B$12</f>
        <v>295</v>
      </c>
      <c r="N4" s="120" t="str">
        <f>$C$12</f>
        <v>ARNAUD-JOURDAN Anne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1" t="s">
        <v>32</v>
      </c>
      <c r="M8" s="71" t="s">
        <v>31</v>
      </c>
      <c r="N8" s="70" t="s">
        <v>33</v>
      </c>
      <c r="O8" s="70" t="s">
        <v>34</v>
      </c>
      <c r="P8" s="7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295</v>
      </c>
      <c r="C10" s="42" t="s">
        <v>82</v>
      </c>
      <c r="D10" s="19">
        <v>1</v>
      </c>
      <c r="E10" s="25">
        <v>41793</v>
      </c>
      <c r="F10" s="25">
        <v>41817</v>
      </c>
      <c r="G10" s="25"/>
      <c r="H10" s="25">
        <v>41808</v>
      </c>
      <c r="I10" s="44" t="s">
        <v>85</v>
      </c>
      <c r="J10" s="25">
        <v>41805</v>
      </c>
      <c r="K10" s="25">
        <v>41808</v>
      </c>
      <c r="L10" s="25">
        <v>41864</v>
      </c>
      <c r="M10" s="25">
        <v>41897</v>
      </c>
      <c r="N10" s="25">
        <v>41913</v>
      </c>
      <c r="O10" s="25">
        <v>41816</v>
      </c>
      <c r="P10" s="25">
        <v>41820</v>
      </c>
      <c r="Q10" s="25">
        <v>42158</v>
      </c>
      <c r="R10" s="25"/>
      <c r="S10" s="25"/>
      <c r="T10" s="42" t="s">
        <v>83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74">
        <v>295</v>
      </c>
      <c r="C11" s="75" t="s">
        <v>82</v>
      </c>
      <c r="D11" s="19">
        <v>2</v>
      </c>
      <c r="E11" s="25">
        <v>41929</v>
      </c>
      <c r="F11" s="25">
        <v>41933</v>
      </c>
      <c r="G11" s="25">
        <v>41942</v>
      </c>
      <c r="H11" s="25">
        <v>41933</v>
      </c>
      <c r="I11" s="44" t="s">
        <v>106</v>
      </c>
      <c r="J11" s="25">
        <v>41941</v>
      </c>
      <c r="K11" s="25">
        <v>41943</v>
      </c>
      <c r="L11" s="25">
        <v>42000</v>
      </c>
      <c r="M11" s="25">
        <v>42011</v>
      </c>
      <c r="N11" s="25">
        <v>42049</v>
      </c>
      <c r="O11" s="25">
        <v>41940</v>
      </c>
      <c r="P11" s="25">
        <v>41942</v>
      </c>
      <c r="Q11" s="25">
        <v>42294</v>
      </c>
      <c r="R11" s="25">
        <v>41996</v>
      </c>
      <c r="S11" s="25">
        <v>42002</v>
      </c>
      <c r="T11" s="75" t="s">
        <v>83</v>
      </c>
      <c r="U11" s="12">
        <v>42306</v>
      </c>
    </row>
    <row r="12" spans="2:48" ht="18.75" customHeight="1">
      <c r="B12" s="74">
        <v>295</v>
      </c>
      <c r="C12" s="75" t="s">
        <v>82</v>
      </c>
      <c r="D12" s="19">
        <v>3</v>
      </c>
      <c r="I12" s="44" t="s">
        <v>57</v>
      </c>
      <c r="T12" s="75" t="s">
        <v>83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17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6" t="s">
        <v>16</v>
      </c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8"/>
      <c r="M3" s="118"/>
      <c r="N3" s="118"/>
      <c r="O3" s="95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9" t="s">
        <v>58</v>
      </c>
      <c r="E4" s="119"/>
      <c r="F4" s="53">
        <f>$U$12</f>
        <v>42306</v>
      </c>
      <c r="G4" s="50"/>
      <c r="H4" s="50"/>
      <c r="I4" s="34"/>
      <c r="J4" s="50"/>
      <c r="K4" s="50"/>
      <c r="L4" s="96" t="s">
        <v>17</v>
      </c>
      <c r="M4" s="63">
        <f>$B$12</f>
        <v>429</v>
      </c>
      <c r="N4" s="120" t="str">
        <f>$C$12</f>
        <v>BOULAY Colette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8" t="s">
        <v>32</v>
      </c>
      <c r="M8" s="98" t="s">
        <v>31</v>
      </c>
      <c r="N8" s="97" t="s">
        <v>33</v>
      </c>
      <c r="O8" s="97" t="s">
        <v>34</v>
      </c>
      <c r="P8" s="97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429</v>
      </c>
      <c r="C10" s="42" t="s">
        <v>108</v>
      </c>
      <c r="D10" s="19">
        <v>1</v>
      </c>
      <c r="E10" s="25">
        <v>41956</v>
      </c>
      <c r="F10" s="25">
        <v>42074</v>
      </c>
      <c r="G10" s="25">
        <v>42002</v>
      </c>
      <c r="H10" s="25">
        <v>42002</v>
      </c>
      <c r="I10" s="94" t="s">
        <v>87</v>
      </c>
      <c r="J10" s="25">
        <v>41968</v>
      </c>
      <c r="K10" s="25"/>
      <c r="L10" s="25">
        <v>42027</v>
      </c>
      <c r="M10" s="25">
        <v>42102</v>
      </c>
      <c r="N10" s="25">
        <v>42076</v>
      </c>
      <c r="O10" s="25">
        <v>42037</v>
      </c>
      <c r="P10" s="25">
        <v>42074</v>
      </c>
      <c r="Q10" s="25">
        <v>42321</v>
      </c>
      <c r="R10" s="25"/>
      <c r="S10" s="25"/>
      <c r="T10" s="42" t="s">
        <v>107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88">
        <v>429</v>
      </c>
      <c r="C11" s="89" t="s">
        <v>108</v>
      </c>
      <c r="D11" s="19">
        <v>2</v>
      </c>
      <c r="E11" s="25">
        <v>41970</v>
      </c>
      <c r="F11" s="25">
        <v>41983</v>
      </c>
      <c r="G11" s="25">
        <v>42048</v>
      </c>
      <c r="I11" s="94" t="s">
        <v>57</v>
      </c>
      <c r="J11" s="25">
        <v>41982</v>
      </c>
      <c r="K11" s="25">
        <v>41984</v>
      </c>
      <c r="L11" s="25">
        <v>42041</v>
      </c>
      <c r="N11" s="25">
        <v>42090</v>
      </c>
      <c r="O11" s="25">
        <v>41989</v>
      </c>
      <c r="P11" s="25">
        <v>42074</v>
      </c>
      <c r="Q11" s="25">
        <v>42335</v>
      </c>
      <c r="T11" s="89" t="s">
        <v>107</v>
      </c>
      <c r="U11" s="12">
        <v>42306</v>
      </c>
    </row>
    <row r="12" spans="2:48" ht="18.75" customHeight="1">
      <c r="B12" s="88">
        <v>429</v>
      </c>
      <c r="C12" s="89" t="s">
        <v>108</v>
      </c>
      <c r="D12" s="19">
        <v>3</v>
      </c>
      <c r="E12" s="25">
        <v>41975</v>
      </c>
      <c r="F12" s="25">
        <v>41983</v>
      </c>
      <c r="I12" s="94" t="s">
        <v>57</v>
      </c>
      <c r="J12" s="25">
        <v>41987</v>
      </c>
      <c r="L12" s="25">
        <v>42046</v>
      </c>
      <c r="N12" s="25">
        <v>42095</v>
      </c>
      <c r="O12" s="25">
        <v>42068</v>
      </c>
      <c r="P12" s="25">
        <v>42074</v>
      </c>
      <c r="Q12" s="25">
        <v>42340</v>
      </c>
      <c r="T12" s="89" t="s">
        <v>107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3"/>
  <dimension ref="B1:AV12"/>
  <sheetViews>
    <sheetView workbookViewId="0">
      <selection activeCell="M5" sqref="M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6" t="s">
        <v>16</v>
      </c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8"/>
      <c r="M3" s="118"/>
      <c r="N3" s="118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9" t="s">
        <v>58</v>
      </c>
      <c r="E4" s="119"/>
      <c r="F4" s="53">
        <f>$U$12</f>
        <v>42306</v>
      </c>
      <c r="G4" s="50"/>
      <c r="H4" s="50"/>
      <c r="I4" s="34"/>
      <c r="J4" s="50"/>
      <c r="K4" s="50"/>
      <c r="L4" s="57" t="s">
        <v>17</v>
      </c>
      <c r="M4" s="63">
        <f>$B$12</f>
        <v>234</v>
      </c>
      <c r="N4" s="120" t="str">
        <f>$C$12</f>
        <v>FERRY Jean-Paul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234</v>
      </c>
      <c r="C10" s="42" t="s">
        <v>62</v>
      </c>
      <c r="D10" s="19">
        <v>1</v>
      </c>
      <c r="E10" s="25">
        <v>41771</v>
      </c>
      <c r="F10" s="25">
        <v>41780</v>
      </c>
      <c r="G10" s="25">
        <v>41794</v>
      </c>
      <c r="H10" s="25">
        <v>41785</v>
      </c>
      <c r="I10" s="44" t="s">
        <v>86</v>
      </c>
      <c r="J10" s="25">
        <v>41783</v>
      </c>
      <c r="K10" s="25">
        <v>41785</v>
      </c>
      <c r="L10" s="25">
        <v>41842</v>
      </c>
      <c r="M10" s="25">
        <v>41856</v>
      </c>
      <c r="N10" s="25">
        <v>41891</v>
      </c>
      <c r="O10" s="25">
        <v>41792</v>
      </c>
      <c r="P10" s="25">
        <v>41794</v>
      </c>
      <c r="Q10" s="25">
        <v>42136</v>
      </c>
      <c r="R10" s="25"/>
      <c r="S10" s="25"/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4">
        <v>234</v>
      </c>
      <c r="C11" s="75" t="s">
        <v>62</v>
      </c>
      <c r="D11" s="19">
        <v>2</v>
      </c>
      <c r="E11" s="25">
        <v>41789</v>
      </c>
      <c r="F11" s="25">
        <v>41794</v>
      </c>
      <c r="G11" s="25">
        <v>41794</v>
      </c>
      <c r="H11" s="25">
        <v>41794</v>
      </c>
      <c r="I11" s="76" t="s">
        <v>87</v>
      </c>
      <c r="J11" s="25">
        <v>41801</v>
      </c>
      <c r="K11" s="25">
        <v>41806</v>
      </c>
      <c r="L11" s="25">
        <v>41860</v>
      </c>
      <c r="N11" s="25">
        <v>41909</v>
      </c>
      <c r="O11" s="25">
        <v>41842</v>
      </c>
      <c r="P11" s="25">
        <v>41844</v>
      </c>
      <c r="Q11" s="25">
        <v>42154</v>
      </c>
      <c r="T11" s="75" t="s">
        <v>61</v>
      </c>
      <c r="U11" s="12">
        <v>42306</v>
      </c>
    </row>
    <row r="12" spans="2:48" ht="25.5">
      <c r="B12" s="74">
        <v>234</v>
      </c>
      <c r="C12" s="75" t="s">
        <v>62</v>
      </c>
      <c r="D12" s="19">
        <v>3</v>
      </c>
      <c r="E12" s="25">
        <v>41794</v>
      </c>
      <c r="F12" s="25">
        <v>41796</v>
      </c>
      <c r="G12" s="25">
        <v>41796</v>
      </c>
      <c r="H12" s="25">
        <v>41796</v>
      </c>
      <c r="I12" s="76" t="s">
        <v>88</v>
      </c>
      <c r="J12" s="25">
        <v>41806</v>
      </c>
      <c r="K12" s="25">
        <v>41808</v>
      </c>
      <c r="L12" s="25">
        <v>41865</v>
      </c>
      <c r="M12" s="25">
        <v>41862</v>
      </c>
      <c r="N12" s="25">
        <v>41914</v>
      </c>
      <c r="O12" s="25">
        <v>41841</v>
      </c>
      <c r="P12" s="25">
        <v>41844</v>
      </c>
      <c r="Q12" s="25">
        <v>42159</v>
      </c>
      <c r="T12" s="75" t="s">
        <v>61</v>
      </c>
      <c r="U12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4"/>
  <dimension ref="B1:AV17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6" t="s">
        <v>16</v>
      </c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8"/>
      <c r="M3" s="118"/>
      <c r="N3" s="118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9" t="s">
        <v>58</v>
      </c>
      <c r="E4" s="119"/>
      <c r="F4" s="53">
        <f>$U$17</f>
        <v>42306</v>
      </c>
      <c r="G4" s="50"/>
      <c r="H4" s="50"/>
      <c r="I4" s="34"/>
      <c r="J4" s="50"/>
      <c r="K4" s="50"/>
      <c r="L4" s="65" t="s">
        <v>17</v>
      </c>
      <c r="M4" s="63">
        <f>$B$17</f>
        <v>237</v>
      </c>
      <c r="N4" s="120" t="str">
        <f>$C$17</f>
        <v>FROIDEVAUX David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237</v>
      </c>
      <c r="C10" s="42" t="s">
        <v>64</v>
      </c>
      <c r="D10" s="19">
        <v>1</v>
      </c>
      <c r="E10" s="25">
        <v>41746</v>
      </c>
      <c r="F10" s="25">
        <v>41761</v>
      </c>
      <c r="G10" s="25">
        <v>41761</v>
      </c>
      <c r="H10" s="25">
        <v>41752</v>
      </c>
      <c r="I10" s="44" t="s">
        <v>89</v>
      </c>
      <c r="J10" s="25">
        <v>41758</v>
      </c>
      <c r="K10" s="25">
        <v>41766</v>
      </c>
      <c r="L10" s="25">
        <v>41817</v>
      </c>
      <c r="M10" s="25">
        <v>41823</v>
      </c>
      <c r="N10" s="25">
        <v>41866</v>
      </c>
      <c r="O10" s="25">
        <v>41816</v>
      </c>
      <c r="P10" s="25">
        <v>41823</v>
      </c>
      <c r="Q10" s="25">
        <v>42111</v>
      </c>
      <c r="R10" s="25">
        <v>41929</v>
      </c>
      <c r="S10" s="25">
        <v>41946</v>
      </c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4">
        <v>237</v>
      </c>
      <c r="C11" s="75" t="s">
        <v>64</v>
      </c>
      <c r="D11" s="19">
        <v>2</v>
      </c>
      <c r="E11" s="25">
        <v>41758</v>
      </c>
      <c r="F11" s="25">
        <v>41761</v>
      </c>
      <c r="G11" s="25">
        <v>41761</v>
      </c>
      <c r="H11" s="25">
        <v>41830</v>
      </c>
      <c r="I11" s="76" t="s">
        <v>96</v>
      </c>
      <c r="J11" s="25">
        <v>41770</v>
      </c>
      <c r="K11" s="25">
        <v>41830</v>
      </c>
      <c r="L11" s="25">
        <v>41829</v>
      </c>
      <c r="M11" s="25">
        <v>41830</v>
      </c>
      <c r="N11" s="25">
        <v>41878</v>
      </c>
      <c r="O11" s="25">
        <v>41821</v>
      </c>
      <c r="P11" s="25">
        <v>41946</v>
      </c>
      <c r="Q11" s="25">
        <v>42123</v>
      </c>
      <c r="R11" s="25">
        <v>41946</v>
      </c>
      <c r="S11" s="25">
        <v>41964</v>
      </c>
      <c r="T11" s="75" t="s">
        <v>63</v>
      </c>
      <c r="U11" s="12">
        <v>42306</v>
      </c>
    </row>
    <row r="12" spans="2:48" ht="25.5">
      <c r="B12" s="74">
        <v>237</v>
      </c>
      <c r="C12" s="75" t="s">
        <v>64</v>
      </c>
      <c r="D12" s="19">
        <v>3</v>
      </c>
      <c r="E12" s="25">
        <v>41779</v>
      </c>
      <c r="F12" s="25">
        <v>41780</v>
      </c>
      <c r="H12" s="25">
        <v>41802</v>
      </c>
      <c r="I12" s="76" t="s">
        <v>85</v>
      </c>
      <c r="J12" s="25">
        <v>41791</v>
      </c>
      <c r="K12" s="25">
        <v>41802</v>
      </c>
      <c r="L12" s="25">
        <v>41850</v>
      </c>
      <c r="M12" s="25">
        <v>41864</v>
      </c>
      <c r="N12" s="25">
        <v>41899</v>
      </c>
      <c r="Q12" s="25">
        <v>42144</v>
      </c>
      <c r="R12" s="25">
        <v>41969</v>
      </c>
      <c r="S12" s="25">
        <v>41974</v>
      </c>
      <c r="T12" s="75" t="s">
        <v>63</v>
      </c>
      <c r="U12" s="12">
        <v>42306</v>
      </c>
    </row>
    <row r="13" spans="2:48" ht="25.5">
      <c r="B13" s="74">
        <v>237</v>
      </c>
      <c r="C13" s="75" t="s">
        <v>64</v>
      </c>
      <c r="D13" s="19">
        <v>4</v>
      </c>
      <c r="E13" s="25">
        <v>41806</v>
      </c>
      <c r="F13" s="25">
        <v>41872</v>
      </c>
      <c r="G13" s="25">
        <v>41809</v>
      </c>
      <c r="H13" s="25">
        <v>41817</v>
      </c>
      <c r="I13" s="76" t="s">
        <v>90</v>
      </c>
      <c r="J13" s="25">
        <v>41818</v>
      </c>
      <c r="K13" s="25">
        <v>41823</v>
      </c>
      <c r="L13" s="25">
        <v>41877</v>
      </c>
      <c r="M13" s="25">
        <v>41877</v>
      </c>
      <c r="N13" s="25">
        <v>41926</v>
      </c>
      <c r="O13" s="25">
        <v>41946</v>
      </c>
      <c r="P13" s="25">
        <v>41948</v>
      </c>
      <c r="Q13" s="25">
        <v>42171</v>
      </c>
      <c r="T13" s="75" t="s">
        <v>63</v>
      </c>
      <c r="U13" s="12">
        <v>42306</v>
      </c>
    </row>
    <row r="14" spans="2:48" ht="25.5">
      <c r="B14" s="74">
        <v>237</v>
      </c>
      <c r="C14" s="75" t="s">
        <v>64</v>
      </c>
      <c r="D14" s="19">
        <v>5</v>
      </c>
      <c r="E14" s="25">
        <v>41899</v>
      </c>
      <c r="F14" s="25">
        <v>41904</v>
      </c>
      <c r="G14" s="25">
        <v>41904</v>
      </c>
      <c r="H14" s="25">
        <v>41922</v>
      </c>
      <c r="I14" s="94" t="s">
        <v>91</v>
      </c>
      <c r="J14" s="25">
        <v>41911</v>
      </c>
      <c r="K14" s="25">
        <v>41922</v>
      </c>
      <c r="L14" s="25">
        <v>41970</v>
      </c>
      <c r="M14" s="25">
        <v>41984</v>
      </c>
      <c r="N14" s="25">
        <v>42019</v>
      </c>
      <c r="O14" s="25">
        <v>41960</v>
      </c>
      <c r="P14" s="25">
        <v>41964</v>
      </c>
      <c r="Q14" s="25">
        <v>42264</v>
      </c>
      <c r="T14" s="75" t="s">
        <v>63</v>
      </c>
      <c r="U14" s="12">
        <v>42306</v>
      </c>
    </row>
    <row r="15" spans="2:48" ht="25.5">
      <c r="B15" s="88">
        <v>237</v>
      </c>
      <c r="C15" s="89" t="s">
        <v>64</v>
      </c>
      <c r="D15" s="19">
        <v>6</v>
      </c>
      <c r="I15" s="94" t="s">
        <v>57</v>
      </c>
      <c r="T15" s="89" t="s">
        <v>63</v>
      </c>
      <c r="U15" s="12">
        <v>42306</v>
      </c>
    </row>
    <row r="16" spans="2:48" ht="25.5">
      <c r="B16" s="88">
        <v>237</v>
      </c>
      <c r="C16" s="89" t="s">
        <v>64</v>
      </c>
      <c r="D16" s="19">
        <v>7</v>
      </c>
      <c r="I16" s="94" t="s">
        <v>57</v>
      </c>
      <c r="T16" s="89" t="s">
        <v>63</v>
      </c>
      <c r="U16" s="12">
        <v>42306</v>
      </c>
    </row>
    <row r="17" spans="2:21" ht="25.5">
      <c r="B17" s="88">
        <v>237</v>
      </c>
      <c r="C17" s="89" t="s">
        <v>64</v>
      </c>
      <c r="D17" s="19">
        <v>8</v>
      </c>
      <c r="I17" s="94" t="s">
        <v>57</v>
      </c>
      <c r="T17" s="89" t="s">
        <v>63</v>
      </c>
      <c r="U17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5"/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6" t="s">
        <v>16</v>
      </c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8"/>
      <c r="M3" s="118"/>
      <c r="N3" s="118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9" t="s">
        <v>58</v>
      </c>
      <c r="E4" s="119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228</v>
      </c>
      <c r="N4" s="120" t="str">
        <f>$C$14</f>
        <v>GARY Sandra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228</v>
      </c>
      <c r="C10" s="42" t="s">
        <v>66</v>
      </c>
      <c r="D10" s="19">
        <v>1</v>
      </c>
      <c r="E10" s="25">
        <v>41764</v>
      </c>
      <c r="F10" s="25">
        <v>41779</v>
      </c>
      <c r="G10" s="25">
        <v>41806</v>
      </c>
      <c r="H10" s="25"/>
      <c r="I10" s="44" t="s">
        <v>57</v>
      </c>
      <c r="J10" s="25">
        <v>41776</v>
      </c>
      <c r="K10" s="25"/>
      <c r="L10" s="25">
        <v>41835</v>
      </c>
      <c r="M10" s="25"/>
      <c r="N10" s="25">
        <v>41884</v>
      </c>
      <c r="O10" s="25">
        <v>41803</v>
      </c>
      <c r="P10" s="25">
        <v>41806</v>
      </c>
      <c r="Q10" s="25">
        <v>42129</v>
      </c>
      <c r="R10" s="25"/>
      <c r="S10" s="25"/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4">
        <v>228</v>
      </c>
      <c r="C11" s="75" t="s">
        <v>66</v>
      </c>
      <c r="D11" s="19">
        <v>2</v>
      </c>
      <c r="E11" s="25">
        <v>41795</v>
      </c>
      <c r="F11" s="25">
        <v>41876</v>
      </c>
      <c r="G11" s="25">
        <v>41995</v>
      </c>
      <c r="H11" s="25">
        <v>41800</v>
      </c>
      <c r="I11" s="76" t="s">
        <v>91</v>
      </c>
      <c r="J11" s="25">
        <v>41807</v>
      </c>
      <c r="L11" s="25">
        <v>41866</v>
      </c>
      <c r="N11" s="25">
        <v>41915</v>
      </c>
      <c r="Q11" s="25">
        <v>42160</v>
      </c>
      <c r="T11" s="75" t="s">
        <v>65</v>
      </c>
      <c r="U11" s="12">
        <v>42306</v>
      </c>
    </row>
    <row r="12" spans="2:48" ht="25.5">
      <c r="B12" s="74">
        <v>228</v>
      </c>
      <c r="C12" s="75" t="s">
        <v>66</v>
      </c>
      <c r="D12" s="19">
        <v>3</v>
      </c>
      <c r="E12" s="25">
        <v>41816</v>
      </c>
      <c r="F12" s="25">
        <v>41855</v>
      </c>
      <c r="G12" s="25">
        <v>41900</v>
      </c>
      <c r="I12" s="76" t="s">
        <v>57</v>
      </c>
      <c r="J12" s="25">
        <v>41828</v>
      </c>
      <c r="K12" s="25">
        <v>41855</v>
      </c>
      <c r="L12" s="25">
        <v>41887</v>
      </c>
      <c r="M12" s="25">
        <v>41900</v>
      </c>
      <c r="N12" s="25">
        <v>41936</v>
      </c>
      <c r="Q12" s="25">
        <v>42181</v>
      </c>
      <c r="T12" s="75" t="s">
        <v>65</v>
      </c>
      <c r="U12" s="12">
        <v>42306</v>
      </c>
    </row>
    <row r="13" spans="2:48" ht="25.5">
      <c r="B13" s="88">
        <v>228</v>
      </c>
      <c r="C13" s="89" t="s">
        <v>66</v>
      </c>
      <c r="D13" s="19">
        <v>4</v>
      </c>
      <c r="E13" s="25">
        <v>41900</v>
      </c>
      <c r="F13" s="25">
        <v>41904</v>
      </c>
      <c r="H13" s="25">
        <v>42027</v>
      </c>
      <c r="I13" s="76" t="s">
        <v>113</v>
      </c>
      <c r="J13" s="25">
        <v>41912</v>
      </c>
      <c r="K13" s="25">
        <v>41971</v>
      </c>
      <c r="L13" s="25">
        <v>41971</v>
      </c>
      <c r="M13" s="25">
        <v>42027</v>
      </c>
      <c r="N13" s="25">
        <v>42020</v>
      </c>
      <c r="Q13" s="25">
        <v>42265</v>
      </c>
      <c r="T13" s="89" t="s">
        <v>65</v>
      </c>
      <c r="U13" s="12">
        <v>42306</v>
      </c>
    </row>
    <row r="14" spans="2:48" ht="25.5">
      <c r="B14" s="88">
        <v>228</v>
      </c>
      <c r="C14" s="89" t="s">
        <v>66</v>
      </c>
      <c r="D14" s="19">
        <v>5</v>
      </c>
      <c r="E14" s="25">
        <v>41906</v>
      </c>
      <c r="F14" s="25">
        <v>41911</v>
      </c>
      <c r="H14" s="25">
        <v>41911</v>
      </c>
      <c r="I14" s="76" t="s">
        <v>87</v>
      </c>
      <c r="J14" s="25">
        <v>41918</v>
      </c>
      <c r="K14" s="25">
        <v>41929</v>
      </c>
      <c r="L14" s="25">
        <v>41977</v>
      </c>
      <c r="N14" s="25">
        <v>42026</v>
      </c>
      <c r="O14" s="25">
        <v>41978</v>
      </c>
      <c r="P14" s="25">
        <v>41995</v>
      </c>
      <c r="Q14" s="25">
        <v>42271</v>
      </c>
      <c r="T14" s="89" t="s">
        <v>65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6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6" t="s">
        <v>16</v>
      </c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8"/>
      <c r="M3" s="118"/>
      <c r="N3" s="118"/>
      <c r="O3" s="90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9" t="s">
        <v>58</v>
      </c>
      <c r="E4" s="119"/>
      <c r="F4" s="53">
        <f>$U$12</f>
        <v>42306</v>
      </c>
      <c r="G4" s="50"/>
      <c r="H4" s="50"/>
      <c r="I4" s="34"/>
      <c r="J4" s="50"/>
      <c r="K4" s="50"/>
      <c r="L4" s="91" t="s">
        <v>17</v>
      </c>
      <c r="M4" s="63">
        <f>$B$12</f>
        <v>397</v>
      </c>
      <c r="N4" s="120" t="str">
        <f>$C$12</f>
        <v>HELLIER Isabelle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3" t="s">
        <v>32</v>
      </c>
      <c r="M8" s="93" t="s">
        <v>31</v>
      </c>
      <c r="N8" s="92" t="s">
        <v>33</v>
      </c>
      <c r="O8" s="92" t="s">
        <v>34</v>
      </c>
      <c r="P8" s="92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397</v>
      </c>
      <c r="C10" s="42" t="s">
        <v>101</v>
      </c>
      <c r="D10" s="19">
        <v>1</v>
      </c>
      <c r="E10" s="25">
        <v>41953</v>
      </c>
      <c r="F10" s="25">
        <v>41956</v>
      </c>
      <c r="G10" s="25">
        <v>41964</v>
      </c>
      <c r="H10" s="25">
        <v>41957</v>
      </c>
      <c r="I10" s="87" t="s">
        <v>96</v>
      </c>
      <c r="J10" s="25">
        <v>41965</v>
      </c>
      <c r="K10" s="25">
        <v>41967</v>
      </c>
      <c r="L10" s="25">
        <v>42024</v>
      </c>
      <c r="M10" s="25">
        <v>42019</v>
      </c>
      <c r="N10" s="25">
        <v>42073</v>
      </c>
      <c r="O10" s="25">
        <v>41988</v>
      </c>
      <c r="P10" s="25">
        <v>41991</v>
      </c>
      <c r="Q10" s="25">
        <v>42318</v>
      </c>
      <c r="R10" s="25">
        <v>42020</v>
      </c>
      <c r="S10" s="25">
        <v>42025</v>
      </c>
      <c r="T10" s="42" t="s">
        <v>100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88">
        <v>397</v>
      </c>
      <c r="C11" s="89" t="s">
        <v>101</v>
      </c>
      <c r="D11" s="19">
        <v>2</v>
      </c>
      <c r="E11" s="25">
        <v>41961</v>
      </c>
      <c r="F11" s="25">
        <v>41964</v>
      </c>
      <c r="G11" s="25">
        <v>41964</v>
      </c>
      <c r="H11" s="25">
        <v>41964</v>
      </c>
      <c r="I11" s="94" t="s">
        <v>111</v>
      </c>
      <c r="J11" s="25">
        <v>41973</v>
      </c>
      <c r="K11" s="25">
        <v>41977</v>
      </c>
      <c r="L11" s="25">
        <v>42032</v>
      </c>
      <c r="M11" s="25">
        <v>42030</v>
      </c>
      <c r="N11" s="25">
        <v>42081</v>
      </c>
      <c r="O11" s="25">
        <v>42012</v>
      </c>
      <c r="P11" s="25">
        <v>42016</v>
      </c>
      <c r="Q11" s="25">
        <v>42326</v>
      </c>
      <c r="R11" s="25">
        <v>42073</v>
      </c>
      <c r="S11" s="25">
        <v>42079</v>
      </c>
      <c r="T11" s="89" t="s">
        <v>100</v>
      </c>
      <c r="U11" s="12">
        <v>42306</v>
      </c>
    </row>
    <row r="12" spans="2:48" ht="25.5">
      <c r="B12" s="88">
        <v>397</v>
      </c>
      <c r="C12" s="89" t="s">
        <v>101</v>
      </c>
      <c r="D12" s="19">
        <v>3</v>
      </c>
      <c r="E12" s="25">
        <v>41971</v>
      </c>
      <c r="F12" s="25">
        <v>41976</v>
      </c>
      <c r="G12" s="25">
        <v>41976</v>
      </c>
      <c r="H12" s="25">
        <v>41985</v>
      </c>
      <c r="I12" s="94" t="s">
        <v>87</v>
      </c>
      <c r="J12" s="25">
        <v>41983</v>
      </c>
      <c r="K12" s="25">
        <v>41985</v>
      </c>
      <c r="L12" s="25">
        <v>42042</v>
      </c>
      <c r="M12" s="25">
        <v>42039</v>
      </c>
      <c r="N12" s="25">
        <v>42091</v>
      </c>
      <c r="O12" s="25">
        <v>42002</v>
      </c>
      <c r="P12" s="25">
        <v>42002</v>
      </c>
      <c r="Q12" s="25">
        <v>42336</v>
      </c>
      <c r="R12" s="25">
        <v>42037</v>
      </c>
      <c r="S12" s="25">
        <v>42039</v>
      </c>
      <c r="T12" s="89" t="s">
        <v>100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7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6" t="s">
        <v>16</v>
      </c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8"/>
      <c r="M3" s="118"/>
      <c r="N3" s="118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9" t="s">
        <v>58</v>
      </c>
      <c r="E4" s="119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231</v>
      </c>
      <c r="N4" s="120" t="str">
        <f>$C$12</f>
        <v>HENRY-MORIN Annick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231</v>
      </c>
      <c r="C10" s="42" t="s">
        <v>68</v>
      </c>
      <c r="D10" s="19">
        <v>1</v>
      </c>
      <c r="E10" s="25">
        <v>41751</v>
      </c>
      <c r="F10" s="25">
        <v>41754</v>
      </c>
      <c r="G10" s="25"/>
      <c r="H10" s="25">
        <v>41754</v>
      </c>
      <c r="I10" s="44" t="s">
        <v>90</v>
      </c>
      <c r="J10" s="25">
        <v>41763</v>
      </c>
      <c r="K10" s="25">
        <v>41785</v>
      </c>
      <c r="L10" s="25">
        <v>41822</v>
      </c>
      <c r="M10" s="25">
        <v>41862</v>
      </c>
      <c r="N10" s="25">
        <v>41871</v>
      </c>
      <c r="O10" s="25"/>
      <c r="P10" s="25"/>
      <c r="Q10" s="25">
        <v>42116</v>
      </c>
      <c r="R10" s="25"/>
      <c r="S10" s="25"/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4">
        <v>231</v>
      </c>
      <c r="C11" s="75" t="s">
        <v>68</v>
      </c>
      <c r="D11" s="19">
        <v>2</v>
      </c>
      <c r="E11" s="25">
        <v>41752</v>
      </c>
      <c r="F11" s="25">
        <v>41754</v>
      </c>
      <c r="H11" s="25">
        <v>41754</v>
      </c>
      <c r="I11" s="76" t="s">
        <v>88</v>
      </c>
      <c r="J11" s="25">
        <v>41764</v>
      </c>
      <c r="K11" s="25">
        <v>41807</v>
      </c>
      <c r="L11" s="25">
        <v>41823</v>
      </c>
      <c r="M11" s="25">
        <v>41862</v>
      </c>
      <c r="N11" s="25">
        <v>41872</v>
      </c>
      <c r="Q11" s="25">
        <v>42117</v>
      </c>
      <c r="T11" s="75" t="s">
        <v>67</v>
      </c>
      <c r="U11" s="12">
        <v>42306</v>
      </c>
    </row>
    <row r="12" spans="2:48" ht="25.5">
      <c r="B12" s="74">
        <v>231</v>
      </c>
      <c r="C12" s="75" t="s">
        <v>68</v>
      </c>
      <c r="D12" s="19">
        <v>3</v>
      </c>
      <c r="I12" s="76" t="s">
        <v>57</v>
      </c>
      <c r="T12" s="75" t="s">
        <v>67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8"/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6" t="s">
        <v>16</v>
      </c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8"/>
      <c r="M3" s="118"/>
      <c r="N3" s="118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9" t="s">
        <v>58</v>
      </c>
      <c r="E4" s="119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232</v>
      </c>
      <c r="N4" s="120" t="str">
        <f>$C$14</f>
        <v>JOUHET Christelle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232</v>
      </c>
      <c r="C10" s="42" t="s">
        <v>70</v>
      </c>
      <c r="D10" s="19">
        <v>1</v>
      </c>
      <c r="E10" s="25">
        <v>41778</v>
      </c>
      <c r="F10" s="25">
        <v>41808</v>
      </c>
      <c r="G10" s="25"/>
      <c r="H10" s="25"/>
      <c r="I10" s="44" t="s">
        <v>57</v>
      </c>
      <c r="J10" s="25">
        <v>41790</v>
      </c>
      <c r="K10" s="25"/>
      <c r="L10" s="25">
        <v>41849</v>
      </c>
      <c r="M10" s="25"/>
      <c r="N10" s="25">
        <v>41898</v>
      </c>
      <c r="O10" s="25">
        <v>42031</v>
      </c>
      <c r="P10" s="25">
        <v>42033</v>
      </c>
      <c r="Q10" s="25">
        <v>42143</v>
      </c>
      <c r="R10" s="25"/>
      <c r="S10" s="25"/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4">
        <v>232</v>
      </c>
      <c r="C11" s="75" t="s">
        <v>70</v>
      </c>
      <c r="D11" s="19">
        <v>2</v>
      </c>
      <c r="E11" s="25">
        <v>41800</v>
      </c>
      <c r="F11" s="25">
        <v>41808</v>
      </c>
      <c r="G11" s="25">
        <v>41932</v>
      </c>
      <c r="H11" s="25">
        <v>41907</v>
      </c>
      <c r="I11" s="76" t="s">
        <v>96</v>
      </c>
      <c r="J11" s="25">
        <v>41812</v>
      </c>
      <c r="K11" s="25">
        <v>41907</v>
      </c>
      <c r="L11" s="25">
        <v>41871</v>
      </c>
      <c r="M11" s="25">
        <v>41961</v>
      </c>
      <c r="N11" s="25">
        <v>41920</v>
      </c>
      <c r="O11" s="25">
        <v>41928</v>
      </c>
      <c r="P11" s="25">
        <v>41932</v>
      </c>
      <c r="Q11" s="25">
        <v>42165</v>
      </c>
      <c r="T11" s="75" t="s">
        <v>69</v>
      </c>
      <c r="U11" s="12">
        <v>42306</v>
      </c>
    </row>
    <row r="12" spans="2:48" ht="25.5">
      <c r="B12" s="74">
        <v>232</v>
      </c>
      <c r="C12" s="75" t="s">
        <v>70</v>
      </c>
      <c r="D12" s="19">
        <v>3</v>
      </c>
      <c r="E12" s="25">
        <v>41806</v>
      </c>
      <c r="F12" s="25">
        <v>41901</v>
      </c>
      <c r="I12" s="76" t="s">
        <v>57</v>
      </c>
      <c r="J12" s="25">
        <v>41818</v>
      </c>
      <c r="L12" s="25">
        <v>41877</v>
      </c>
      <c r="N12" s="25">
        <v>41926</v>
      </c>
      <c r="O12" s="25">
        <v>41897</v>
      </c>
      <c r="P12" s="25">
        <v>41901</v>
      </c>
      <c r="Q12" s="25">
        <v>42171</v>
      </c>
      <c r="T12" s="75" t="s">
        <v>69</v>
      </c>
      <c r="U12" s="12">
        <v>42306</v>
      </c>
    </row>
    <row r="13" spans="2:48" ht="25.5">
      <c r="B13" s="88">
        <v>232</v>
      </c>
      <c r="C13" s="89" t="s">
        <v>70</v>
      </c>
      <c r="D13" s="19">
        <v>4</v>
      </c>
      <c r="E13" s="25">
        <v>41933</v>
      </c>
      <c r="F13" s="25">
        <v>41934</v>
      </c>
      <c r="I13" s="76" t="s">
        <v>57</v>
      </c>
      <c r="J13" s="25">
        <v>41945</v>
      </c>
      <c r="L13" s="25">
        <v>42004</v>
      </c>
      <c r="N13" s="25">
        <v>42053</v>
      </c>
      <c r="Q13" s="25">
        <v>42298</v>
      </c>
      <c r="T13" s="89" t="s">
        <v>69</v>
      </c>
      <c r="U13" s="12">
        <v>42306</v>
      </c>
    </row>
    <row r="14" spans="2:48" ht="25.5">
      <c r="B14" s="88">
        <v>232</v>
      </c>
      <c r="C14" s="89" t="s">
        <v>70</v>
      </c>
      <c r="D14" s="19">
        <v>5</v>
      </c>
      <c r="E14" s="25">
        <v>41956</v>
      </c>
      <c r="F14" s="25">
        <v>41962</v>
      </c>
      <c r="G14" s="25">
        <v>42047</v>
      </c>
      <c r="I14" s="76" t="s">
        <v>57</v>
      </c>
      <c r="J14" s="25">
        <v>41968</v>
      </c>
      <c r="K14" s="25">
        <v>42047</v>
      </c>
      <c r="L14" s="25">
        <v>42027</v>
      </c>
      <c r="N14" s="25">
        <v>42076</v>
      </c>
      <c r="O14" s="25">
        <v>42044</v>
      </c>
      <c r="P14" s="25">
        <v>42047</v>
      </c>
      <c r="Q14" s="25">
        <v>42321</v>
      </c>
      <c r="T14" s="89" t="s">
        <v>69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9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6" t="s">
        <v>16</v>
      </c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8"/>
      <c r="M3" s="118"/>
      <c r="N3" s="118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9" t="s">
        <v>58</v>
      </c>
      <c r="E4" s="119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233</v>
      </c>
      <c r="N4" s="120" t="str">
        <f>$C$14</f>
        <v>KOUDSI Hacina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233</v>
      </c>
      <c r="C10" s="42" t="s">
        <v>72</v>
      </c>
      <c r="D10" s="19">
        <v>1</v>
      </c>
      <c r="E10" s="25">
        <v>41796</v>
      </c>
      <c r="F10" s="25">
        <v>41816</v>
      </c>
      <c r="G10" s="25"/>
      <c r="H10" s="25"/>
      <c r="I10" s="44" t="s">
        <v>57</v>
      </c>
      <c r="J10" s="25">
        <v>41808</v>
      </c>
      <c r="K10" s="25">
        <v>41837</v>
      </c>
      <c r="L10" s="25">
        <v>41867</v>
      </c>
      <c r="M10" s="25">
        <v>41892</v>
      </c>
      <c r="N10" s="25">
        <v>41916</v>
      </c>
      <c r="O10" s="25">
        <v>41849</v>
      </c>
      <c r="P10" s="25">
        <v>41851</v>
      </c>
      <c r="Q10" s="25">
        <v>42161</v>
      </c>
      <c r="R10" s="25">
        <v>41961</v>
      </c>
      <c r="S10" s="25">
        <v>41967</v>
      </c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4">
        <v>233</v>
      </c>
      <c r="C11" s="75" t="s">
        <v>72</v>
      </c>
      <c r="D11" s="19">
        <v>2</v>
      </c>
      <c r="E11" s="25">
        <v>41814</v>
      </c>
      <c r="F11" s="25">
        <v>41816</v>
      </c>
      <c r="I11" s="76" t="s">
        <v>57</v>
      </c>
      <c r="J11" s="25">
        <v>41826</v>
      </c>
      <c r="K11" s="25">
        <v>41830</v>
      </c>
      <c r="L11" s="25">
        <v>41885</v>
      </c>
      <c r="M11" s="25">
        <v>41884</v>
      </c>
      <c r="N11" s="25">
        <v>41934</v>
      </c>
      <c r="O11" s="25">
        <v>41878</v>
      </c>
      <c r="P11" s="25">
        <v>42048</v>
      </c>
      <c r="Q11" s="25">
        <v>42179</v>
      </c>
      <c r="R11" s="25">
        <v>41997</v>
      </c>
      <c r="S11" s="25">
        <v>42083</v>
      </c>
      <c r="T11" s="75" t="s">
        <v>71</v>
      </c>
      <c r="U11" s="12">
        <v>42306</v>
      </c>
    </row>
    <row r="12" spans="2:48" ht="25.5">
      <c r="B12" s="74">
        <v>233</v>
      </c>
      <c r="C12" s="75" t="s">
        <v>72</v>
      </c>
      <c r="D12" s="19">
        <v>3</v>
      </c>
      <c r="E12" s="25">
        <v>41817</v>
      </c>
      <c r="F12" s="25">
        <v>41827</v>
      </c>
      <c r="G12" s="25">
        <v>41827</v>
      </c>
      <c r="H12" s="25">
        <v>41822</v>
      </c>
      <c r="I12" s="76" t="s">
        <v>90</v>
      </c>
      <c r="J12" s="25">
        <v>41829</v>
      </c>
      <c r="K12" s="25">
        <v>41827</v>
      </c>
      <c r="L12" s="25">
        <v>41888</v>
      </c>
      <c r="M12" s="25">
        <v>41915</v>
      </c>
      <c r="N12" s="25">
        <v>41937</v>
      </c>
      <c r="O12" s="25">
        <v>41843</v>
      </c>
      <c r="P12" s="25">
        <v>41845</v>
      </c>
      <c r="Q12" s="25">
        <v>42182</v>
      </c>
      <c r="R12" s="25">
        <v>41950</v>
      </c>
      <c r="S12" s="25">
        <v>41967</v>
      </c>
      <c r="T12" s="75" t="s">
        <v>71</v>
      </c>
      <c r="U12" s="12">
        <v>42306</v>
      </c>
    </row>
    <row r="13" spans="2:48" ht="25.5">
      <c r="B13" s="83">
        <v>233</v>
      </c>
      <c r="C13" s="84" t="s">
        <v>72</v>
      </c>
      <c r="D13" s="19">
        <v>4</v>
      </c>
      <c r="E13" s="25">
        <v>41825</v>
      </c>
      <c r="F13" s="25">
        <v>41830</v>
      </c>
      <c r="G13" s="25">
        <v>41830</v>
      </c>
      <c r="H13" s="25">
        <v>41830</v>
      </c>
      <c r="I13" s="76" t="s">
        <v>89</v>
      </c>
      <c r="J13" s="25">
        <v>41837</v>
      </c>
      <c r="K13" s="25">
        <v>41841</v>
      </c>
      <c r="L13" s="25">
        <v>41896</v>
      </c>
      <c r="M13" s="25">
        <v>41872</v>
      </c>
      <c r="N13" s="25">
        <v>41945</v>
      </c>
      <c r="O13" s="25">
        <v>41925</v>
      </c>
      <c r="P13" s="25">
        <v>41927</v>
      </c>
      <c r="Q13" s="25">
        <v>42190</v>
      </c>
      <c r="R13" s="25">
        <v>42038</v>
      </c>
      <c r="S13" s="25">
        <v>42083</v>
      </c>
      <c r="T13" s="84" t="s">
        <v>71</v>
      </c>
      <c r="U13" s="12">
        <v>42306</v>
      </c>
    </row>
    <row r="14" spans="2:48" ht="25.5">
      <c r="B14" s="83">
        <v>233</v>
      </c>
      <c r="C14" s="84" t="s">
        <v>72</v>
      </c>
      <c r="D14" s="19">
        <v>5</v>
      </c>
      <c r="E14" s="25">
        <v>41842</v>
      </c>
      <c r="F14" s="25">
        <v>41845</v>
      </c>
      <c r="G14" s="25">
        <v>41845</v>
      </c>
      <c r="I14" s="76" t="s">
        <v>57</v>
      </c>
      <c r="J14" s="25">
        <v>41854</v>
      </c>
      <c r="L14" s="25">
        <v>41913</v>
      </c>
      <c r="N14" s="25">
        <v>41962</v>
      </c>
      <c r="O14" s="25">
        <v>41844</v>
      </c>
      <c r="P14" s="25">
        <v>41848</v>
      </c>
      <c r="Q14" s="25">
        <v>42207</v>
      </c>
      <c r="T14" s="84" t="s">
        <v>71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10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6" t="s">
        <v>16</v>
      </c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8"/>
      <c r="M3" s="118"/>
      <c r="N3" s="118"/>
      <c r="O3" s="90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9" t="s">
        <v>58</v>
      </c>
      <c r="E4" s="119"/>
      <c r="F4" s="53">
        <f>$U$12</f>
        <v>42306</v>
      </c>
      <c r="G4" s="50"/>
      <c r="H4" s="50"/>
      <c r="I4" s="34"/>
      <c r="J4" s="50"/>
      <c r="K4" s="50"/>
      <c r="L4" s="91" t="s">
        <v>17</v>
      </c>
      <c r="M4" s="63">
        <f>$B$12</f>
        <v>396</v>
      </c>
      <c r="N4" s="120" t="str">
        <f>$C$12</f>
        <v>LIBERT Pascale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3" t="s">
        <v>32</v>
      </c>
      <c r="M8" s="93" t="s">
        <v>31</v>
      </c>
      <c r="N8" s="92" t="s">
        <v>33</v>
      </c>
      <c r="O8" s="92" t="s">
        <v>34</v>
      </c>
      <c r="P8" s="92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396</v>
      </c>
      <c r="C10" s="42" t="s">
        <v>103</v>
      </c>
      <c r="D10" s="19">
        <v>1</v>
      </c>
      <c r="E10" s="25">
        <v>41771</v>
      </c>
      <c r="F10" s="25">
        <v>41962</v>
      </c>
      <c r="G10" s="25">
        <v>42251</v>
      </c>
      <c r="H10" s="25"/>
      <c r="I10" s="94" t="s">
        <v>57</v>
      </c>
      <c r="J10" s="25">
        <v>41783</v>
      </c>
      <c r="K10" s="25">
        <v>42142</v>
      </c>
      <c r="L10" s="25">
        <v>41842</v>
      </c>
      <c r="M10" s="25">
        <v>42142</v>
      </c>
      <c r="N10" s="25">
        <v>41891</v>
      </c>
      <c r="O10" s="25">
        <v>41950</v>
      </c>
      <c r="P10" s="25">
        <v>41962</v>
      </c>
      <c r="Q10" s="25">
        <v>42136</v>
      </c>
      <c r="R10" s="25">
        <v>41968</v>
      </c>
      <c r="S10" s="25">
        <v>41975</v>
      </c>
      <c r="T10" s="42" t="s">
        <v>102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88">
        <v>396</v>
      </c>
      <c r="C11" s="89" t="s">
        <v>103</v>
      </c>
      <c r="D11" s="19">
        <v>2</v>
      </c>
      <c r="E11" s="25">
        <v>41724</v>
      </c>
      <c r="F11" s="25">
        <v>41975</v>
      </c>
      <c r="G11" s="25">
        <v>41968</v>
      </c>
      <c r="H11" s="25">
        <v>41968</v>
      </c>
      <c r="I11" s="94" t="s">
        <v>89</v>
      </c>
      <c r="J11" s="25">
        <v>41736</v>
      </c>
      <c r="K11" s="25">
        <v>42061</v>
      </c>
      <c r="L11" s="25">
        <v>41795</v>
      </c>
      <c r="M11" s="25">
        <v>41968</v>
      </c>
      <c r="N11" s="25">
        <v>41844</v>
      </c>
      <c r="P11" s="25">
        <v>41975</v>
      </c>
      <c r="Q11" s="25">
        <v>42089</v>
      </c>
      <c r="R11" s="25">
        <v>41961</v>
      </c>
      <c r="S11" s="25">
        <v>41975</v>
      </c>
      <c r="T11" s="89" t="s">
        <v>102</v>
      </c>
      <c r="U11" s="12">
        <v>42306</v>
      </c>
    </row>
    <row r="12" spans="2:48" ht="25.5">
      <c r="B12" s="88">
        <v>396</v>
      </c>
      <c r="C12" s="89" t="s">
        <v>103</v>
      </c>
      <c r="D12" s="19">
        <v>3</v>
      </c>
      <c r="E12" s="25">
        <v>41965</v>
      </c>
      <c r="F12" s="25">
        <v>41975</v>
      </c>
      <c r="I12" s="94" t="s">
        <v>57</v>
      </c>
      <c r="J12" s="25">
        <v>41977</v>
      </c>
      <c r="L12" s="25">
        <v>42036</v>
      </c>
      <c r="N12" s="25">
        <v>42085</v>
      </c>
      <c r="O12" s="25">
        <v>42080</v>
      </c>
      <c r="P12" s="25">
        <v>42142</v>
      </c>
      <c r="Q12" s="25">
        <v>42330</v>
      </c>
      <c r="T12" s="89" t="s">
        <v>102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11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6" t="s">
        <v>16</v>
      </c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8"/>
      <c r="M3" s="118"/>
      <c r="N3" s="118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9" t="s">
        <v>58</v>
      </c>
      <c r="E4" s="119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235</v>
      </c>
      <c r="N4" s="120" t="str">
        <f>$C$12</f>
        <v>MAINEMER Michel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235</v>
      </c>
      <c r="C10" s="42" t="s">
        <v>74</v>
      </c>
      <c r="D10" s="19">
        <v>1</v>
      </c>
      <c r="E10" s="25">
        <v>41794</v>
      </c>
      <c r="F10" s="25">
        <v>41915</v>
      </c>
      <c r="G10" s="25">
        <v>41915</v>
      </c>
      <c r="H10" s="25"/>
      <c r="I10" s="44" t="s">
        <v>57</v>
      </c>
      <c r="J10" s="25">
        <v>41806</v>
      </c>
      <c r="K10" s="25"/>
      <c r="L10" s="25">
        <v>41865</v>
      </c>
      <c r="M10" s="25"/>
      <c r="N10" s="25">
        <v>41914</v>
      </c>
      <c r="O10" s="25"/>
      <c r="P10" s="25"/>
      <c r="Q10" s="25">
        <v>42159</v>
      </c>
      <c r="R10" s="25">
        <v>41976</v>
      </c>
      <c r="S10" s="25">
        <v>42123</v>
      </c>
      <c r="T10" s="42" t="s">
        <v>73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4">
        <v>235</v>
      </c>
      <c r="C11" s="75" t="s">
        <v>74</v>
      </c>
      <c r="D11" s="19">
        <v>2</v>
      </c>
      <c r="E11" s="25">
        <v>41796</v>
      </c>
      <c r="F11" s="25">
        <v>41915</v>
      </c>
      <c r="G11" s="25">
        <v>41915</v>
      </c>
      <c r="I11" s="76" t="s">
        <v>57</v>
      </c>
      <c r="J11" s="25">
        <v>41808</v>
      </c>
      <c r="L11" s="25">
        <v>41867</v>
      </c>
      <c r="N11" s="25">
        <v>41916</v>
      </c>
      <c r="Q11" s="25">
        <v>42161</v>
      </c>
      <c r="R11" s="25">
        <v>42053</v>
      </c>
      <c r="S11" s="25">
        <v>42123</v>
      </c>
      <c r="T11" s="75" t="s">
        <v>73</v>
      </c>
      <c r="U11" s="12">
        <v>42306</v>
      </c>
    </row>
    <row r="12" spans="2:48" ht="25.5">
      <c r="B12" s="74">
        <v>235</v>
      </c>
      <c r="C12" s="75" t="s">
        <v>74</v>
      </c>
      <c r="D12" s="19">
        <v>3</v>
      </c>
      <c r="E12" s="25">
        <v>41827</v>
      </c>
      <c r="F12" s="25">
        <v>41915</v>
      </c>
      <c r="G12" s="25">
        <v>41915</v>
      </c>
      <c r="I12" s="76" t="s">
        <v>57</v>
      </c>
      <c r="J12" s="25">
        <v>41839</v>
      </c>
      <c r="L12" s="25">
        <v>41898</v>
      </c>
      <c r="N12" s="25">
        <v>41947</v>
      </c>
      <c r="Q12" s="25">
        <v>42192</v>
      </c>
      <c r="R12" s="25">
        <v>42054</v>
      </c>
      <c r="S12" s="25">
        <v>42123</v>
      </c>
      <c r="T12" s="75" t="s">
        <v>73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Feuil12"/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6" t="s">
        <v>16</v>
      </c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8"/>
      <c r="M3" s="118"/>
      <c r="N3" s="118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9" t="s">
        <v>58</v>
      </c>
      <c r="E4" s="119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239</v>
      </c>
      <c r="N4" s="120" t="str">
        <f>$C$14</f>
        <v>MEZI Lyazid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239</v>
      </c>
      <c r="C10" s="42" t="s">
        <v>116</v>
      </c>
      <c r="D10" s="19">
        <v>1</v>
      </c>
      <c r="E10" s="25">
        <v>41745</v>
      </c>
      <c r="F10" s="25">
        <v>41794</v>
      </c>
      <c r="G10" s="25"/>
      <c r="H10" s="25"/>
      <c r="I10" s="44" t="s">
        <v>57</v>
      </c>
      <c r="J10" s="25">
        <v>41757</v>
      </c>
      <c r="K10" s="25"/>
      <c r="L10" s="25">
        <v>41816</v>
      </c>
      <c r="M10" s="25"/>
      <c r="N10" s="25">
        <v>41865</v>
      </c>
      <c r="O10" s="25"/>
      <c r="P10" s="25"/>
      <c r="Q10" s="25">
        <v>42110</v>
      </c>
      <c r="R10" s="25"/>
      <c r="S10" s="25"/>
      <c r="T10" s="42" t="s">
        <v>75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72">
        <v>239</v>
      </c>
      <c r="C11" s="73" t="s">
        <v>116</v>
      </c>
      <c r="D11" s="19">
        <v>2</v>
      </c>
      <c r="E11" s="25">
        <v>41724</v>
      </c>
      <c r="F11" s="25">
        <v>41794</v>
      </c>
      <c r="I11" s="44" t="s">
        <v>57</v>
      </c>
      <c r="J11" s="25">
        <v>41736</v>
      </c>
      <c r="L11" s="25">
        <v>41795</v>
      </c>
      <c r="N11" s="25">
        <v>41844</v>
      </c>
      <c r="Q11" s="25">
        <v>42089</v>
      </c>
      <c r="T11" s="73" t="s">
        <v>75</v>
      </c>
      <c r="U11" s="12">
        <v>42306</v>
      </c>
    </row>
    <row r="12" spans="2:48" ht="18.75" customHeight="1">
      <c r="B12" s="72">
        <v>239</v>
      </c>
      <c r="C12" s="73" t="s">
        <v>116</v>
      </c>
      <c r="D12" s="19">
        <v>3</v>
      </c>
      <c r="E12" s="25">
        <v>41743</v>
      </c>
      <c r="F12" s="25">
        <v>41794</v>
      </c>
      <c r="I12" s="44" t="s">
        <v>57</v>
      </c>
      <c r="J12" s="25">
        <v>41755</v>
      </c>
      <c r="L12" s="25">
        <v>41814</v>
      </c>
      <c r="N12" s="25">
        <v>41863</v>
      </c>
      <c r="Q12" s="25">
        <v>42108</v>
      </c>
      <c r="T12" s="73" t="s">
        <v>75</v>
      </c>
      <c r="U12" s="12">
        <v>42306</v>
      </c>
    </row>
    <row r="13" spans="2:48" ht="25.5">
      <c r="B13" s="74">
        <v>239</v>
      </c>
      <c r="C13" s="75" t="s">
        <v>116</v>
      </c>
      <c r="D13" s="19">
        <v>4</v>
      </c>
      <c r="E13" s="25">
        <v>41762</v>
      </c>
      <c r="F13" s="25">
        <v>42089</v>
      </c>
      <c r="H13" s="25">
        <v>41838</v>
      </c>
      <c r="I13" s="44" t="s">
        <v>87</v>
      </c>
      <c r="J13" s="25">
        <v>41774</v>
      </c>
      <c r="K13" s="25">
        <v>41838</v>
      </c>
      <c r="L13" s="25">
        <v>41833</v>
      </c>
      <c r="N13" s="25">
        <v>41882</v>
      </c>
      <c r="Q13" s="25">
        <v>42127</v>
      </c>
      <c r="T13" s="75" t="s">
        <v>75</v>
      </c>
      <c r="U13" s="12">
        <v>42306</v>
      </c>
    </row>
    <row r="14" spans="2:48" ht="25.5">
      <c r="B14" s="74">
        <v>239</v>
      </c>
      <c r="C14" s="75" t="s">
        <v>116</v>
      </c>
      <c r="D14" s="19">
        <v>5</v>
      </c>
      <c r="I14" s="44" t="s">
        <v>57</v>
      </c>
      <c r="T14" s="75" t="s">
        <v>75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Feuil13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6" t="s">
        <v>16</v>
      </c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8"/>
      <c r="M3" s="118"/>
      <c r="N3" s="118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9" t="s">
        <v>58</v>
      </c>
      <c r="E4" s="119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230</v>
      </c>
      <c r="N4" s="120" t="str">
        <f>$C$12</f>
        <v>NOE Christine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230</v>
      </c>
      <c r="C10" s="42" t="s">
        <v>77</v>
      </c>
      <c r="D10" s="19">
        <v>1</v>
      </c>
      <c r="E10" s="25">
        <v>41758</v>
      </c>
      <c r="F10" s="25">
        <v>41771</v>
      </c>
      <c r="G10" s="25">
        <v>41771</v>
      </c>
      <c r="H10" s="25">
        <v>41780</v>
      </c>
      <c r="I10" s="44" t="s">
        <v>87</v>
      </c>
      <c r="J10" s="25">
        <v>41770</v>
      </c>
      <c r="K10" s="25">
        <v>41780</v>
      </c>
      <c r="L10" s="25">
        <v>41829</v>
      </c>
      <c r="M10" s="25">
        <v>41827</v>
      </c>
      <c r="N10" s="25">
        <v>41878</v>
      </c>
      <c r="O10" s="25">
        <v>41772</v>
      </c>
      <c r="P10" s="25">
        <v>41778</v>
      </c>
      <c r="Q10" s="25">
        <v>42123</v>
      </c>
      <c r="R10" s="25">
        <v>41947</v>
      </c>
      <c r="S10" s="25">
        <v>41960</v>
      </c>
      <c r="T10" s="42" t="s">
        <v>76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74">
        <v>230</v>
      </c>
      <c r="C11" s="75" t="s">
        <v>77</v>
      </c>
      <c r="D11" s="19">
        <v>2</v>
      </c>
      <c r="E11" s="25">
        <v>41758</v>
      </c>
      <c r="F11" s="25">
        <v>41771</v>
      </c>
      <c r="G11" s="25">
        <v>41771</v>
      </c>
      <c r="H11" s="25">
        <v>41778</v>
      </c>
      <c r="I11" s="76" t="s">
        <v>87</v>
      </c>
      <c r="J11" s="25">
        <v>41770</v>
      </c>
      <c r="K11" s="25">
        <v>41778</v>
      </c>
      <c r="L11" s="25">
        <v>41829</v>
      </c>
      <c r="M11" s="25">
        <v>41872</v>
      </c>
      <c r="N11" s="25">
        <v>41878</v>
      </c>
      <c r="O11" s="25">
        <v>41772</v>
      </c>
      <c r="P11" s="25">
        <v>41778</v>
      </c>
      <c r="Q11" s="25">
        <v>42123</v>
      </c>
      <c r="T11" s="75" t="s">
        <v>76</v>
      </c>
      <c r="U11" s="12">
        <v>42306</v>
      </c>
    </row>
    <row r="12" spans="2:48" ht="18.75" customHeight="1">
      <c r="B12" s="74">
        <v>230</v>
      </c>
      <c r="C12" s="75" t="s">
        <v>77</v>
      </c>
      <c r="D12" s="19">
        <v>3</v>
      </c>
      <c r="E12" s="25">
        <v>41771</v>
      </c>
      <c r="F12" s="25">
        <v>41778</v>
      </c>
      <c r="G12" s="25">
        <v>41778</v>
      </c>
      <c r="H12" s="25">
        <v>41773</v>
      </c>
      <c r="I12" s="76" t="s">
        <v>87</v>
      </c>
      <c r="J12" s="25">
        <v>41783</v>
      </c>
      <c r="K12" s="25">
        <v>41780</v>
      </c>
      <c r="L12" s="25">
        <v>41842</v>
      </c>
      <c r="M12" s="25">
        <v>41841</v>
      </c>
      <c r="N12" s="25">
        <v>41891</v>
      </c>
      <c r="O12" s="25">
        <v>41782</v>
      </c>
      <c r="P12" s="25">
        <v>41785</v>
      </c>
      <c r="Q12" s="25">
        <v>42136</v>
      </c>
      <c r="R12" s="25">
        <v>41961</v>
      </c>
      <c r="S12" s="25">
        <v>41967</v>
      </c>
      <c r="T12" s="75" t="s">
        <v>76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Feuil14"/>
  <dimension ref="B1:AV14"/>
  <sheetViews>
    <sheetView workbookViewId="0">
      <selection activeCell="K22" sqref="K22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6" t="s">
        <v>16</v>
      </c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8"/>
      <c r="M3" s="118"/>
      <c r="N3" s="118"/>
      <c r="O3" s="90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9" t="s">
        <v>58</v>
      </c>
      <c r="E4" s="119"/>
      <c r="F4" s="53">
        <f>$U$14</f>
        <v>42306</v>
      </c>
      <c r="G4" s="50"/>
      <c r="H4" s="50"/>
      <c r="I4" s="34"/>
      <c r="J4" s="50"/>
      <c r="K4" s="50"/>
      <c r="L4" s="91" t="s">
        <v>17</v>
      </c>
      <c r="M4" s="63">
        <f>$B$14</f>
        <v>395</v>
      </c>
      <c r="N4" s="120" t="str">
        <f>$C$14</f>
        <v>PECHEUX Méryl Julien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3" t="s">
        <v>32</v>
      </c>
      <c r="M8" s="93" t="s">
        <v>31</v>
      </c>
      <c r="N8" s="92" t="s">
        <v>33</v>
      </c>
      <c r="O8" s="92" t="s">
        <v>34</v>
      </c>
      <c r="P8" s="92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395</v>
      </c>
      <c r="C10" s="42" t="s">
        <v>105</v>
      </c>
      <c r="D10" s="19">
        <v>1</v>
      </c>
      <c r="E10" s="25">
        <v>41953</v>
      </c>
      <c r="F10" s="25">
        <v>41957</v>
      </c>
      <c r="G10" s="25">
        <v>41957</v>
      </c>
      <c r="H10" s="25">
        <v>41957</v>
      </c>
      <c r="I10" s="87" t="s">
        <v>87</v>
      </c>
      <c r="J10" s="25">
        <v>41965</v>
      </c>
      <c r="K10" s="25">
        <v>41964</v>
      </c>
      <c r="L10" s="25">
        <v>42024</v>
      </c>
      <c r="M10" s="25">
        <v>42018</v>
      </c>
      <c r="N10" s="25">
        <v>42073</v>
      </c>
      <c r="O10" s="25">
        <v>42017</v>
      </c>
      <c r="P10" s="25">
        <v>42018</v>
      </c>
      <c r="Q10" s="25">
        <v>42318</v>
      </c>
      <c r="R10" s="25">
        <v>42139</v>
      </c>
      <c r="S10" s="25">
        <v>42142</v>
      </c>
      <c r="T10" s="42" t="s">
        <v>104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88">
        <v>395</v>
      </c>
      <c r="C11" s="89" t="s">
        <v>105</v>
      </c>
      <c r="D11" s="19">
        <v>2</v>
      </c>
      <c r="E11" s="25">
        <v>41955</v>
      </c>
      <c r="F11" s="25">
        <v>41960</v>
      </c>
      <c r="G11" s="25">
        <v>41960</v>
      </c>
      <c r="H11" s="25">
        <v>41960</v>
      </c>
      <c r="I11" s="94" t="s">
        <v>87</v>
      </c>
      <c r="J11" s="25">
        <v>41967</v>
      </c>
      <c r="K11" s="25">
        <v>41964</v>
      </c>
      <c r="L11" s="25">
        <v>42026</v>
      </c>
      <c r="M11" s="25">
        <v>42020</v>
      </c>
      <c r="N11" s="25">
        <v>42075</v>
      </c>
      <c r="O11" s="25">
        <v>42018</v>
      </c>
      <c r="P11" s="25">
        <v>42020</v>
      </c>
      <c r="Q11" s="25">
        <v>42320</v>
      </c>
      <c r="R11" s="25">
        <v>42150</v>
      </c>
      <c r="S11" s="25">
        <v>42156</v>
      </c>
      <c r="T11" s="89" t="s">
        <v>104</v>
      </c>
      <c r="U11" s="12">
        <v>42306</v>
      </c>
    </row>
    <row r="12" spans="2:48" ht="18.75" customHeight="1">
      <c r="B12" s="88">
        <v>395</v>
      </c>
      <c r="C12" s="89" t="s">
        <v>105</v>
      </c>
      <c r="D12" s="19">
        <v>3</v>
      </c>
      <c r="E12" s="25">
        <v>41956</v>
      </c>
      <c r="F12" s="25">
        <v>41960</v>
      </c>
      <c r="G12" s="25">
        <v>41960</v>
      </c>
      <c r="H12" s="25">
        <v>41960</v>
      </c>
      <c r="I12" s="94" t="s">
        <v>87</v>
      </c>
      <c r="J12" s="25">
        <v>41968</v>
      </c>
      <c r="K12" s="25">
        <v>41968</v>
      </c>
      <c r="L12" s="25">
        <v>42027</v>
      </c>
      <c r="M12" s="25">
        <v>42023</v>
      </c>
      <c r="N12" s="25">
        <v>42076</v>
      </c>
      <c r="O12" s="25">
        <v>41970</v>
      </c>
      <c r="P12" s="25">
        <v>41974</v>
      </c>
      <c r="Q12" s="25">
        <v>42321</v>
      </c>
      <c r="R12" s="25">
        <v>42152</v>
      </c>
      <c r="S12" s="25">
        <v>42156</v>
      </c>
      <c r="T12" s="89" t="s">
        <v>104</v>
      </c>
      <c r="U12" s="12">
        <v>42306</v>
      </c>
    </row>
    <row r="13" spans="2:48" ht="25.5">
      <c r="B13" s="88">
        <v>395</v>
      </c>
      <c r="C13" s="89" t="s">
        <v>105</v>
      </c>
      <c r="D13" s="19">
        <v>4</v>
      </c>
      <c r="E13" s="25">
        <v>41964</v>
      </c>
      <c r="F13" s="25">
        <v>41968</v>
      </c>
      <c r="G13" s="25">
        <v>41968</v>
      </c>
      <c r="H13" s="25">
        <v>41968</v>
      </c>
      <c r="I13" s="94" t="s">
        <v>87</v>
      </c>
      <c r="J13" s="25">
        <v>41976</v>
      </c>
      <c r="K13" s="25">
        <v>41974</v>
      </c>
      <c r="L13" s="25">
        <v>42035</v>
      </c>
      <c r="M13" s="25">
        <v>42026</v>
      </c>
      <c r="N13" s="25">
        <v>42084</v>
      </c>
      <c r="O13" s="25">
        <v>42024</v>
      </c>
      <c r="P13" s="25">
        <v>42026</v>
      </c>
      <c r="Q13" s="25">
        <v>42329</v>
      </c>
      <c r="R13" s="25">
        <v>42167</v>
      </c>
      <c r="S13" s="25">
        <v>42170</v>
      </c>
      <c r="T13" s="89" t="s">
        <v>104</v>
      </c>
      <c r="U13" s="12">
        <v>42306</v>
      </c>
    </row>
    <row r="14" spans="2:48" ht="25.5">
      <c r="B14" s="88">
        <v>395</v>
      </c>
      <c r="C14" s="89" t="s">
        <v>105</v>
      </c>
      <c r="D14" s="19">
        <v>5</v>
      </c>
      <c r="E14" s="25">
        <v>41967</v>
      </c>
      <c r="F14" s="25">
        <v>41968</v>
      </c>
      <c r="G14" s="25">
        <v>41968</v>
      </c>
      <c r="H14" s="25">
        <v>41968</v>
      </c>
      <c r="I14" s="94" t="s">
        <v>87</v>
      </c>
      <c r="J14" s="25">
        <v>41979</v>
      </c>
      <c r="K14" s="25">
        <v>41976</v>
      </c>
      <c r="L14" s="25">
        <v>42038</v>
      </c>
      <c r="M14" s="25">
        <v>42032</v>
      </c>
      <c r="N14" s="25">
        <v>42087</v>
      </c>
      <c r="O14" s="25">
        <v>41975</v>
      </c>
      <c r="P14" s="25">
        <v>41976</v>
      </c>
      <c r="Q14" s="25">
        <v>42332</v>
      </c>
      <c r="T14" s="89" t="s">
        <v>104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Feuil15"/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6" t="s">
        <v>16</v>
      </c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8"/>
      <c r="M3" s="118"/>
      <c r="N3" s="118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9" t="s">
        <v>58</v>
      </c>
      <c r="E4" s="119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229</v>
      </c>
      <c r="N4" s="120" t="str">
        <f>$C$14</f>
        <v>POUS Pierre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229</v>
      </c>
      <c r="C10" s="42" t="s">
        <v>79</v>
      </c>
      <c r="D10" s="19">
        <v>1</v>
      </c>
      <c r="E10" s="25">
        <v>41792</v>
      </c>
      <c r="F10" s="25">
        <v>41800</v>
      </c>
      <c r="G10" s="25">
        <v>41796</v>
      </c>
      <c r="H10" s="25">
        <v>41800</v>
      </c>
      <c r="I10" s="44" t="s">
        <v>92</v>
      </c>
      <c r="J10" s="25">
        <v>41804</v>
      </c>
      <c r="K10" s="25">
        <v>41808</v>
      </c>
      <c r="L10" s="25">
        <v>41863</v>
      </c>
      <c r="M10" s="25">
        <v>41871</v>
      </c>
      <c r="N10" s="25">
        <v>41912</v>
      </c>
      <c r="O10" s="25">
        <v>41890</v>
      </c>
      <c r="P10" s="25">
        <v>41897</v>
      </c>
      <c r="Q10" s="25">
        <v>42157</v>
      </c>
      <c r="R10" s="25"/>
      <c r="S10" s="25"/>
      <c r="T10" s="42" t="s">
        <v>78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74">
        <v>229</v>
      </c>
      <c r="C11" s="75" t="s">
        <v>79</v>
      </c>
      <c r="D11" s="19">
        <v>2</v>
      </c>
      <c r="E11" s="25">
        <v>41821</v>
      </c>
      <c r="F11" s="25">
        <v>41823</v>
      </c>
      <c r="G11" s="25">
        <v>41823</v>
      </c>
      <c r="H11" s="25">
        <v>41823</v>
      </c>
      <c r="I11" s="76" t="s">
        <v>93</v>
      </c>
      <c r="J11" s="25">
        <v>41833</v>
      </c>
      <c r="K11" s="25">
        <v>41877</v>
      </c>
      <c r="L11" s="25">
        <v>41892</v>
      </c>
      <c r="M11" s="25">
        <v>41914</v>
      </c>
      <c r="N11" s="25">
        <v>41941</v>
      </c>
      <c r="O11" s="25">
        <v>41892</v>
      </c>
      <c r="P11" s="25">
        <v>41897</v>
      </c>
      <c r="Q11" s="25">
        <v>42186</v>
      </c>
      <c r="T11" s="75" t="s">
        <v>78</v>
      </c>
      <c r="U11" s="12">
        <v>42306</v>
      </c>
    </row>
    <row r="12" spans="2:48" ht="18.75" customHeight="1">
      <c r="B12" s="74">
        <v>229</v>
      </c>
      <c r="C12" s="75" t="s">
        <v>79</v>
      </c>
      <c r="D12" s="19">
        <v>3</v>
      </c>
      <c r="E12" s="25">
        <v>41823</v>
      </c>
      <c r="F12" s="25">
        <v>41827</v>
      </c>
      <c r="G12" s="25">
        <v>41827</v>
      </c>
      <c r="H12" s="25">
        <v>41827</v>
      </c>
      <c r="I12" s="76" t="s">
        <v>95</v>
      </c>
      <c r="J12" s="25">
        <v>41835</v>
      </c>
      <c r="L12" s="25">
        <v>41894</v>
      </c>
      <c r="M12" s="25">
        <v>41914</v>
      </c>
      <c r="N12" s="25">
        <v>41943</v>
      </c>
      <c r="O12" s="25">
        <v>41893</v>
      </c>
      <c r="P12" s="25">
        <v>41897</v>
      </c>
      <c r="Q12" s="25">
        <v>42188</v>
      </c>
      <c r="T12" s="75" t="s">
        <v>78</v>
      </c>
      <c r="U12" s="12">
        <v>42306</v>
      </c>
    </row>
    <row r="13" spans="2:48" ht="25.5">
      <c r="B13" s="88">
        <v>229</v>
      </c>
      <c r="C13" s="89" t="s">
        <v>79</v>
      </c>
      <c r="D13" s="19">
        <v>4</v>
      </c>
      <c r="E13" s="25">
        <v>41913</v>
      </c>
      <c r="F13" s="25">
        <v>41918</v>
      </c>
      <c r="H13" s="25">
        <v>41918</v>
      </c>
      <c r="I13" s="76" t="s">
        <v>87</v>
      </c>
      <c r="J13" s="25">
        <v>41925</v>
      </c>
      <c r="L13" s="25">
        <v>41984</v>
      </c>
      <c r="N13" s="25">
        <v>42033</v>
      </c>
      <c r="Q13" s="25">
        <v>42278</v>
      </c>
      <c r="T13" s="89" t="s">
        <v>78</v>
      </c>
      <c r="U13" s="12">
        <v>42306</v>
      </c>
    </row>
    <row r="14" spans="2:48" ht="25.5">
      <c r="B14" s="88">
        <v>229</v>
      </c>
      <c r="C14" s="89" t="s">
        <v>79</v>
      </c>
      <c r="D14" s="19">
        <v>5</v>
      </c>
      <c r="E14" s="25">
        <v>41918</v>
      </c>
      <c r="F14" s="25">
        <v>41920</v>
      </c>
      <c r="H14" s="25">
        <v>41920</v>
      </c>
      <c r="I14" s="76" t="s">
        <v>87</v>
      </c>
      <c r="J14" s="25">
        <v>41930</v>
      </c>
      <c r="L14" s="25">
        <v>41989</v>
      </c>
      <c r="N14" s="25">
        <v>42038</v>
      </c>
      <c r="Q14" s="25">
        <v>42283</v>
      </c>
      <c r="T14" s="89" t="s">
        <v>78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Feuil16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6" t="s">
        <v>16</v>
      </c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8"/>
      <c r="M3" s="118"/>
      <c r="N3" s="118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9" t="s">
        <v>58</v>
      </c>
      <c r="E4" s="119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238</v>
      </c>
      <c r="N4" s="120" t="str">
        <f>$C$14</f>
        <v>RUER Mireille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7" t="s">
        <v>19</v>
      </c>
      <c r="F7" s="108"/>
      <c r="G7" s="108"/>
      <c r="H7" s="108"/>
      <c r="I7" s="108"/>
      <c r="J7" s="109" t="s">
        <v>20</v>
      </c>
      <c r="K7" s="110"/>
      <c r="L7" s="111" t="s">
        <v>21</v>
      </c>
      <c r="M7" s="111"/>
      <c r="N7" s="112" t="s">
        <v>22</v>
      </c>
      <c r="O7" s="113"/>
      <c r="P7" s="114"/>
      <c r="Q7" s="115" t="s">
        <v>23</v>
      </c>
      <c r="R7" s="113"/>
      <c r="S7" s="11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238</v>
      </c>
      <c r="C10" s="42" t="s">
        <v>81</v>
      </c>
      <c r="D10" s="19">
        <v>1</v>
      </c>
      <c r="E10" s="25">
        <v>41786</v>
      </c>
      <c r="F10" s="25">
        <v>41816</v>
      </c>
      <c r="G10" s="25">
        <v>41816</v>
      </c>
      <c r="H10" s="25">
        <v>41813</v>
      </c>
      <c r="I10" s="44" t="s">
        <v>94</v>
      </c>
      <c r="J10" s="25">
        <v>41798</v>
      </c>
      <c r="K10" s="25">
        <v>41813</v>
      </c>
      <c r="L10" s="25">
        <v>41857</v>
      </c>
      <c r="M10" s="25">
        <v>41813</v>
      </c>
      <c r="N10" s="25">
        <v>41906</v>
      </c>
      <c r="O10" s="25">
        <v>41810</v>
      </c>
      <c r="P10" s="25">
        <v>41816</v>
      </c>
      <c r="Q10" s="25">
        <v>42151</v>
      </c>
      <c r="R10" s="25"/>
      <c r="S10" s="25"/>
      <c r="T10" s="42" t="s">
        <v>80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.75" customHeight="1">
      <c r="B11" s="74">
        <v>238</v>
      </c>
      <c r="C11" s="75" t="s">
        <v>81</v>
      </c>
      <c r="D11" s="19">
        <v>2</v>
      </c>
      <c r="E11" s="25">
        <v>41815</v>
      </c>
      <c r="F11" s="25">
        <v>41820</v>
      </c>
      <c r="G11" s="25">
        <v>41820</v>
      </c>
      <c r="I11" s="76" t="s">
        <v>57</v>
      </c>
      <c r="J11" s="25">
        <v>41827</v>
      </c>
      <c r="K11" s="25">
        <v>41831</v>
      </c>
      <c r="L11" s="25">
        <v>41886</v>
      </c>
      <c r="M11" s="25">
        <v>41886</v>
      </c>
      <c r="N11" s="25">
        <v>41935</v>
      </c>
      <c r="O11" s="25">
        <v>41857</v>
      </c>
      <c r="P11" s="25">
        <v>41863</v>
      </c>
      <c r="Q11" s="25">
        <v>42180</v>
      </c>
      <c r="T11" s="75" t="s">
        <v>80</v>
      </c>
      <c r="U11" s="12">
        <v>42306</v>
      </c>
    </row>
    <row r="12" spans="2:48" ht="18.75" customHeight="1">
      <c r="B12" s="74">
        <v>238</v>
      </c>
      <c r="C12" s="75" t="s">
        <v>81</v>
      </c>
      <c r="D12" s="19">
        <v>3</v>
      </c>
      <c r="E12" s="25">
        <v>41872</v>
      </c>
      <c r="F12" s="25">
        <v>41876</v>
      </c>
      <c r="G12" s="25">
        <v>41876</v>
      </c>
      <c r="H12" s="25">
        <v>41883</v>
      </c>
      <c r="I12" s="76" t="s">
        <v>87</v>
      </c>
      <c r="J12" s="25">
        <v>41884</v>
      </c>
      <c r="K12" s="25">
        <v>41883</v>
      </c>
      <c r="L12" s="25">
        <v>41943</v>
      </c>
      <c r="M12" s="25">
        <v>41939</v>
      </c>
      <c r="N12" s="25">
        <v>41992</v>
      </c>
      <c r="Q12" s="25">
        <v>42237</v>
      </c>
      <c r="T12" s="75" t="s">
        <v>80</v>
      </c>
      <c r="U12" s="12">
        <v>42306</v>
      </c>
    </row>
    <row r="13" spans="2:48" ht="25.5">
      <c r="B13" s="85">
        <v>238</v>
      </c>
      <c r="C13" s="86" t="s">
        <v>81</v>
      </c>
      <c r="D13" s="19">
        <v>4</v>
      </c>
      <c r="E13" s="25">
        <v>41968</v>
      </c>
      <c r="F13" s="25">
        <v>41970</v>
      </c>
      <c r="G13" s="25">
        <v>41970</v>
      </c>
      <c r="H13" s="25">
        <v>41976</v>
      </c>
      <c r="I13" s="87" t="s">
        <v>113</v>
      </c>
      <c r="J13" s="25">
        <v>41980</v>
      </c>
      <c r="K13" s="25">
        <v>41984</v>
      </c>
      <c r="L13" s="25">
        <v>42039</v>
      </c>
      <c r="M13" s="25">
        <v>42037</v>
      </c>
      <c r="N13" s="25">
        <v>42088</v>
      </c>
      <c r="O13" s="25">
        <v>42062</v>
      </c>
      <c r="P13" s="25">
        <v>42114</v>
      </c>
      <c r="Q13" s="25">
        <v>42333</v>
      </c>
      <c r="R13" s="25">
        <v>42032</v>
      </c>
      <c r="S13" s="25">
        <v>42037</v>
      </c>
      <c r="T13" s="86" t="s">
        <v>80</v>
      </c>
      <c r="U13" s="12">
        <v>42306</v>
      </c>
    </row>
    <row r="14" spans="2:48" ht="25.5">
      <c r="B14" s="85">
        <v>238</v>
      </c>
      <c r="C14" s="86" t="s">
        <v>81</v>
      </c>
      <c r="D14" s="19">
        <v>5</v>
      </c>
      <c r="I14" s="87" t="s">
        <v>57</v>
      </c>
      <c r="T14" s="86" t="s">
        <v>80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17</vt:i4>
      </vt:variant>
    </vt:vector>
  </HeadingPairs>
  <TitlesOfParts>
    <vt:vector size="17" baseType="lpstr">
      <vt:lpstr>Secteur DE0405</vt:lpstr>
      <vt:lpstr>00223085</vt:lpstr>
      <vt:lpstr>01212750</vt:lpstr>
      <vt:lpstr>03478055</vt:lpstr>
      <vt:lpstr>03088508</vt:lpstr>
      <vt:lpstr>03297205</vt:lpstr>
      <vt:lpstr>00072920</vt:lpstr>
      <vt:lpstr>04549922</vt:lpstr>
      <vt:lpstr>04392219</vt:lpstr>
      <vt:lpstr>02429046</vt:lpstr>
      <vt:lpstr>05798480</vt:lpstr>
      <vt:lpstr>05983076</vt:lpstr>
      <vt:lpstr>06180289</vt:lpstr>
      <vt:lpstr>06878103</vt:lpstr>
      <vt:lpstr>07112636</vt:lpstr>
      <vt:lpstr>07513494</vt:lpstr>
      <vt:lpstr>08150730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2015-10-29T22:03:11Z</dcterms:modified>
</cp:coreProperties>
</file>