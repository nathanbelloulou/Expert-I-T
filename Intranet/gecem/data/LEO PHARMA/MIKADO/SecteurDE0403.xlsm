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6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403" sheetId="1" r:id="rId1"/>
    <sheet name="00068390" sheetId="12" r:id="rId2"/>
    <sheet name="00800016" sheetId="7" r:id="rId3"/>
    <sheet name="01464365" sheetId="11" r:id="rId4"/>
    <sheet name="03336290" sheetId="5" r:id="rId5"/>
    <sheet name="04025420" sheetId="9" r:id="rId6"/>
    <sheet name="03566256" sheetId="8" r:id="rId7"/>
    <sheet name="04373568" sheetId="2" r:id="rId8"/>
    <sheet name="09177363" sheetId="14" r:id="rId9"/>
    <sheet name="04410140" sheetId="6" r:id="rId10"/>
    <sheet name="06304849" sheetId="3" r:id="rId11"/>
    <sheet name="08104732" sheetId="4" r:id="rId12"/>
    <sheet name="06580225" sheetId="15" r:id="rId13"/>
    <sheet name="07063728" sheetId="10" r:id="rId14"/>
    <sheet name="07798228" sheetId="13" r:id="rId15"/>
    <sheet name="01026655" sheetId="16" r:id="rId16"/>
  </sheets>
  <definedNames>
    <definedName name="Lancer_la_requête_à_partir_de_MS_Access_Database" localSheetId="1" hidden="1">'00068390'!$B$9:$U$12</definedName>
    <definedName name="Lancer_la_requête_à_partir_de_MS_Access_Database" localSheetId="2" hidden="1">'00800016'!$B$9:$U$14</definedName>
    <definedName name="Lancer_la_requête_à_partir_de_MS_Access_Database" localSheetId="15" hidden="1">'01026655'!$B$9:$U$12</definedName>
    <definedName name="Lancer_la_requête_à_partir_de_MS_Access_Database" localSheetId="3" hidden="1">'01464365'!$B$9:$U$12</definedName>
    <definedName name="Lancer_la_requête_à_partir_de_MS_Access_Database" localSheetId="4" hidden="1">'03336290'!$B$9:$U$12</definedName>
    <definedName name="Lancer_la_requête_à_partir_de_MS_Access_Database" localSheetId="6" hidden="1">'03566256'!$B$9:$U$12</definedName>
    <definedName name="Lancer_la_requête_à_partir_de_MS_Access_Database" localSheetId="5" hidden="1">'04025420'!$B$9:$U$14</definedName>
    <definedName name="Lancer_la_requête_à_partir_de_MS_Access_Database" localSheetId="7" hidden="1">'04373568'!$B$9:$U$14</definedName>
    <definedName name="Lancer_la_requête_à_partir_de_MS_Access_Database" localSheetId="9" hidden="1">'04410140'!$B$9:$U$12</definedName>
    <definedName name="Lancer_la_requête_à_partir_de_MS_Access_Database" localSheetId="10" hidden="1">'06304849'!$B$9:$U$12</definedName>
    <definedName name="Lancer_la_requête_à_partir_de_MS_Access_Database" localSheetId="12" hidden="1">'06580225'!$B$9:$U$12</definedName>
    <definedName name="Lancer_la_requête_à_partir_de_MS_Access_Database" localSheetId="13" hidden="1">'07063728'!$B$9:$U$12</definedName>
    <definedName name="Lancer_la_requête_à_partir_de_MS_Access_Database" localSheetId="14" hidden="1">'07798228'!$B$9:$U$12</definedName>
    <definedName name="Lancer_la_requête_à_partir_de_MS_Access_Database" localSheetId="11" hidden="1">'08104732'!$B$9:$U$14</definedName>
    <definedName name="Lancer_la_requête_à_partir_de_MS_Access_Database" localSheetId="8" hidden="1">'09177363'!$B$9:$U$12</definedName>
    <definedName name="Lancer_la_requête_à_partir_de_MS_Access_Database_1" localSheetId="0" hidden="1">'Secteur DE0403'!$A$7:$K$22</definedName>
  </definedNames>
  <calcPr calcId="125725"/>
</workbook>
</file>

<file path=xl/calcChain.xml><?xml version="1.0" encoding="utf-8"?>
<calcChain xmlns="http://schemas.openxmlformats.org/spreadsheetml/2006/main">
  <c r="D23" i="1"/>
  <c r="E23"/>
  <c r="F23"/>
  <c r="G23"/>
  <c r="H23"/>
  <c r="I23"/>
  <c r="N4" i="16"/>
  <c r="M4"/>
  <c r="F4"/>
  <c r="N4" i="15"/>
  <c r="M4"/>
  <c r="F4"/>
  <c r="N4" i="14"/>
  <c r="M4"/>
  <c r="F4"/>
  <c r="N4" i="13"/>
  <c r="M4"/>
  <c r="F4"/>
  <c r="N4" i="12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6"/>
  <c r="M4"/>
  <c r="F4"/>
  <c r="N4" i="5" l="1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403')_x000d__x000a_ORDER BY Req_REPORT_SECTEURS_GLOBAL.Medecin"/>
  </connection>
  <connection id="2" name="Lancer la requête à partir de MS Access Database000683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068390')"/>
  </connection>
  <connection id="3" name="Lancer la requête à partir de MS Access Database0080001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800016')"/>
  </connection>
  <connection id="4" name="Lancer la requête à partir de MS Access Database0102665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026655')"/>
  </connection>
  <connection id="5" name="Lancer la requête à partir de MS Access Database0146436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464365')"/>
  </connection>
  <connection id="6" name="Lancer la requête à partir de MS Access Database033362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336290')"/>
  </connection>
  <connection id="7" name="Lancer la requête à partir de MS Access Database0356625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566256')"/>
  </connection>
  <connection id="8" name="Lancer la requête à partir de MS Access Database040254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025420')"/>
  </connection>
  <connection id="9" name="Lancer la requête à partir de MS Access Database0437356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373568')"/>
  </connection>
  <connection id="10" name="Lancer la requête à partir de MS Access Database0441014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410140')"/>
  </connection>
  <connection id="11" name="Lancer la requête à partir de MS Access Database0630484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304849')"/>
  </connection>
  <connection id="12" name="Lancer la requête à partir de MS Access Database0658022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580225')"/>
  </connection>
  <connection id="13" name="Lancer la requête à partir de MS Access Database0706372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063728')"/>
  </connection>
  <connection id="14" name="Lancer la requête à partir de MS Access Database0779822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798228')"/>
  </connection>
  <connection id="15" name="Lancer la requête à partir de MS Access Database0810473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104732')"/>
  </connection>
  <connection id="16" name="Lancer la requête à partir de MS Access Database0917736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177363')"/>
  </connection>
</connections>
</file>

<file path=xl/sharedStrings.xml><?xml version="1.0" encoding="utf-8"?>
<sst xmlns="http://schemas.openxmlformats.org/spreadsheetml/2006/main" count="934" uniqueCount="107">
  <si>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</si>
  <si>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</si>
  <si>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</si>
  <si>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</si>
  <si>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</si>
  <si>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</si>
  <si>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</si>
  <si>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</si>
  <si>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</si>
  <si>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</si>
  <si>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</si>
  <si>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</si>
  <si>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</si>
  <si>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</si>
  <si>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</si>
  <si>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</si>
  <si>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</si>
  <si>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</si>
  <si>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</si>
  <si>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</si>
  <si>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</si>
  <si>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</si>
  <si>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</si>
  <si>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</si>
  <si>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</si>
  <si>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</si>
  <si>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</si>
  <si>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</si>
  <si>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</si>
  <si>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</si>
  <si>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</si>
  <si>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</si>
  <si>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</si>
  <si>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</si>
  <si>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</si>
  <si>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</si>
  <si>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</si>
  <si>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</si>
  <si>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</si>
  <si>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</si>
  <si>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</si>
  <si>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</si>
  <si>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</si>
  <si>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</si>
  <si>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</si>
  <si>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</si>
  <si>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</si>
  <si>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</si>
  <si>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</si>
  <si>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</si>
  <si>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</si>
  <si>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</si>
  <si>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</si>
  <si>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</si>
  <si>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</si>
  <si>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</si>
  <si>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</si>
  <si>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</si>
  <si>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</si>
  <si>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DE0403</t>
  </si>
  <si>
    <t>BORNE Francine</t>
  </si>
  <si>
    <t>WFRM04373568</t>
  </si>
  <si>
    <t>GUILLOT Christine</t>
  </si>
  <si>
    <t>WFRM06304849</t>
  </si>
  <si>
    <t>MARTIN-DESNOYERS Sylvie</t>
  </si>
  <si>
    <t>WFRM08104732</t>
  </si>
  <si>
    <t>MESANA Joëlle</t>
  </si>
  <si>
    <t>EVRARD Jean-Marc</t>
  </si>
  <si>
    <t>WFRM03336290</t>
  </si>
  <si>
    <t>WFRM04410140</t>
  </si>
  <si>
    <t>GUYADER Laurent</t>
  </si>
  <si>
    <t>WFRM00800016</t>
  </si>
  <si>
    <t>BERAUD Valérie</t>
  </si>
  <si>
    <t>WFRM03566256</t>
  </si>
  <si>
    <t>GRAMMATICO Didier</t>
  </si>
  <si>
    <t>SMS</t>
  </si>
  <si>
    <t>Via médecin</t>
  </si>
  <si>
    <t>SMS - Téléphone</t>
  </si>
  <si>
    <t>WFRM04025420</t>
  </si>
  <si>
    <t>GIRARD-GUENARD Raymonde</t>
  </si>
  <si>
    <t>Courrier 22août : envoi courrier pour relance à faire patients 1556 &amp; 1557 n'ont pas renvoyé leur auto-questionnaire 2 mois.</t>
  </si>
  <si>
    <t>04sept:Viens à peine de rentrer de vacances. Il  a prévu d'inclure des patients d'ici fin octobre.</t>
  </si>
  <si>
    <t>09sept14: a inclus 2 patients, veut bien 3 CRFs supplémentaires</t>
  </si>
  <si>
    <t>11sept: Il fait encore beau dans sa région et n'a toujours pas repris la prescription du picato. Va essayer d'en inclure d'ici fin octobre.</t>
  </si>
  <si>
    <t>Mail - Téléphone</t>
  </si>
  <si>
    <t>Mail</t>
  </si>
  <si>
    <t>Mail - Courrier</t>
  </si>
  <si>
    <t>WFRM07063728</t>
  </si>
  <si>
    <t>PASCAL Jacques</t>
  </si>
  <si>
    <t>WFRM01464365</t>
  </si>
  <si>
    <t>BRUTIN Jean-Ludovic</t>
  </si>
  <si>
    <t>WFRM00068390</t>
  </si>
  <si>
    <t>ALBENOIS Marie-Christine</t>
  </si>
  <si>
    <t>WFRM07798228</t>
  </si>
  <si>
    <t>REY-GOMEZ Anne-Christine</t>
  </si>
  <si>
    <t>WFRM09177363</t>
  </si>
  <si>
    <t>HUGUES HANNA Anne-Marie</t>
  </si>
  <si>
    <t>WFRM06580225</t>
  </si>
  <si>
    <t>12novembre : Le Dr HUGUES a bien reçu la Newsletter n°2 mais n'a pas reçu encore le kit pour inclure les patients et demande si ce n'est pas trop tard =&gt; le kit va lui être remis bientôt et oui il n'est pas trop tard pour participer et inclure des patient</t>
  </si>
  <si>
    <t>MONIN-MURACCIOLE Anne</t>
  </si>
  <si>
    <t>BOMART Joëlle</t>
  </si>
  <si>
    <t>WFRM01026655</t>
  </si>
  <si>
    <t>12nov: souhaite 2 nv cahiers envoyés ce jour</t>
  </si>
  <si>
    <t>Courrier - Téléphone</t>
  </si>
  <si>
    <t>Reste 2 patients à inclure</t>
  </si>
  <si>
    <t>Colonne1</t>
  </si>
  <si>
    <t>04mars: ne veut pas renvoyer la visite d'inclusion, ne l'a pas complété et ne souhaite pas le faire.</t>
  </si>
</sst>
</file>

<file path=xl/styles.xml><?xml version="1.0" encoding="utf-8"?>
<styleSheet xmlns="http://schemas.openxmlformats.org/spreadsheetml/2006/main">
  <numFmts count="1">
    <numFmt numFmtId="164" formatCode="dd/mm/yy;@"/>
  </numFmts>
  <fonts count="29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6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164" fontId="0" fillId="0" borderId="0" xfId="0" applyNumberFormat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5" fillId="2" borderId="0" xfId="1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164" fontId="4" fillId="2" borderId="0" xfId="1" applyNumberFormat="1" applyFont="1" applyFill="1" applyAlignment="1">
      <alignment horizontal="center" vertical="center"/>
    </xf>
    <xf numFmtId="164" fontId="5" fillId="2" borderId="0" xfId="1" applyNumberFormat="1" applyFont="1" applyFill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5" fillId="2" borderId="0" xfId="1" applyFont="1" applyFill="1" applyAlignment="1">
      <alignment horizontal="left" vertical="center" wrapText="1"/>
    </xf>
    <xf numFmtId="164" fontId="5" fillId="2" borderId="0" xfId="1" applyNumberFormat="1" applyFont="1" applyFill="1" applyAlignment="1">
      <alignment horizontal="left" vertical="center"/>
    </xf>
    <xf numFmtId="0" fontId="6" fillId="2" borderId="0" xfId="1" applyFont="1" applyFill="1" applyAlignment="1">
      <alignment horizontal="left" vertical="center"/>
    </xf>
    <xf numFmtId="164" fontId="7" fillId="3" borderId="0" xfId="1" applyNumberFormat="1" applyFont="1" applyFill="1" applyAlignment="1">
      <alignment horizontal="right" vertical="center"/>
    </xf>
    <xf numFmtId="164" fontId="7" fillId="3" borderId="0" xfId="1" applyNumberFormat="1" applyFont="1" applyFill="1" applyAlignment="1">
      <alignment horizontal="left" vertical="center"/>
    </xf>
    <xf numFmtId="14" fontId="7" fillId="3" borderId="0" xfId="1" applyNumberFormat="1" applyFont="1" applyFill="1" applyAlignment="1">
      <alignment horizontal="center" vertical="center"/>
    </xf>
    <xf numFmtId="0" fontId="7" fillId="0" borderId="0" xfId="1" applyFont="1" applyFill="1" applyAlignment="1">
      <alignment vertical="center"/>
    </xf>
    <xf numFmtId="0" fontId="7" fillId="0" borderId="0" xfId="1" applyFont="1" applyFill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0" fontId="9" fillId="2" borderId="0" xfId="0" applyFont="1" applyFill="1" applyBorder="1" applyAlignment="1">
      <alignment horizontal="right" vertical="center"/>
    </xf>
    <xf numFmtId="164" fontId="9" fillId="2" borderId="0" xfId="0" applyNumberFormat="1" applyFont="1" applyFill="1" applyBorder="1" applyAlignment="1">
      <alignment horizontal="left" vertical="center"/>
    </xf>
    <xf numFmtId="0" fontId="5" fillId="2" borderId="0" xfId="1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left" vertical="center"/>
    </xf>
    <xf numFmtId="164" fontId="5" fillId="2" borderId="0" xfId="1" applyNumberFormat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left" vertical="center" wrapText="1"/>
    </xf>
    <xf numFmtId="164" fontId="5" fillId="2" borderId="0" xfId="1" applyNumberFormat="1" applyFont="1" applyFill="1" applyBorder="1" applyAlignment="1">
      <alignment horizontal="left" vertical="center"/>
    </xf>
    <xf numFmtId="0" fontId="5" fillId="2" borderId="0" xfId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164" fontId="0" fillId="0" borderId="0" xfId="0" applyNumberFormat="1" applyAlignment="1">
      <alignment vertical="center"/>
    </xf>
    <xf numFmtId="0" fontId="11" fillId="0" borderId="0" xfId="2" applyAlignment="1" applyProtection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vertical="center" wrapText="1"/>
    </xf>
    <xf numFmtId="1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22" fontId="0" fillId="0" borderId="0" xfId="0" applyNumberFormat="1" applyBorder="1" applyAlignment="1">
      <alignment vertical="center" wrapText="1"/>
    </xf>
    <xf numFmtId="164" fontId="0" fillId="0" borderId="0" xfId="0" applyNumberFormat="1" applyBorder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22" fontId="0" fillId="0" borderId="0" xfId="0" applyNumberFormat="1" applyAlignment="1">
      <alignment vertical="center"/>
    </xf>
    <xf numFmtId="22" fontId="0" fillId="0" borderId="0" xfId="0" applyNumberFormat="1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22" fontId="0" fillId="0" borderId="0" xfId="0" applyNumberFormat="1" applyAlignment="1">
      <alignment vertical="center"/>
    </xf>
    <xf numFmtId="22" fontId="0" fillId="0" borderId="0" xfId="0" applyNumberFormat="1" applyAlignment="1">
      <alignment vertical="center" wrapText="1"/>
    </xf>
    <xf numFmtId="0" fontId="0" fillId="11" borderId="0" xfId="0" applyFill="1" applyAlignment="1">
      <alignment vertical="center"/>
    </xf>
    <xf numFmtId="0" fontId="11" fillId="11" borderId="0" xfId="2" applyFill="1" applyAlignment="1" applyProtection="1">
      <alignment horizontal="center" vertical="center"/>
    </xf>
    <xf numFmtId="22" fontId="0" fillId="11" borderId="0" xfId="0" applyNumberFormat="1" applyFill="1" applyAlignment="1">
      <alignment vertical="center"/>
    </xf>
    <xf numFmtId="164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vertical="center"/>
    </xf>
    <xf numFmtId="0" fontId="28" fillId="12" borderId="5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345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64" formatCode="dd/mm/yy;@"/>
      <alignment horizontal="general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alignment horizontal="general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64" formatCode="dd/mm/yy;@"/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justifyLastLine="0" shrinkToFit="0" mergeCell="0" readingOrder="0"/>
    </dxf>
    <dxf>
      <alignment vertical="center" textRotation="0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344"/>
      <tableStyleElement type="headerRow" dxfId="343"/>
      <tableStyleElement type="totalRow" dxfId="342"/>
      <tableStyleElement type="firstColumn" dxfId="341"/>
      <tableStyleElement type="lastColumn" dxfId="340"/>
      <tableStyleElement type="firstRowStripe" dxfId="339"/>
      <tableStyleElement type="secondRowStripe" dxfId="338"/>
      <tableStyleElement type="firstColumnStripe" dxfId="337"/>
      <tableStyleElement type="secondColumnStripe" dxfId="336"/>
    </tableStyle>
    <tableStyle name="TableStyleLight8 2" pivot="0" count="9">
      <tableStyleElement type="wholeTable" dxfId="335"/>
      <tableStyleElement type="headerRow" dxfId="334"/>
      <tableStyleElement type="totalRow" dxfId="333"/>
      <tableStyleElement type="firstColumn" dxfId="332"/>
      <tableStyleElement type="lastColumn" dxfId="331"/>
      <tableStyleElement type="firstRowStripe" dxfId="330"/>
      <tableStyleElement type="secondRowStripe" dxfId="329"/>
      <tableStyleElement type="firstColumnStripe" dxfId="328"/>
      <tableStyleElement type="secondColumnStripe" dxfId="327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3" tableType="queryTable" totalsRowCount="1" headerRowDxfId="326" dataDxfId="325" totalsRowDxfId="324">
  <tableColumns count="12">
    <tableColumn id="1" uniqueName="1" name="Code Secteur" queryTableFieldId="1" dataDxfId="311" totalsRowDxfId="312"/>
    <tableColumn id="2" uniqueName="2" name="VM" queryTableFieldId="2" dataDxfId="310" totalsRowDxfId="313"/>
    <tableColumn id="3" uniqueName="3" name="Code médecin" totalsRowLabel="TOTAL" queryTableFieldId="3" dataDxfId="309" totalsRowDxfId="314" dataCellStyle="Lien hypertexte"/>
    <tableColumn id="4" uniqueName="4" name="Medecin" totalsRowFunction="custom" queryTableFieldId="4" dataDxfId="308" totalsRowDxfId="315">
      <totalsRowFormula>SUBTOTAL(3,D8:D22)</totalsRowFormula>
    </tableColumn>
    <tableColumn id="5" uniqueName="5" name="Date de réception convention financière" totalsRowFunction="custom" queryTableFieldId="5" dataDxfId="307" totalsRowDxfId="316">
      <totalsRowFormula>SUBTOTAL(3,[Date de réception convention financière])</totalsRowFormula>
    </tableColumn>
    <tableColumn id="6" uniqueName="6" name="Date de réception AR kit" totalsRowFunction="custom" queryTableFieldId="6" dataDxfId="306" totalsRowDxfId="317">
      <totalsRowFormula>SUBTOTAL(3,[Date de réception AR kit])</totalsRowFormula>
    </tableColumn>
    <tableColumn id="7" uniqueName="7" name="Date de MEP" totalsRowFunction="custom" queryTableFieldId="7" dataDxfId="305" totalsRowDxfId="318">
      <totalsRowFormula>SUBTOTAL(3,[Date de MEP])</totalsRowFormula>
    </tableColumn>
    <tableColumn id="8" uniqueName="8" name="Desistement" totalsRowFunction="custom" queryTableFieldId="8" dataDxfId="304" totalsRowDxfId="319">
      <totalsRowFormula>SUBTOTAL(3,[Desistement])</totalsRowFormula>
    </tableColumn>
    <tableColumn id="9" uniqueName="9" name="Nb Total Patients inclus" totalsRowFunction="custom" queryTableFieldId="9" dataDxfId="303" totalsRowDxfId="320">
      <totalsRowFormula>SUBTOTAL(109,I8:I22)</totalsRowFormula>
    </tableColumn>
    <tableColumn id="10" uniqueName="10" name="Comptes-rendus contact médecin-GECEM" queryTableFieldId="10" dataDxfId="302" totalsRowDxfId="321"/>
    <tableColumn id="11" uniqueName="11" name="Date" queryTableFieldId="11" dataDxfId="301" totalsRowDxfId="322"/>
    <tableColumn id="12" uniqueName="12" name="Colonne1" queryTableFieldId="12" dataDxfId="300" totalsRowDxfId="323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2" name="Tableau_Lancer_la_requête_à_partir_de_MS_Access_Database45813" displayName="Tableau_Lancer_la_requête_à_partir_de_MS_Access_Database45813" ref="B9:U12" tableType="queryTable" totalsRowShown="0">
  <autoFilter ref="B9:U12"/>
  <tableColumns count="20">
    <tableColumn id="1" uniqueName="1" name="Num_Centre" queryTableFieldId="1" dataDxfId="299"/>
    <tableColumn id="2" uniqueName="2" name="Investigateur" queryTableFieldId="2" dataDxfId="298"/>
    <tableColumn id="3" uniqueName="3" name="Num_Patient" queryTableFieldId="3" dataDxfId="297"/>
    <tableColumn id="4" uniqueName="4" name="INCLUSION_Visite" queryTableFieldId="4" dataDxfId="296"/>
    <tableColumn id="5" uniqueName="5" name="INCLUSION_Reception" queryTableFieldId="5" dataDxfId="295"/>
    <tableColumn id="6" uniqueName="6" name="AQINCLUSION_Reception" queryTableFieldId="6" dataDxfId="294"/>
    <tableColumn id="7" uniqueName="7" name="CONTACT_Reception" queryTableFieldId="7" dataDxfId="293"/>
    <tableColumn id="8" uniqueName="8" name="TypeRappel" queryTableFieldId="8" dataDxfId="292"/>
    <tableColumn id="9" uniqueName="9" name="AQ7Theo" queryTableFieldId="9" dataDxfId="291"/>
    <tableColumn id="10" uniqueName="10" name="AQJ7_Reception" queryTableFieldId="10" dataDxfId="290"/>
    <tableColumn id="11" uniqueName="11" name="AQ_M2_Theo" queryTableFieldId="11" dataDxfId="289"/>
    <tableColumn id="12" uniqueName="12" name="AQM2_Reception" queryTableFieldId="12" dataDxfId="288"/>
    <tableColumn id="13" uniqueName="13" name="VP_Theo" queryTableFieldId="13" dataDxfId="287"/>
    <tableColumn id="14" uniqueName="14" name="PRECOCE_Visite" queryTableFieldId="14" dataDxfId="286"/>
    <tableColumn id="15" uniqueName="15" name="PRECOCE_Reception" queryTableFieldId="15" dataDxfId="285"/>
    <tableColumn id="16" uniqueName="16" name="VT_Theo" queryTableFieldId="16" dataDxfId="284"/>
    <tableColumn id="17" uniqueName="17" name="TARDIF_Visite" queryTableFieldId="17" dataDxfId="283"/>
    <tableColumn id="18" uniqueName="18" name="TARDIF_Reception" queryTableFieldId="18" dataDxfId="282"/>
    <tableColumn id="19" uniqueName="19" name="Onekey" queryTableFieldId="19" dataDxfId="281"/>
    <tableColumn id="20" uniqueName="20" name="Date" queryTableFieldId="20" dataDxfId="28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7" name="Tableau_Lancer_la_requête_à_partir_de_MS_Access_Database458" displayName="Tableau_Lancer_la_requête_à_partir_de_MS_Access_Database458" ref="B9:U14" tableType="queryTable" totalsRowShown="0">
  <autoFilter ref="B9:U14"/>
  <tableColumns count="20">
    <tableColumn id="1" uniqueName="1" name="Num_Centre" queryTableFieldId="1" dataDxfId="279"/>
    <tableColumn id="2" uniqueName="2" name="Investigateur" queryTableFieldId="2" dataDxfId="278"/>
    <tableColumn id="3" uniqueName="3" name="Num_Patient" queryTableFieldId="3" dataDxfId="277"/>
    <tableColumn id="4" uniqueName="4" name="INCLUSION_Visite" queryTableFieldId="4" dataDxfId="276"/>
    <tableColumn id="5" uniqueName="5" name="INCLUSION_Reception" queryTableFieldId="5" dataDxfId="275"/>
    <tableColumn id="6" uniqueName="6" name="AQINCLUSION_Reception" queryTableFieldId="6" dataDxfId="274"/>
    <tableColumn id="7" uniqueName="7" name="CONTACT_Reception" queryTableFieldId="7" dataDxfId="273"/>
    <tableColumn id="8" uniqueName="8" name="TypeRappel" queryTableFieldId="8" dataDxfId="272"/>
    <tableColumn id="9" uniqueName="9" name="AQ7Theo" queryTableFieldId="9" dataDxfId="271"/>
    <tableColumn id="10" uniqueName="10" name="AQJ7_Reception" queryTableFieldId="10" dataDxfId="270"/>
    <tableColumn id="11" uniqueName="11" name="AQ_M2_Theo" queryTableFieldId="11" dataDxfId="269"/>
    <tableColumn id="12" uniqueName="12" name="AQM2_Reception" queryTableFieldId="12" dataDxfId="268"/>
    <tableColumn id="13" uniqueName="13" name="VP_Theo" queryTableFieldId="13" dataDxfId="267"/>
    <tableColumn id="14" uniqueName="14" name="PRECOCE_Visite" queryTableFieldId="14" dataDxfId="266"/>
    <tableColumn id="15" uniqueName="15" name="PRECOCE_Reception" queryTableFieldId="15" dataDxfId="265"/>
    <tableColumn id="16" uniqueName="16" name="VT_Theo" queryTableFieldId="16" dataDxfId="264"/>
    <tableColumn id="17" uniqueName="17" name="TARDIF_Visite" queryTableFieldId="17" dataDxfId="263"/>
    <tableColumn id="18" uniqueName="18" name="TARDIF_Reception" queryTableFieldId="18" dataDxfId="262"/>
    <tableColumn id="19" uniqueName="19" name="Onekey" queryTableFieldId="19" dataDxfId="261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1" name="Tableau_Lancer_la_requête_à_partir_de_MS_Access_Database45612" displayName="Tableau_Lancer_la_requête_à_partir_de_MS_Access_Database45612" ref="B9:U12" tableType="queryTable" totalsRowShown="0">
  <autoFilter ref="B9:U12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9" name="Tableau_Lancer_la_requête_à_partir_de_MS_Access_Database45610" displayName="Tableau_Lancer_la_requête_à_partir_de_MS_Access_Database45610" ref="B9:U14" tableType="queryTable" totalsRowShown="0">
  <autoFilter ref="B9:U14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8" name="Tableau_Lancer_la_requête_à_partir_de_MS_Access_Database459" displayName="Tableau_Lancer_la_requête_à_partir_de_MS_Access_Database459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14" name="Tableau_Lancer_la_requête_à_partir_de_MS_Access_Database45715" displayName="Tableau_Lancer_la_requête_à_partir_de_MS_Access_Database45715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6" name="Tableau_Lancer_la_requête_à_partir_de_MS_Access_Database457" displayName="Tableau_Lancer_la_requête_à_partir_de_MS_Access_Database457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4" name="Tableau_Lancer_la_requête_à_partir_de_MS_Access_Database45" displayName="Tableau_Lancer_la_requête_à_partir_de_MS_Access_Database45" ref="B9:U14" tableType="queryTable" totalsRowShown="0">
  <autoFilter ref="B9:U14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5" name="Tableau_Lancer_la_requête_à_partir_de_MS_Access_Database451116" displayName="Tableau_Lancer_la_requête_à_partir_de_MS_Access_Database451116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10" name="Tableau_Lancer_la_requête_à_partir_de_MS_Access_Database4511" displayName="Tableau_Lancer_la_requête_à_partir_de_MS_Access_Database4511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13" name="Tableau_Lancer_la_requête_à_partir_de_MS_Access_Database451114" displayName="Tableau_Lancer_la_requête_à_partir_de_MS_Access_Database451114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16" name="Tableau_Lancer_la_requête_à_partir_de_MS_Access_Database45111417" displayName="Tableau_Lancer_la_requête_à_partir_de_MS_Access_Database45111417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5"/>
  <sheetViews>
    <sheetView tabSelected="1" topLeftCell="C4" workbookViewId="0">
      <selection activeCell="C6" sqref="C6"/>
    </sheetView>
  </sheetViews>
  <sheetFormatPr baseColWidth="10" defaultRowHeight="15"/>
  <cols>
    <col min="1" max="1" width="15" style="88" hidden="1" customWidth="1"/>
    <col min="2" max="2" width="21.85546875" style="88" hidden="1" customWidth="1"/>
    <col min="3" max="3" width="19" style="97" customWidth="1"/>
    <col min="4" max="4" width="34.42578125" style="88" customWidth="1"/>
    <col min="5" max="5" width="18" style="96" customWidth="1"/>
    <col min="6" max="6" width="17.5703125" style="96" customWidth="1"/>
    <col min="7" max="7" width="21.28515625" style="96" customWidth="1"/>
    <col min="8" max="8" width="19.28515625" style="96" customWidth="1"/>
    <col min="9" max="9" width="17.28515625" style="97" customWidth="1"/>
    <col min="10" max="10" width="58.85546875" style="104" customWidth="1"/>
    <col min="11" max="11" width="13.7109375" style="93" hidden="1" customWidth="1"/>
    <col min="12" max="16384" width="11.42578125" style="88"/>
  </cols>
  <sheetData>
    <row r="1" spans="1:17" s="65" customFormat="1" ht="27">
      <c r="C1" s="66" t="s">
        <v>0</v>
      </c>
      <c r="D1" s="67"/>
      <c r="E1" s="68"/>
      <c r="F1" s="69"/>
      <c r="G1" s="69"/>
      <c r="H1" s="69"/>
      <c r="I1" s="70"/>
      <c r="J1" s="71"/>
      <c r="K1" s="72"/>
    </row>
    <row r="2" spans="1:17" s="65" customFormat="1" ht="15.75">
      <c r="C2" s="70"/>
      <c r="D2" s="73"/>
      <c r="E2" s="74" t="s">
        <v>13</v>
      </c>
      <c r="F2" s="75" t="str">
        <f>$A$22</f>
        <v>DE0403</v>
      </c>
      <c r="G2" s="76" t="str">
        <f>$B$22</f>
        <v>BORNE Francine</v>
      </c>
      <c r="H2" s="76"/>
      <c r="I2" s="76"/>
      <c r="J2" s="71"/>
      <c r="K2" s="77"/>
      <c r="L2" s="78"/>
      <c r="M2" s="78"/>
      <c r="N2" s="78"/>
      <c r="O2" s="79"/>
    </row>
    <row r="3" spans="1:17" s="65" customFormat="1">
      <c r="C3" s="80" t="s">
        <v>1</v>
      </c>
      <c r="D3" s="81">
        <f>$K$22</f>
        <v>42306</v>
      </c>
      <c r="E3" s="69"/>
      <c r="F3" s="69"/>
      <c r="G3" s="69"/>
      <c r="H3" s="69"/>
      <c r="I3" s="70"/>
      <c r="J3" s="71"/>
      <c r="K3" s="72"/>
    </row>
    <row r="4" spans="1:17" s="65" customFormat="1">
      <c r="C4" s="70"/>
      <c r="D4" s="73"/>
      <c r="E4" s="69"/>
      <c r="F4" s="69"/>
      <c r="G4" s="69"/>
      <c r="H4" s="69"/>
      <c r="I4" s="70"/>
      <c r="J4" s="71"/>
      <c r="K4" s="72"/>
    </row>
    <row r="5" spans="1:17" s="65" customFormat="1">
      <c r="C5" s="82"/>
      <c r="D5" s="83"/>
      <c r="E5" s="84"/>
      <c r="F5" s="84"/>
      <c r="G5" s="84"/>
      <c r="H5" s="84"/>
      <c r="I5" s="82"/>
      <c r="J5" s="85"/>
      <c r="K5" s="86"/>
      <c r="L5" s="87"/>
      <c r="M5" s="87"/>
      <c r="N5" s="87"/>
      <c r="O5" s="87"/>
      <c r="P5" s="87"/>
      <c r="Q5" s="87"/>
    </row>
    <row r="6" spans="1:17">
      <c r="C6" s="89"/>
      <c r="D6" s="90"/>
      <c r="E6" s="91"/>
      <c r="F6" s="91"/>
      <c r="G6" s="91"/>
      <c r="H6" s="91"/>
      <c r="I6" s="89"/>
      <c r="J6" s="92"/>
    </row>
    <row r="7" spans="1:17" s="2" customFormat="1" ht="53.25" customHeight="1">
      <c r="A7" s="2" t="s">
        <v>2</v>
      </c>
      <c r="B7" s="2" t="s">
        <v>3</v>
      </c>
      <c r="C7" s="2" t="s">
        <v>12</v>
      </c>
      <c r="D7" s="2" t="s">
        <v>4</v>
      </c>
      <c r="E7" s="3" t="s">
        <v>5</v>
      </c>
      <c r="F7" s="3" t="s">
        <v>6</v>
      </c>
      <c r="G7" s="3" t="s">
        <v>7</v>
      </c>
      <c r="H7" s="3" t="s">
        <v>8</v>
      </c>
      <c r="I7" s="2" t="s">
        <v>9</v>
      </c>
      <c r="J7" s="2" t="s">
        <v>10</v>
      </c>
      <c r="K7" s="3" t="s">
        <v>11</v>
      </c>
      <c r="L7" s="2" t="s">
        <v>105</v>
      </c>
    </row>
    <row r="8" spans="1:17" ht="30">
      <c r="A8" s="88" t="s">
        <v>59</v>
      </c>
      <c r="B8" s="88" t="s">
        <v>60</v>
      </c>
      <c r="C8" s="94" t="s">
        <v>91</v>
      </c>
      <c r="D8" s="95" t="s">
        <v>92</v>
      </c>
      <c r="E8" s="96">
        <v>41929</v>
      </c>
      <c r="F8" s="96">
        <v>41955</v>
      </c>
      <c r="G8" s="96">
        <v>41950</v>
      </c>
      <c r="H8" s="96">
        <v>41995</v>
      </c>
      <c r="I8" s="97">
        <v>1</v>
      </c>
      <c r="J8" s="98" t="s">
        <v>106</v>
      </c>
      <c r="K8" s="93">
        <v>42306</v>
      </c>
    </row>
    <row r="9" spans="1:17" s="142" customFormat="1" ht="45">
      <c r="A9" s="142" t="s">
        <v>59</v>
      </c>
      <c r="B9" s="142" t="s">
        <v>60</v>
      </c>
      <c r="C9" s="143" t="s">
        <v>71</v>
      </c>
      <c r="D9" s="144" t="s">
        <v>72</v>
      </c>
      <c r="E9" s="145">
        <v>41785</v>
      </c>
      <c r="F9" s="145">
        <v>41794</v>
      </c>
      <c r="G9" s="145">
        <v>41792</v>
      </c>
      <c r="H9" s="145"/>
      <c r="I9" s="146">
        <v>4</v>
      </c>
      <c r="J9" s="147" t="s">
        <v>82</v>
      </c>
      <c r="K9" s="148">
        <v>42306</v>
      </c>
      <c r="L9" s="149" t="s">
        <v>104</v>
      </c>
    </row>
    <row r="10" spans="1:17">
      <c r="A10" s="88" t="s">
        <v>59</v>
      </c>
      <c r="B10" s="88" t="s">
        <v>60</v>
      </c>
      <c r="C10" s="94" t="s">
        <v>101</v>
      </c>
      <c r="D10" s="95" t="s">
        <v>100</v>
      </c>
      <c r="E10" s="96">
        <v>41970</v>
      </c>
      <c r="F10" s="96">
        <v>41995</v>
      </c>
      <c r="G10" s="96">
        <v>41989</v>
      </c>
      <c r="J10" s="98"/>
      <c r="K10" s="93">
        <v>42306</v>
      </c>
    </row>
    <row r="11" spans="1:17">
      <c r="A11" s="88" t="s">
        <v>59</v>
      </c>
      <c r="B11" s="88" t="s">
        <v>60</v>
      </c>
      <c r="C11" s="94" t="s">
        <v>89</v>
      </c>
      <c r="D11" s="95" t="s">
        <v>90</v>
      </c>
      <c r="E11" s="96">
        <v>41925</v>
      </c>
      <c r="F11" s="96">
        <v>41939</v>
      </c>
      <c r="G11" s="96">
        <v>41935</v>
      </c>
      <c r="I11" s="97">
        <v>3</v>
      </c>
      <c r="J11" s="98"/>
      <c r="K11" s="93">
        <v>42306</v>
      </c>
    </row>
    <row r="12" spans="1:17">
      <c r="A12" s="88" t="s">
        <v>59</v>
      </c>
      <c r="B12" s="88" t="s">
        <v>60</v>
      </c>
      <c r="C12" s="94" t="s">
        <v>68</v>
      </c>
      <c r="D12" s="95" t="s">
        <v>67</v>
      </c>
      <c r="E12" s="96">
        <v>41778</v>
      </c>
      <c r="F12" s="96">
        <v>41800</v>
      </c>
      <c r="G12" s="96">
        <v>41796</v>
      </c>
      <c r="I12" s="97">
        <v>2</v>
      </c>
      <c r="J12" s="98"/>
      <c r="K12" s="93">
        <v>42306</v>
      </c>
    </row>
    <row r="13" spans="1:17">
      <c r="A13" s="88" t="s">
        <v>59</v>
      </c>
      <c r="B13" s="88" t="s">
        <v>60</v>
      </c>
      <c r="C13" s="94" t="s">
        <v>78</v>
      </c>
      <c r="D13" s="95" t="s">
        <v>79</v>
      </c>
      <c r="E13" s="96">
        <v>41829</v>
      </c>
      <c r="F13" s="96">
        <v>41835</v>
      </c>
      <c r="G13" s="96">
        <v>41831</v>
      </c>
      <c r="I13" s="97">
        <v>5</v>
      </c>
      <c r="J13" s="98" t="s">
        <v>102</v>
      </c>
      <c r="K13" s="93">
        <v>42306</v>
      </c>
    </row>
    <row r="14" spans="1:17">
      <c r="A14" s="88" t="s">
        <v>59</v>
      </c>
      <c r="B14" s="88" t="s">
        <v>60</v>
      </c>
      <c r="C14" s="94" t="s">
        <v>73</v>
      </c>
      <c r="D14" s="95" t="s">
        <v>74</v>
      </c>
      <c r="E14" s="96">
        <v>41786</v>
      </c>
      <c r="F14" s="96">
        <v>41794</v>
      </c>
      <c r="G14" s="96">
        <v>41792</v>
      </c>
      <c r="I14" s="97">
        <v>3</v>
      </c>
      <c r="J14" s="98"/>
      <c r="K14" s="93">
        <v>42306</v>
      </c>
    </row>
    <row r="15" spans="1:17">
      <c r="A15" s="88" t="s">
        <v>59</v>
      </c>
      <c r="B15" s="88" t="s">
        <v>60</v>
      </c>
      <c r="C15" s="94" t="s">
        <v>61</v>
      </c>
      <c r="D15" s="105" t="s">
        <v>62</v>
      </c>
      <c r="E15" s="96">
        <v>41729</v>
      </c>
      <c r="F15" s="96">
        <v>41751</v>
      </c>
      <c r="G15" s="96">
        <v>41744</v>
      </c>
      <c r="I15" s="97">
        <v>5</v>
      </c>
      <c r="J15" s="106"/>
      <c r="K15" s="93">
        <v>42306</v>
      </c>
    </row>
    <row r="16" spans="1:17" ht="30">
      <c r="A16" s="88" t="s">
        <v>59</v>
      </c>
      <c r="B16" s="88" t="s">
        <v>60</v>
      </c>
      <c r="C16" s="94" t="s">
        <v>69</v>
      </c>
      <c r="D16" s="105" t="s">
        <v>70</v>
      </c>
      <c r="E16" s="96">
        <v>41780</v>
      </c>
      <c r="F16" s="96">
        <v>41787</v>
      </c>
      <c r="G16" s="96">
        <v>41785</v>
      </c>
      <c r="J16" s="106" t="s">
        <v>81</v>
      </c>
      <c r="K16" s="93">
        <v>42306</v>
      </c>
    </row>
    <row r="17" spans="1:11" ht="60">
      <c r="A17" s="88" t="s">
        <v>59</v>
      </c>
      <c r="B17" s="88" t="s">
        <v>60</v>
      </c>
      <c r="C17" s="94" t="s">
        <v>95</v>
      </c>
      <c r="D17" s="105" t="s">
        <v>96</v>
      </c>
      <c r="E17" s="96">
        <v>41948</v>
      </c>
      <c r="F17" s="96">
        <v>41971</v>
      </c>
      <c r="G17" s="96">
        <v>41967</v>
      </c>
      <c r="J17" s="106" t="s">
        <v>98</v>
      </c>
      <c r="K17" s="93">
        <v>42306</v>
      </c>
    </row>
    <row r="18" spans="1:11" ht="45">
      <c r="A18" s="88" t="s">
        <v>59</v>
      </c>
      <c r="B18" s="88" t="s">
        <v>60</v>
      </c>
      <c r="C18" s="94" t="s">
        <v>63</v>
      </c>
      <c r="D18" s="105" t="s">
        <v>64</v>
      </c>
      <c r="E18" s="96">
        <v>41715</v>
      </c>
      <c r="F18" s="96">
        <v>41745</v>
      </c>
      <c r="G18" s="96">
        <v>41743</v>
      </c>
      <c r="H18" s="96">
        <v>41901</v>
      </c>
      <c r="J18" s="106" t="s">
        <v>83</v>
      </c>
      <c r="K18" s="93">
        <v>42306</v>
      </c>
    </row>
    <row r="19" spans="1:11" ht="30">
      <c r="A19" s="88" t="s">
        <v>59</v>
      </c>
      <c r="B19" s="88" t="s">
        <v>60</v>
      </c>
      <c r="C19" s="94" t="s">
        <v>65</v>
      </c>
      <c r="D19" s="105" t="s">
        <v>66</v>
      </c>
      <c r="E19" s="96">
        <v>41740</v>
      </c>
      <c r="F19" s="96">
        <v>41758</v>
      </c>
      <c r="G19" s="96">
        <v>41754</v>
      </c>
      <c r="I19" s="97">
        <v>5</v>
      </c>
      <c r="J19" s="106" t="s">
        <v>80</v>
      </c>
      <c r="K19" s="93">
        <v>42306</v>
      </c>
    </row>
    <row r="20" spans="1:11">
      <c r="A20" s="88" t="s">
        <v>59</v>
      </c>
      <c r="B20" s="88" t="s">
        <v>60</v>
      </c>
      <c r="C20" s="94" t="s">
        <v>97</v>
      </c>
      <c r="D20" s="105" t="s">
        <v>99</v>
      </c>
      <c r="E20" s="96">
        <v>41948</v>
      </c>
      <c r="F20" s="96">
        <v>41968</v>
      </c>
      <c r="G20" s="96">
        <v>41967</v>
      </c>
      <c r="J20" s="106"/>
      <c r="K20" s="93">
        <v>42306</v>
      </c>
    </row>
    <row r="21" spans="1:11">
      <c r="A21" s="88" t="s">
        <v>59</v>
      </c>
      <c r="B21" s="88" t="s">
        <v>60</v>
      </c>
      <c r="C21" s="94" t="s">
        <v>87</v>
      </c>
      <c r="D21" s="105" t="s">
        <v>88</v>
      </c>
      <c r="E21" s="96">
        <v>41921</v>
      </c>
      <c r="F21" s="96">
        <v>41939</v>
      </c>
      <c r="G21" s="96">
        <v>41934</v>
      </c>
      <c r="I21" s="97">
        <v>3</v>
      </c>
      <c r="J21" s="106"/>
      <c r="K21" s="93">
        <v>42306</v>
      </c>
    </row>
    <row r="22" spans="1:11">
      <c r="A22" s="88" t="s">
        <v>59</v>
      </c>
      <c r="B22" s="88" t="s">
        <v>60</v>
      </c>
      <c r="C22" s="94" t="s">
        <v>93</v>
      </c>
      <c r="D22" s="140" t="s">
        <v>94</v>
      </c>
      <c r="E22" s="96">
        <v>41936</v>
      </c>
      <c r="G22" s="96">
        <v>41950</v>
      </c>
      <c r="I22" s="97">
        <v>2</v>
      </c>
      <c r="J22" s="141"/>
      <c r="K22" s="93">
        <v>42306</v>
      </c>
    </row>
    <row r="23" spans="1:11">
      <c r="A23" s="90"/>
      <c r="B23" s="90"/>
      <c r="C23" s="89" t="s">
        <v>15</v>
      </c>
      <c r="D23" s="99">
        <f>SUBTOTAL(3,D8:D22)</f>
        <v>15</v>
      </c>
      <c r="E23" s="99">
        <f>SUBTOTAL(3,[Date de réception convention financière])</f>
        <v>15</v>
      </c>
      <c r="F23" s="99">
        <f>SUBTOTAL(3,[Date de réception AR kit])</f>
        <v>14</v>
      </c>
      <c r="G23" s="99">
        <f>SUBTOTAL(3,[Date de MEP])</f>
        <v>15</v>
      </c>
      <c r="H23" s="100">
        <f>SUBTOTAL(3,[Desistement])</f>
        <v>2</v>
      </c>
      <c r="I23" s="89">
        <f>SUBTOTAL(109,I8:I22)</f>
        <v>33</v>
      </c>
      <c r="J23" s="101"/>
      <c r="K23" s="102"/>
    </row>
    <row r="24" spans="1:11">
      <c r="D24" s="95"/>
      <c r="J24" s="98"/>
    </row>
    <row r="25" spans="1:11">
      <c r="C25" s="103" t="s">
        <v>14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120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121" t="s">
        <v>17</v>
      </c>
      <c r="M4" s="36">
        <f>$B$12</f>
        <v>423</v>
      </c>
      <c r="N4" s="154" t="str">
        <f>$C$12</f>
        <v>ALBENOIS Marie-Christine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123" t="s">
        <v>32</v>
      </c>
      <c r="M8" s="123" t="s">
        <v>31</v>
      </c>
      <c r="N8" s="122" t="s">
        <v>33</v>
      </c>
      <c r="O8" s="122" t="s">
        <v>34</v>
      </c>
      <c r="P8" s="122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423</v>
      </c>
      <c r="C10" s="15" t="s">
        <v>92</v>
      </c>
      <c r="D10" s="4">
        <v>1</v>
      </c>
      <c r="E10" s="6"/>
      <c r="F10" s="6"/>
      <c r="G10" s="6">
        <v>41977</v>
      </c>
      <c r="H10" s="6"/>
      <c r="I10" s="109" t="s">
        <v>57</v>
      </c>
      <c r="J10" s="6"/>
      <c r="K10" s="6">
        <v>41977</v>
      </c>
      <c r="L10" s="6"/>
      <c r="M10" s="6"/>
      <c r="N10" s="6"/>
      <c r="O10" s="6">
        <v>41940</v>
      </c>
      <c r="P10" s="6">
        <v>41977</v>
      </c>
      <c r="Q10" s="6"/>
      <c r="R10" s="6"/>
      <c r="S10" s="6"/>
      <c r="T10" s="15" t="s">
        <v>91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34">
        <v>423</v>
      </c>
      <c r="C11" s="135" t="s">
        <v>92</v>
      </c>
      <c r="D11" s="4">
        <v>2</v>
      </c>
      <c r="I11" s="109" t="s">
        <v>57</v>
      </c>
      <c r="T11" s="135" t="s">
        <v>91</v>
      </c>
      <c r="U11" s="1">
        <v>42306</v>
      </c>
    </row>
    <row r="12" spans="2:48" ht="20.25" customHeight="1">
      <c r="B12" s="134">
        <v>423</v>
      </c>
      <c r="C12" s="135" t="s">
        <v>92</v>
      </c>
      <c r="D12" s="4">
        <v>3</v>
      </c>
      <c r="I12" s="109" t="s">
        <v>57</v>
      </c>
      <c r="T12" s="135" t="s">
        <v>91</v>
      </c>
      <c r="U12" s="1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52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$U$14</f>
        <v>42306</v>
      </c>
      <c r="G4" s="23"/>
      <c r="H4" s="23"/>
      <c r="I4" s="7"/>
      <c r="J4" s="23"/>
      <c r="K4" s="23"/>
      <c r="L4" s="53" t="s">
        <v>17</v>
      </c>
      <c r="M4" s="36">
        <f>$B$14</f>
        <v>317</v>
      </c>
      <c r="N4" s="154" t="str">
        <f>$C$14</f>
        <v>BERAUD Valérie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55" t="s">
        <v>32</v>
      </c>
      <c r="M8" s="55" t="s">
        <v>31</v>
      </c>
      <c r="N8" s="54" t="s">
        <v>33</v>
      </c>
      <c r="O8" s="54" t="s">
        <v>34</v>
      </c>
      <c r="P8" s="54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317</v>
      </c>
      <c r="C10" s="15" t="s">
        <v>72</v>
      </c>
      <c r="D10" s="4">
        <v>1</v>
      </c>
      <c r="E10" s="6">
        <v>41814</v>
      </c>
      <c r="F10" s="6">
        <v>41816</v>
      </c>
      <c r="G10" s="6"/>
      <c r="H10" s="6">
        <v>41816</v>
      </c>
      <c r="I10" s="17" t="s">
        <v>75</v>
      </c>
      <c r="J10" s="6">
        <v>41826</v>
      </c>
      <c r="K10" s="6">
        <v>41899</v>
      </c>
      <c r="L10" s="6">
        <v>41885</v>
      </c>
      <c r="M10" s="6">
        <v>41899</v>
      </c>
      <c r="N10" s="6">
        <v>41934</v>
      </c>
      <c r="O10" s="6">
        <v>41838</v>
      </c>
      <c r="P10" s="6">
        <v>41869</v>
      </c>
      <c r="Q10" s="6">
        <v>42179</v>
      </c>
      <c r="R10" s="6">
        <v>41988</v>
      </c>
      <c r="S10" s="6">
        <v>41989</v>
      </c>
      <c r="T10" s="15" t="s">
        <v>71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6">
        <v>317</v>
      </c>
      <c r="C11" s="60" t="s">
        <v>72</v>
      </c>
      <c r="D11" s="4">
        <v>2</v>
      </c>
      <c r="E11" s="6">
        <v>41890</v>
      </c>
      <c r="F11" s="6">
        <v>41892</v>
      </c>
      <c r="G11" s="6">
        <v>41892</v>
      </c>
      <c r="H11" s="6">
        <v>41892</v>
      </c>
      <c r="I11" s="17" t="s">
        <v>84</v>
      </c>
      <c r="J11" s="6">
        <v>41902</v>
      </c>
      <c r="K11" s="6">
        <v>41919</v>
      </c>
      <c r="L11" s="6">
        <v>41961</v>
      </c>
      <c r="M11" s="6">
        <v>41976</v>
      </c>
      <c r="N11" s="6">
        <v>42010</v>
      </c>
      <c r="O11" s="6">
        <v>41974</v>
      </c>
      <c r="P11" s="6">
        <v>41976</v>
      </c>
      <c r="Q11" s="6">
        <v>42255</v>
      </c>
      <c r="T11" s="60" t="s">
        <v>71</v>
      </c>
      <c r="U11" s="1">
        <v>42306</v>
      </c>
    </row>
    <row r="12" spans="2:48" ht="20.25" customHeight="1">
      <c r="B12" s="16">
        <v>317</v>
      </c>
      <c r="C12" s="60" t="s">
        <v>72</v>
      </c>
      <c r="D12" s="4">
        <v>3</v>
      </c>
      <c r="E12" s="6">
        <v>41957</v>
      </c>
      <c r="F12" s="6">
        <v>41960</v>
      </c>
      <c r="G12" s="6">
        <v>41960</v>
      </c>
      <c r="I12" s="109" t="s">
        <v>57</v>
      </c>
      <c r="J12" s="6">
        <v>41969</v>
      </c>
      <c r="K12" s="6">
        <v>41989</v>
      </c>
      <c r="L12" s="6">
        <v>42028</v>
      </c>
      <c r="N12" s="6">
        <v>42077</v>
      </c>
      <c r="O12" s="6">
        <v>42016</v>
      </c>
      <c r="P12" s="6">
        <v>42026</v>
      </c>
      <c r="Q12" s="6">
        <v>42322</v>
      </c>
      <c r="T12" s="60" t="s">
        <v>71</v>
      </c>
      <c r="U12" s="1">
        <v>42306</v>
      </c>
    </row>
    <row r="13" spans="2:48" ht="25.5">
      <c r="B13" s="16">
        <v>317</v>
      </c>
      <c r="C13" s="60" t="s">
        <v>72</v>
      </c>
      <c r="D13" s="4">
        <v>4</v>
      </c>
      <c r="I13" s="109" t="s">
        <v>57</v>
      </c>
      <c r="T13" s="60" t="s">
        <v>71</v>
      </c>
      <c r="U13" s="1">
        <v>42306</v>
      </c>
    </row>
    <row r="14" spans="2:48" ht="25.5">
      <c r="B14" s="16">
        <v>317</v>
      </c>
      <c r="C14" s="60" t="s">
        <v>72</v>
      </c>
      <c r="D14" s="4">
        <v>5</v>
      </c>
      <c r="E14" s="6">
        <v>42023</v>
      </c>
      <c r="F14" s="6">
        <v>42025</v>
      </c>
      <c r="H14" s="6">
        <v>42024</v>
      </c>
      <c r="I14" s="109" t="s">
        <v>85</v>
      </c>
      <c r="J14" s="6">
        <v>42035</v>
      </c>
      <c r="K14" s="6">
        <v>42052</v>
      </c>
      <c r="L14" s="6">
        <v>42094</v>
      </c>
      <c r="M14" s="6">
        <v>42108</v>
      </c>
      <c r="N14" s="6">
        <v>42143</v>
      </c>
      <c r="Q14" s="6">
        <v>42388</v>
      </c>
      <c r="T14" s="60" t="s">
        <v>71</v>
      </c>
      <c r="U14" s="1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>
      <selection activeCell="F23" sqref="F2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116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117" t="s">
        <v>17</v>
      </c>
      <c r="M4" s="36">
        <f>$B$12</f>
        <v>414</v>
      </c>
      <c r="N4" s="154" t="str">
        <f>$C$12</f>
        <v>BRUTIN Jean-Ludovic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115" t="s">
        <v>32</v>
      </c>
      <c r="M8" s="115" t="s">
        <v>31</v>
      </c>
      <c r="N8" s="114" t="s">
        <v>33</v>
      </c>
      <c r="O8" s="114" t="s">
        <v>34</v>
      </c>
      <c r="P8" s="114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414</v>
      </c>
      <c r="C10" s="15" t="s">
        <v>90</v>
      </c>
      <c r="D10" s="4">
        <v>1</v>
      </c>
      <c r="E10" s="6">
        <v>41946</v>
      </c>
      <c r="F10" s="6">
        <v>41955</v>
      </c>
      <c r="G10" s="6">
        <v>41955</v>
      </c>
      <c r="H10" s="6">
        <v>41955</v>
      </c>
      <c r="I10" s="109" t="s">
        <v>76</v>
      </c>
      <c r="J10" s="6">
        <v>41958</v>
      </c>
      <c r="K10" s="6">
        <v>42039</v>
      </c>
      <c r="L10" s="6">
        <v>42017</v>
      </c>
      <c r="M10" s="6">
        <v>42025</v>
      </c>
      <c r="N10" s="6">
        <v>42066</v>
      </c>
      <c r="O10" s="6">
        <v>41956</v>
      </c>
      <c r="P10" s="6">
        <v>41960</v>
      </c>
      <c r="Q10" s="6">
        <v>42311</v>
      </c>
      <c r="R10" s="6">
        <v>42023</v>
      </c>
      <c r="S10" s="6">
        <v>42025</v>
      </c>
      <c r="T10" s="15" t="s">
        <v>89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28">
        <v>414</v>
      </c>
      <c r="C11" s="129" t="s">
        <v>90</v>
      </c>
      <c r="D11" s="4">
        <v>2</v>
      </c>
      <c r="E11" s="6">
        <v>41953</v>
      </c>
      <c r="F11" s="6">
        <v>41957</v>
      </c>
      <c r="G11" s="6">
        <v>41957</v>
      </c>
      <c r="H11" s="6">
        <v>41957</v>
      </c>
      <c r="I11" s="109" t="s">
        <v>76</v>
      </c>
      <c r="J11" s="6">
        <v>41965</v>
      </c>
      <c r="K11" s="6">
        <v>42039</v>
      </c>
      <c r="L11" s="6">
        <v>42024</v>
      </c>
      <c r="M11" s="6">
        <v>42051</v>
      </c>
      <c r="N11" s="6">
        <v>42073</v>
      </c>
      <c r="O11" s="6">
        <v>41961</v>
      </c>
      <c r="P11" s="6">
        <v>42051</v>
      </c>
      <c r="Q11" s="6">
        <v>42318</v>
      </c>
      <c r="T11" s="129" t="s">
        <v>89</v>
      </c>
      <c r="U11" s="1">
        <v>42306</v>
      </c>
    </row>
    <row r="12" spans="2:48" ht="20.25" customHeight="1">
      <c r="B12" s="128">
        <v>414</v>
      </c>
      <c r="C12" s="129" t="s">
        <v>90</v>
      </c>
      <c r="D12" s="4">
        <v>3</v>
      </c>
      <c r="E12" s="6">
        <v>41953</v>
      </c>
      <c r="F12" s="6">
        <v>41957</v>
      </c>
      <c r="G12" s="6">
        <v>41957</v>
      </c>
      <c r="H12" s="6">
        <v>41957</v>
      </c>
      <c r="I12" s="109" t="s">
        <v>75</v>
      </c>
      <c r="J12" s="6">
        <v>41965</v>
      </c>
      <c r="K12" s="6">
        <v>42039</v>
      </c>
      <c r="L12" s="6">
        <v>42024</v>
      </c>
      <c r="M12" s="6">
        <v>42032</v>
      </c>
      <c r="N12" s="6">
        <v>42073</v>
      </c>
      <c r="O12" s="6">
        <v>41961</v>
      </c>
      <c r="P12" s="6">
        <v>41974</v>
      </c>
      <c r="Q12" s="6">
        <v>42318</v>
      </c>
      <c r="T12" s="129" t="s">
        <v>89</v>
      </c>
      <c r="U12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41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42" t="s">
        <v>17</v>
      </c>
      <c r="M4" s="36">
        <f>$B$12</f>
        <v>298</v>
      </c>
      <c r="N4" s="154" t="str">
        <f>$C$12</f>
        <v>EVRARD Jean-Marc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44" t="s">
        <v>32</v>
      </c>
      <c r="M8" s="44" t="s">
        <v>31</v>
      </c>
      <c r="N8" s="43" t="s">
        <v>33</v>
      </c>
      <c r="O8" s="43" t="s">
        <v>34</v>
      </c>
      <c r="P8" s="43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298</v>
      </c>
      <c r="C10" s="15" t="s">
        <v>67</v>
      </c>
      <c r="D10" s="4">
        <v>1</v>
      </c>
      <c r="E10" s="6">
        <v>41858</v>
      </c>
      <c r="F10" s="6">
        <v>41862</v>
      </c>
      <c r="G10" s="6">
        <v>41862</v>
      </c>
      <c r="H10" s="6">
        <v>41862</v>
      </c>
      <c r="I10" s="17" t="s">
        <v>86</v>
      </c>
      <c r="J10" s="6">
        <v>41870</v>
      </c>
      <c r="K10" s="6">
        <v>41870</v>
      </c>
      <c r="L10" s="6">
        <v>41929</v>
      </c>
      <c r="M10" s="6">
        <v>41920</v>
      </c>
      <c r="N10" s="6">
        <v>41978</v>
      </c>
      <c r="O10" s="6">
        <v>41880</v>
      </c>
      <c r="P10" s="6">
        <v>41883</v>
      </c>
      <c r="Q10" s="6">
        <v>42223</v>
      </c>
      <c r="R10" s="6"/>
      <c r="S10" s="6"/>
      <c r="T10" s="15" t="s">
        <v>68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6">
        <v>298</v>
      </c>
      <c r="C11" s="60" t="s">
        <v>67</v>
      </c>
      <c r="D11" s="4">
        <v>2</v>
      </c>
      <c r="E11" s="6">
        <v>41869</v>
      </c>
      <c r="F11" s="6">
        <v>41871</v>
      </c>
      <c r="G11" s="6">
        <v>41871</v>
      </c>
      <c r="I11" s="17" t="s">
        <v>57</v>
      </c>
      <c r="J11" s="6">
        <v>41881</v>
      </c>
      <c r="K11" s="6">
        <v>41879</v>
      </c>
      <c r="L11" s="6">
        <v>41940</v>
      </c>
      <c r="N11" s="6">
        <v>41989</v>
      </c>
      <c r="O11" s="6">
        <v>41907</v>
      </c>
      <c r="P11" s="6">
        <v>41911</v>
      </c>
      <c r="Q11" s="6">
        <v>42234</v>
      </c>
      <c r="T11" s="60" t="s">
        <v>68</v>
      </c>
      <c r="U11" s="1">
        <v>42306</v>
      </c>
    </row>
    <row r="12" spans="2:48" ht="20.25" customHeight="1">
      <c r="B12" s="16">
        <v>298</v>
      </c>
      <c r="C12" s="60" t="s">
        <v>67</v>
      </c>
      <c r="D12" s="4">
        <v>3</v>
      </c>
      <c r="I12" s="17" t="s">
        <v>57</v>
      </c>
      <c r="T12" s="60" t="s">
        <v>68</v>
      </c>
      <c r="U12" s="1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4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61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$U$14</f>
        <v>42306</v>
      </c>
      <c r="G4" s="23"/>
      <c r="H4" s="23"/>
      <c r="I4" s="7"/>
      <c r="J4" s="23"/>
      <c r="K4" s="23"/>
      <c r="L4" s="62" t="s">
        <v>17</v>
      </c>
      <c r="M4" s="36">
        <f>$B$14</f>
        <v>32</v>
      </c>
      <c r="N4" s="154" t="str">
        <f>$C$14</f>
        <v>GIRARD-GUENARD Raymonde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64" t="s">
        <v>32</v>
      </c>
      <c r="M8" s="64" t="s">
        <v>31</v>
      </c>
      <c r="N8" s="63" t="s">
        <v>33</v>
      </c>
      <c r="O8" s="63" t="s">
        <v>34</v>
      </c>
      <c r="P8" s="63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32</v>
      </c>
      <c r="C10" s="15" t="s">
        <v>79</v>
      </c>
      <c r="D10" s="4">
        <v>1</v>
      </c>
      <c r="E10" s="6">
        <v>41885</v>
      </c>
      <c r="F10" s="6">
        <v>41897</v>
      </c>
      <c r="G10" s="6">
        <v>41898</v>
      </c>
      <c r="H10" s="6">
        <v>41898</v>
      </c>
      <c r="I10" s="47" t="s">
        <v>85</v>
      </c>
      <c r="J10" s="6">
        <v>41897</v>
      </c>
      <c r="K10" s="6"/>
      <c r="L10" s="6">
        <v>41956</v>
      </c>
      <c r="M10" s="6">
        <v>41950</v>
      </c>
      <c r="N10" s="6">
        <v>42005</v>
      </c>
      <c r="O10" s="6">
        <v>41918</v>
      </c>
      <c r="P10" s="6">
        <v>41920</v>
      </c>
      <c r="Q10" s="6">
        <v>42250</v>
      </c>
      <c r="R10" s="6">
        <v>41948</v>
      </c>
      <c r="S10" s="6">
        <v>41950</v>
      </c>
      <c r="T10" s="15" t="s">
        <v>78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07">
        <v>32</v>
      </c>
      <c r="C11" s="108" t="s">
        <v>79</v>
      </c>
      <c r="D11" s="4">
        <v>2</v>
      </c>
      <c r="E11" s="6">
        <v>41887</v>
      </c>
      <c r="F11" s="6">
        <v>41897</v>
      </c>
      <c r="I11" s="109" t="s">
        <v>57</v>
      </c>
      <c r="J11" s="6">
        <v>41899</v>
      </c>
      <c r="L11" s="6">
        <v>41958</v>
      </c>
      <c r="N11" s="6">
        <v>42007</v>
      </c>
      <c r="Q11" s="6">
        <v>42252</v>
      </c>
      <c r="T11" s="108" t="s">
        <v>78</v>
      </c>
      <c r="U11" s="1">
        <v>42306</v>
      </c>
    </row>
    <row r="12" spans="2:48" ht="20.25" customHeight="1">
      <c r="B12" s="107">
        <v>32</v>
      </c>
      <c r="C12" s="108" t="s">
        <v>79</v>
      </c>
      <c r="D12" s="4">
        <v>3</v>
      </c>
      <c r="E12" s="6">
        <v>41911</v>
      </c>
      <c r="F12" s="6">
        <v>41913</v>
      </c>
      <c r="I12" s="109" t="s">
        <v>57</v>
      </c>
      <c r="J12" s="6">
        <v>41923</v>
      </c>
      <c r="L12" s="6">
        <v>41982</v>
      </c>
      <c r="N12" s="6">
        <v>42031</v>
      </c>
      <c r="Q12" s="6">
        <v>42276</v>
      </c>
      <c r="T12" s="108" t="s">
        <v>78</v>
      </c>
      <c r="U12" s="1">
        <v>42306</v>
      </c>
    </row>
    <row r="13" spans="2:48" ht="38.25">
      <c r="B13" s="134">
        <v>32</v>
      </c>
      <c r="C13" s="135" t="s">
        <v>79</v>
      </c>
      <c r="D13" s="4">
        <v>4</v>
      </c>
      <c r="E13" s="6">
        <v>41955</v>
      </c>
      <c r="F13" s="6">
        <v>41995</v>
      </c>
      <c r="H13" s="6">
        <v>41995</v>
      </c>
      <c r="I13" s="109" t="s">
        <v>76</v>
      </c>
      <c r="J13" s="6">
        <v>41967</v>
      </c>
      <c r="K13" s="6">
        <v>42046</v>
      </c>
      <c r="L13" s="6">
        <v>42026</v>
      </c>
      <c r="M13" s="6">
        <v>42044</v>
      </c>
      <c r="N13" s="6">
        <v>42075</v>
      </c>
      <c r="O13" s="6">
        <v>41988</v>
      </c>
      <c r="P13" s="6">
        <v>41995</v>
      </c>
      <c r="Q13" s="6">
        <v>42320</v>
      </c>
      <c r="T13" s="135" t="s">
        <v>78</v>
      </c>
      <c r="U13" s="1">
        <v>42306</v>
      </c>
    </row>
    <row r="14" spans="2:48" ht="38.25">
      <c r="B14" s="134">
        <v>32</v>
      </c>
      <c r="C14" s="135" t="s">
        <v>79</v>
      </c>
      <c r="D14" s="4">
        <v>5</v>
      </c>
      <c r="E14" s="6">
        <v>41946</v>
      </c>
      <c r="F14" s="6">
        <v>41997</v>
      </c>
      <c r="H14" s="6">
        <v>41997</v>
      </c>
      <c r="I14" s="109" t="s">
        <v>76</v>
      </c>
      <c r="J14" s="6">
        <v>41958</v>
      </c>
      <c r="K14" s="6">
        <v>41997</v>
      </c>
      <c r="L14" s="6">
        <v>42017</v>
      </c>
      <c r="M14" s="6">
        <v>42044</v>
      </c>
      <c r="N14" s="6">
        <v>42066</v>
      </c>
      <c r="O14" s="6">
        <v>41981</v>
      </c>
      <c r="P14" s="6">
        <v>41997</v>
      </c>
      <c r="Q14" s="6">
        <v>42311</v>
      </c>
      <c r="T14" s="135" t="s">
        <v>78</v>
      </c>
      <c r="U14" s="1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58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59" t="s">
        <v>17</v>
      </c>
      <c r="M4" s="36">
        <f>$B$12</f>
        <v>322</v>
      </c>
      <c r="N4" s="154" t="str">
        <f>$C$12</f>
        <v>GRAMMATICO Didier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57" t="s">
        <v>32</v>
      </c>
      <c r="M8" s="57" t="s">
        <v>31</v>
      </c>
      <c r="N8" s="56" t="s">
        <v>33</v>
      </c>
      <c r="O8" s="56" t="s">
        <v>34</v>
      </c>
      <c r="P8" s="56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322</v>
      </c>
      <c r="C10" s="15" t="s">
        <v>74</v>
      </c>
      <c r="D10" s="4">
        <v>1</v>
      </c>
      <c r="E10" s="6">
        <v>41800</v>
      </c>
      <c r="F10" s="6">
        <v>41821</v>
      </c>
      <c r="G10" s="6"/>
      <c r="H10" s="6">
        <v>41821</v>
      </c>
      <c r="I10" s="17" t="s">
        <v>76</v>
      </c>
      <c r="J10" s="6">
        <v>41812</v>
      </c>
      <c r="K10" s="6">
        <v>41821</v>
      </c>
      <c r="L10" s="6">
        <v>41871</v>
      </c>
      <c r="M10" s="6">
        <v>41865</v>
      </c>
      <c r="N10" s="6">
        <v>41920</v>
      </c>
      <c r="O10" s="6">
        <v>41863</v>
      </c>
      <c r="P10" s="6">
        <v>41865</v>
      </c>
      <c r="Q10" s="6">
        <v>42165</v>
      </c>
      <c r="R10" s="6"/>
      <c r="S10" s="6"/>
      <c r="T10" s="15" t="s">
        <v>73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6">
        <v>322</v>
      </c>
      <c r="C11" s="60" t="s">
        <v>74</v>
      </c>
      <c r="D11" s="4">
        <v>2</v>
      </c>
      <c r="E11" s="6">
        <v>41806</v>
      </c>
      <c r="F11" s="6">
        <v>41821</v>
      </c>
      <c r="G11" s="6">
        <v>41821</v>
      </c>
      <c r="H11" s="6">
        <v>41821</v>
      </c>
      <c r="I11" s="17" t="s">
        <v>76</v>
      </c>
      <c r="J11" s="6">
        <v>41818</v>
      </c>
      <c r="L11" s="6">
        <v>41877</v>
      </c>
      <c r="M11" s="6">
        <v>41873</v>
      </c>
      <c r="N11" s="6">
        <v>41926</v>
      </c>
      <c r="O11" s="6">
        <v>41869</v>
      </c>
      <c r="P11" s="6">
        <v>41873</v>
      </c>
      <c r="Q11" s="6">
        <v>42171</v>
      </c>
      <c r="T11" s="60" t="s">
        <v>73</v>
      </c>
      <c r="U11" s="1">
        <v>42306</v>
      </c>
    </row>
    <row r="12" spans="2:48" ht="20.25" customHeight="1">
      <c r="B12" s="16">
        <v>322</v>
      </c>
      <c r="C12" s="60" t="s">
        <v>74</v>
      </c>
      <c r="D12" s="4">
        <v>3</v>
      </c>
      <c r="E12" s="6">
        <v>41813</v>
      </c>
      <c r="F12" s="6">
        <v>41821</v>
      </c>
      <c r="G12" s="6">
        <v>41821</v>
      </c>
      <c r="H12" s="6">
        <v>41821</v>
      </c>
      <c r="I12" s="17" t="s">
        <v>76</v>
      </c>
      <c r="J12" s="6">
        <v>41825</v>
      </c>
      <c r="K12" s="6">
        <v>41821</v>
      </c>
      <c r="L12" s="6">
        <v>41884</v>
      </c>
      <c r="M12" s="6">
        <v>41878</v>
      </c>
      <c r="N12" s="6">
        <v>41933</v>
      </c>
      <c r="O12" s="6">
        <v>41876</v>
      </c>
      <c r="P12" s="6">
        <v>41878</v>
      </c>
      <c r="Q12" s="6">
        <v>42178</v>
      </c>
      <c r="T12" s="60" t="s">
        <v>73</v>
      </c>
      <c r="U12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6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29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$U$14</f>
        <v>42306</v>
      </c>
      <c r="G4" s="23"/>
      <c r="H4" s="23"/>
      <c r="I4" s="7"/>
      <c r="J4" s="23"/>
      <c r="K4" s="23"/>
      <c r="L4" s="30" t="s">
        <v>17</v>
      </c>
      <c r="M4" s="36">
        <f>$B$14</f>
        <v>221</v>
      </c>
      <c r="N4" s="154" t="str">
        <f>$C$14</f>
        <v>GUILLOT Christine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33" t="s">
        <v>32</v>
      </c>
      <c r="M8" s="33" t="s">
        <v>31</v>
      </c>
      <c r="N8" s="34" t="s">
        <v>33</v>
      </c>
      <c r="O8" s="34" t="s">
        <v>34</v>
      </c>
      <c r="P8" s="34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221</v>
      </c>
      <c r="C10" s="15" t="s">
        <v>62</v>
      </c>
      <c r="D10" s="4">
        <v>1</v>
      </c>
      <c r="E10" s="6">
        <v>41775</v>
      </c>
      <c r="F10" s="6">
        <v>41820</v>
      </c>
      <c r="G10" s="6">
        <v>41820</v>
      </c>
      <c r="H10" s="6">
        <v>41800</v>
      </c>
      <c r="I10" s="17" t="s">
        <v>77</v>
      </c>
      <c r="J10" s="6">
        <v>41787</v>
      </c>
      <c r="K10" s="6">
        <v>41803</v>
      </c>
      <c r="L10" s="6">
        <v>41846</v>
      </c>
      <c r="M10" s="6">
        <v>41877</v>
      </c>
      <c r="N10" s="6">
        <v>41895</v>
      </c>
      <c r="O10" s="6">
        <v>41815</v>
      </c>
      <c r="P10" s="6">
        <v>41820</v>
      </c>
      <c r="Q10" s="6">
        <v>42140</v>
      </c>
      <c r="R10" s="6">
        <v>42074</v>
      </c>
      <c r="S10" s="6">
        <v>42103</v>
      </c>
      <c r="T10" s="15" t="s">
        <v>61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25.5">
      <c r="B11" s="45">
        <v>221</v>
      </c>
      <c r="C11" s="46" t="s">
        <v>62</v>
      </c>
      <c r="D11" s="4">
        <v>2</v>
      </c>
      <c r="E11" s="6">
        <v>41781</v>
      </c>
      <c r="F11" s="6">
        <v>41787</v>
      </c>
      <c r="G11" s="6">
        <v>41787</v>
      </c>
      <c r="H11" s="6">
        <v>41787</v>
      </c>
      <c r="I11" s="47" t="s">
        <v>76</v>
      </c>
      <c r="J11" s="6">
        <v>41793</v>
      </c>
      <c r="K11" s="6">
        <v>41820</v>
      </c>
      <c r="L11" s="6">
        <v>41852</v>
      </c>
      <c r="M11" s="6">
        <v>41849</v>
      </c>
      <c r="N11" s="6">
        <v>41901</v>
      </c>
      <c r="O11" s="6">
        <v>41815</v>
      </c>
      <c r="P11" s="6">
        <v>41820</v>
      </c>
      <c r="Q11" s="6">
        <v>42146</v>
      </c>
      <c r="R11" s="6">
        <v>42100</v>
      </c>
      <c r="S11" s="6">
        <v>42103</v>
      </c>
      <c r="T11" s="46" t="s">
        <v>61</v>
      </c>
      <c r="U11" s="1">
        <v>42306</v>
      </c>
    </row>
    <row r="12" spans="2:48" ht="25.5">
      <c r="B12" s="45">
        <v>221</v>
      </c>
      <c r="C12" s="46" t="s">
        <v>62</v>
      </c>
      <c r="D12" s="4">
        <v>3</v>
      </c>
      <c r="E12" s="6">
        <v>41785</v>
      </c>
      <c r="F12" s="6">
        <v>41820</v>
      </c>
      <c r="G12" s="6">
        <v>41820</v>
      </c>
      <c r="H12" s="6">
        <v>41820</v>
      </c>
      <c r="I12" s="109" t="s">
        <v>76</v>
      </c>
      <c r="J12" s="6">
        <v>41797</v>
      </c>
      <c r="K12" s="6">
        <v>41820</v>
      </c>
      <c r="L12" s="6">
        <v>41856</v>
      </c>
      <c r="M12" s="6">
        <v>41820</v>
      </c>
      <c r="N12" s="6">
        <v>41905</v>
      </c>
      <c r="O12" s="6">
        <v>41813</v>
      </c>
      <c r="P12" s="6">
        <v>41820</v>
      </c>
      <c r="Q12" s="6">
        <v>42150</v>
      </c>
      <c r="T12" s="46" t="s">
        <v>61</v>
      </c>
      <c r="U12" s="1">
        <v>42306</v>
      </c>
    </row>
    <row r="13" spans="2:48" ht="25.5">
      <c r="B13" s="118">
        <v>221</v>
      </c>
      <c r="C13" s="119" t="s">
        <v>62</v>
      </c>
      <c r="D13" s="4">
        <v>4</v>
      </c>
      <c r="E13" s="6">
        <v>41968</v>
      </c>
      <c r="F13" s="6">
        <v>41976</v>
      </c>
      <c r="G13" s="6">
        <v>41976</v>
      </c>
      <c r="I13" s="109" t="s">
        <v>57</v>
      </c>
      <c r="J13" s="6">
        <v>41980</v>
      </c>
      <c r="L13" s="6">
        <v>42039</v>
      </c>
      <c r="N13" s="6">
        <v>42088</v>
      </c>
      <c r="O13" s="6">
        <v>42027</v>
      </c>
      <c r="P13" s="6">
        <v>42032</v>
      </c>
      <c r="Q13" s="6">
        <v>42333</v>
      </c>
      <c r="R13" s="6">
        <v>42097</v>
      </c>
      <c r="S13" s="6">
        <v>42104</v>
      </c>
      <c r="T13" s="119" t="s">
        <v>61</v>
      </c>
      <c r="U13" s="1">
        <v>42306</v>
      </c>
    </row>
    <row r="14" spans="2:48" ht="25.5">
      <c r="B14" s="118">
        <v>221</v>
      </c>
      <c r="C14" s="119" t="s">
        <v>62</v>
      </c>
      <c r="D14" s="4">
        <v>5</v>
      </c>
      <c r="E14" s="6">
        <v>41927</v>
      </c>
      <c r="F14" s="6">
        <v>41970</v>
      </c>
      <c r="G14" s="6">
        <v>41970</v>
      </c>
      <c r="H14" s="6">
        <v>41970</v>
      </c>
      <c r="I14" s="109" t="s">
        <v>76</v>
      </c>
      <c r="J14" s="6">
        <v>41939</v>
      </c>
      <c r="K14" s="6">
        <v>42033</v>
      </c>
      <c r="L14" s="6">
        <v>41998</v>
      </c>
      <c r="M14" s="6">
        <v>42033</v>
      </c>
      <c r="N14" s="6">
        <v>42047</v>
      </c>
      <c r="O14" s="6">
        <v>41960</v>
      </c>
      <c r="P14" s="6">
        <v>41971</v>
      </c>
      <c r="Q14" s="6">
        <v>42292</v>
      </c>
      <c r="R14" s="6">
        <v>42091</v>
      </c>
      <c r="S14" s="6">
        <v>42104</v>
      </c>
      <c r="T14" s="119" t="s">
        <v>61</v>
      </c>
      <c r="U14" s="1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1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132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133" t="s">
        <v>17</v>
      </c>
      <c r="M4" s="36">
        <f>$B$12</f>
        <v>436</v>
      </c>
      <c r="N4" s="154" t="str">
        <f>$C$12</f>
        <v>HUGUES HANNA Anne-Marie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131" t="s">
        <v>32</v>
      </c>
      <c r="M8" s="131" t="s">
        <v>31</v>
      </c>
      <c r="N8" s="130" t="s">
        <v>33</v>
      </c>
      <c r="O8" s="130" t="s">
        <v>34</v>
      </c>
      <c r="P8" s="130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436</v>
      </c>
      <c r="C10" s="15" t="s">
        <v>96</v>
      </c>
      <c r="D10" s="4">
        <v>1</v>
      </c>
      <c r="E10" s="6"/>
      <c r="F10" s="6"/>
      <c r="G10" s="6"/>
      <c r="H10" s="6"/>
      <c r="I10" s="109" t="s">
        <v>57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15" t="s">
        <v>95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34">
        <v>436</v>
      </c>
      <c r="C11" s="135" t="s">
        <v>96</v>
      </c>
      <c r="D11" s="4">
        <v>2</v>
      </c>
      <c r="I11" s="109" t="s">
        <v>57</v>
      </c>
      <c r="T11" s="135" t="s">
        <v>95</v>
      </c>
      <c r="U11" s="1">
        <v>42306</v>
      </c>
    </row>
    <row r="12" spans="2:48" ht="20.25" customHeight="1">
      <c r="B12" s="134">
        <v>436</v>
      </c>
      <c r="C12" s="135" t="s">
        <v>96</v>
      </c>
      <c r="D12" s="4">
        <v>3</v>
      </c>
      <c r="I12" s="109" t="s">
        <v>57</v>
      </c>
      <c r="T12" s="135" t="s">
        <v>95</v>
      </c>
      <c r="U12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50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51" t="s">
        <v>17</v>
      </c>
      <c r="M4" s="36">
        <f>$B$12</f>
        <v>310</v>
      </c>
      <c r="N4" s="154" t="str">
        <f>$C$12</f>
        <v>GUYADER Laurent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49" t="s">
        <v>32</v>
      </c>
      <c r="M8" s="49" t="s">
        <v>31</v>
      </c>
      <c r="N8" s="48" t="s">
        <v>33</v>
      </c>
      <c r="O8" s="48" t="s">
        <v>34</v>
      </c>
      <c r="P8" s="48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310</v>
      </c>
      <c r="C10" s="15" t="s">
        <v>70</v>
      </c>
      <c r="D10" s="4">
        <v>1</v>
      </c>
      <c r="E10" s="6"/>
      <c r="F10" s="6"/>
      <c r="G10" s="6"/>
      <c r="H10" s="6"/>
      <c r="I10" s="17" t="s">
        <v>57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15" t="s">
        <v>69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45">
        <v>310</v>
      </c>
      <c r="C11" s="46" t="s">
        <v>70</v>
      </c>
      <c r="D11" s="4">
        <v>2</v>
      </c>
      <c r="I11" s="17" t="s">
        <v>57</v>
      </c>
      <c r="T11" s="46" t="s">
        <v>69</v>
      </c>
      <c r="U11" s="1">
        <v>42306</v>
      </c>
    </row>
    <row r="12" spans="2:48" ht="20.25" customHeight="1">
      <c r="B12" s="45">
        <v>310</v>
      </c>
      <c r="C12" s="46" t="s">
        <v>70</v>
      </c>
      <c r="D12" s="4">
        <v>3</v>
      </c>
      <c r="I12" s="17" t="s">
        <v>57</v>
      </c>
      <c r="T12" s="46" t="s">
        <v>69</v>
      </c>
      <c r="U12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37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38" t="s">
        <v>17</v>
      </c>
      <c r="M4" s="36">
        <f>$B$12</f>
        <v>220</v>
      </c>
      <c r="N4" s="154" t="str">
        <f>$C$12</f>
        <v>MARTIN-DESNOYERS Sylvie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40" t="s">
        <v>32</v>
      </c>
      <c r="M8" s="40" t="s">
        <v>31</v>
      </c>
      <c r="N8" s="39" t="s">
        <v>33</v>
      </c>
      <c r="O8" s="39" t="s">
        <v>34</v>
      </c>
      <c r="P8" s="39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220</v>
      </c>
      <c r="C10" s="15" t="s">
        <v>64</v>
      </c>
      <c r="D10" s="4">
        <v>1</v>
      </c>
      <c r="E10" s="6"/>
      <c r="F10" s="6"/>
      <c r="G10" s="6"/>
      <c r="H10" s="6"/>
      <c r="I10" s="17" t="s">
        <v>57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15" t="s">
        <v>63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45">
        <v>220</v>
      </c>
      <c r="C11" s="46" t="s">
        <v>64</v>
      </c>
      <c r="D11" s="4">
        <v>2</v>
      </c>
      <c r="I11" s="17" t="s">
        <v>57</v>
      </c>
      <c r="T11" s="46" t="s">
        <v>63</v>
      </c>
      <c r="U11" s="1">
        <v>42306</v>
      </c>
    </row>
    <row r="12" spans="2:48" ht="20.25" customHeight="1">
      <c r="B12" s="45">
        <v>220</v>
      </c>
      <c r="C12" s="46" t="s">
        <v>64</v>
      </c>
      <c r="D12" s="4">
        <v>3</v>
      </c>
      <c r="I12" s="17" t="s">
        <v>57</v>
      </c>
      <c r="T12" s="46" t="s">
        <v>63</v>
      </c>
      <c r="U12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9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37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$U$14</f>
        <v>42306</v>
      </c>
      <c r="G4" s="23"/>
      <c r="H4" s="23"/>
      <c r="I4" s="7"/>
      <c r="J4" s="23"/>
      <c r="K4" s="23"/>
      <c r="L4" s="38" t="s">
        <v>17</v>
      </c>
      <c r="M4" s="36">
        <f>$B$14</f>
        <v>261</v>
      </c>
      <c r="N4" s="154" t="str">
        <f>$C$14</f>
        <v>MESANA Joëlle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40" t="s">
        <v>32</v>
      </c>
      <c r="M8" s="40" t="s">
        <v>31</v>
      </c>
      <c r="N8" s="39" t="s">
        <v>33</v>
      </c>
      <c r="O8" s="39" t="s">
        <v>34</v>
      </c>
      <c r="P8" s="39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261</v>
      </c>
      <c r="C10" s="15" t="s">
        <v>66</v>
      </c>
      <c r="D10" s="4">
        <v>1</v>
      </c>
      <c r="E10" s="6">
        <v>41740</v>
      </c>
      <c r="F10" s="6">
        <v>41785</v>
      </c>
      <c r="G10" s="6">
        <v>41785</v>
      </c>
      <c r="H10" s="6">
        <v>41785</v>
      </c>
      <c r="I10" s="17" t="s">
        <v>76</v>
      </c>
      <c r="J10" s="6">
        <v>41752</v>
      </c>
      <c r="K10" s="6">
        <v>41785</v>
      </c>
      <c r="L10" s="6">
        <v>41811</v>
      </c>
      <c r="M10" s="6">
        <v>41865</v>
      </c>
      <c r="N10" s="6">
        <v>41860</v>
      </c>
      <c r="O10" s="6">
        <v>41751</v>
      </c>
      <c r="P10" s="6">
        <v>41785</v>
      </c>
      <c r="Q10" s="6">
        <v>42105</v>
      </c>
      <c r="R10" s="6">
        <v>41922</v>
      </c>
      <c r="S10" s="6">
        <v>41968</v>
      </c>
      <c r="T10" s="15" t="s">
        <v>65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45">
        <v>261</v>
      </c>
      <c r="C11" s="46" t="s">
        <v>66</v>
      </c>
      <c r="D11" s="4">
        <v>2</v>
      </c>
      <c r="E11" s="6">
        <v>41757</v>
      </c>
      <c r="F11" s="6">
        <v>41785</v>
      </c>
      <c r="G11" s="6">
        <v>41785</v>
      </c>
      <c r="H11" s="6">
        <v>41785</v>
      </c>
      <c r="I11" s="47" t="s">
        <v>76</v>
      </c>
      <c r="J11" s="6">
        <v>41769</v>
      </c>
      <c r="K11" s="6">
        <v>41785</v>
      </c>
      <c r="L11" s="6">
        <v>41828</v>
      </c>
      <c r="M11" s="6">
        <v>41865</v>
      </c>
      <c r="N11" s="6">
        <v>41877</v>
      </c>
      <c r="O11" s="6">
        <v>41771</v>
      </c>
      <c r="P11" s="6">
        <v>41785</v>
      </c>
      <c r="Q11" s="6">
        <v>42122</v>
      </c>
      <c r="R11" s="6">
        <v>41948</v>
      </c>
      <c r="S11" s="6">
        <v>41968</v>
      </c>
      <c r="T11" s="46" t="s">
        <v>65</v>
      </c>
      <c r="U11" s="1">
        <v>42306</v>
      </c>
    </row>
    <row r="12" spans="2:48" ht="20.25" customHeight="1">
      <c r="B12" s="45">
        <v>261</v>
      </c>
      <c r="C12" s="46" t="s">
        <v>66</v>
      </c>
      <c r="D12" s="4">
        <v>3</v>
      </c>
      <c r="E12" s="6">
        <v>41779</v>
      </c>
      <c r="F12" s="6">
        <v>41785</v>
      </c>
      <c r="G12" s="6">
        <v>41785</v>
      </c>
      <c r="H12" s="6">
        <v>41785</v>
      </c>
      <c r="I12" s="47" t="s">
        <v>76</v>
      </c>
      <c r="J12" s="6">
        <v>41791</v>
      </c>
      <c r="K12" s="6">
        <v>41865</v>
      </c>
      <c r="L12" s="6">
        <v>41850</v>
      </c>
      <c r="M12" s="6">
        <v>41865</v>
      </c>
      <c r="N12" s="6">
        <v>41899</v>
      </c>
      <c r="O12" s="6">
        <v>41887</v>
      </c>
      <c r="P12" s="6">
        <v>41968</v>
      </c>
      <c r="Q12" s="6">
        <v>42144</v>
      </c>
      <c r="R12" s="6">
        <v>41964</v>
      </c>
      <c r="S12" s="6">
        <v>41968</v>
      </c>
      <c r="T12" s="46" t="s">
        <v>65</v>
      </c>
      <c r="U12" s="1">
        <v>42306</v>
      </c>
    </row>
    <row r="13" spans="2:48" ht="25.5">
      <c r="B13" s="45">
        <v>261</v>
      </c>
      <c r="C13" s="46" t="s">
        <v>66</v>
      </c>
      <c r="D13" s="4">
        <v>4</v>
      </c>
      <c r="E13" s="6">
        <v>41786</v>
      </c>
      <c r="F13" s="6">
        <v>41792</v>
      </c>
      <c r="G13" s="6">
        <v>41792</v>
      </c>
      <c r="H13" s="6">
        <v>41792</v>
      </c>
      <c r="I13" s="47" t="s">
        <v>76</v>
      </c>
      <c r="J13" s="6">
        <v>41798</v>
      </c>
      <c r="K13" s="6">
        <v>41803</v>
      </c>
      <c r="L13" s="6">
        <v>41857</v>
      </c>
      <c r="N13" s="6">
        <v>41906</v>
      </c>
      <c r="O13" s="6">
        <v>41856</v>
      </c>
      <c r="P13" s="6">
        <v>41865</v>
      </c>
      <c r="Q13" s="6">
        <v>42151</v>
      </c>
      <c r="R13" s="6">
        <v>41911</v>
      </c>
      <c r="S13" s="6">
        <v>41968</v>
      </c>
      <c r="T13" s="46" t="s">
        <v>65</v>
      </c>
      <c r="U13" s="1">
        <v>42306</v>
      </c>
    </row>
    <row r="14" spans="2:48" ht="25.5">
      <c r="B14" s="45">
        <v>261</v>
      </c>
      <c r="C14" s="46" t="s">
        <v>66</v>
      </c>
      <c r="D14" s="4">
        <v>5</v>
      </c>
      <c r="E14" s="6">
        <v>41787</v>
      </c>
      <c r="F14" s="6">
        <v>41794</v>
      </c>
      <c r="G14" s="6">
        <v>41794</v>
      </c>
      <c r="H14" s="6">
        <v>41792</v>
      </c>
      <c r="I14" s="47" t="s">
        <v>76</v>
      </c>
      <c r="J14" s="6">
        <v>41799</v>
      </c>
      <c r="K14" s="6">
        <v>41800</v>
      </c>
      <c r="L14" s="6">
        <v>41858</v>
      </c>
      <c r="N14" s="6">
        <v>41907</v>
      </c>
      <c r="O14" s="6">
        <v>41857</v>
      </c>
      <c r="P14" s="6">
        <v>41865</v>
      </c>
      <c r="Q14" s="6">
        <v>42152</v>
      </c>
      <c r="R14" s="6">
        <v>41950</v>
      </c>
      <c r="S14" s="6">
        <v>41968</v>
      </c>
      <c r="T14" s="46" t="s">
        <v>65</v>
      </c>
      <c r="U14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5"/>
  <dimension ref="B1:AV12"/>
  <sheetViews>
    <sheetView workbookViewId="0">
      <selection activeCell="J22" sqref="J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132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133" t="s">
        <v>17</v>
      </c>
      <c r="M4" s="36">
        <f>$B$12</f>
        <v>437</v>
      </c>
      <c r="N4" s="154" t="str">
        <f>$C$12</f>
        <v>MONIN-MURACCIOLE Anne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131" t="s">
        <v>32</v>
      </c>
      <c r="M8" s="131" t="s">
        <v>31</v>
      </c>
      <c r="N8" s="130" t="s">
        <v>33</v>
      </c>
      <c r="O8" s="130" t="s">
        <v>34</v>
      </c>
      <c r="P8" s="130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437</v>
      </c>
      <c r="C10" s="15" t="s">
        <v>99</v>
      </c>
      <c r="D10" s="4">
        <v>1</v>
      </c>
      <c r="E10" s="6"/>
      <c r="F10" s="6"/>
      <c r="G10" s="6"/>
      <c r="H10" s="6"/>
      <c r="I10" s="109" t="s">
        <v>57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15" t="s">
        <v>97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34">
        <v>437</v>
      </c>
      <c r="C11" s="135" t="s">
        <v>99</v>
      </c>
      <c r="D11" s="4">
        <v>2</v>
      </c>
      <c r="I11" s="109" t="s">
        <v>57</v>
      </c>
      <c r="T11" s="135" t="s">
        <v>97</v>
      </c>
      <c r="U11" s="1">
        <v>42306</v>
      </c>
    </row>
    <row r="12" spans="2:48" ht="20.25" customHeight="1">
      <c r="B12" s="134">
        <v>437</v>
      </c>
      <c r="C12" s="135" t="s">
        <v>99</v>
      </c>
      <c r="D12" s="4">
        <v>3</v>
      </c>
      <c r="I12" s="109" t="s">
        <v>57</v>
      </c>
      <c r="T12" s="135" t="s">
        <v>97</v>
      </c>
      <c r="U12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1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110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111" t="s">
        <v>17</v>
      </c>
      <c r="M4" s="36">
        <f>$B$12</f>
        <v>403</v>
      </c>
      <c r="N4" s="154" t="str">
        <f>$C$12</f>
        <v>PASCAL Jacques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113" t="s">
        <v>32</v>
      </c>
      <c r="M8" s="113" t="s">
        <v>31</v>
      </c>
      <c r="N8" s="112" t="s">
        <v>33</v>
      </c>
      <c r="O8" s="112" t="s">
        <v>34</v>
      </c>
      <c r="P8" s="112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403</v>
      </c>
      <c r="C10" s="15" t="s">
        <v>88</v>
      </c>
      <c r="D10" s="4">
        <v>1</v>
      </c>
      <c r="E10" s="6">
        <v>41935</v>
      </c>
      <c r="F10" s="6">
        <v>41939</v>
      </c>
      <c r="G10" s="6">
        <v>41967</v>
      </c>
      <c r="H10" s="6">
        <v>41957</v>
      </c>
      <c r="I10" s="109" t="s">
        <v>84</v>
      </c>
      <c r="J10" s="6">
        <v>41947</v>
      </c>
      <c r="K10" s="6">
        <v>41957</v>
      </c>
      <c r="L10" s="6">
        <v>42006</v>
      </c>
      <c r="M10" s="6">
        <v>42006</v>
      </c>
      <c r="N10" s="6">
        <v>42055</v>
      </c>
      <c r="O10" s="6">
        <v>41963</v>
      </c>
      <c r="P10" s="6">
        <v>41967</v>
      </c>
      <c r="Q10" s="6">
        <v>42300</v>
      </c>
      <c r="R10" s="6"/>
      <c r="S10" s="6"/>
      <c r="T10" s="15" t="s">
        <v>87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28">
        <v>403</v>
      </c>
      <c r="C11" s="129" t="s">
        <v>88</v>
      </c>
      <c r="D11" s="4">
        <v>2</v>
      </c>
      <c r="E11" s="6">
        <v>41942</v>
      </c>
      <c r="F11" s="6">
        <v>41946</v>
      </c>
      <c r="G11" s="6">
        <v>41946</v>
      </c>
      <c r="H11" s="6">
        <v>41946</v>
      </c>
      <c r="I11" s="109" t="s">
        <v>76</v>
      </c>
      <c r="J11" s="6">
        <v>41954</v>
      </c>
      <c r="L11" s="6">
        <v>42013</v>
      </c>
      <c r="N11" s="6">
        <v>42062</v>
      </c>
      <c r="Q11" s="6">
        <v>42307</v>
      </c>
      <c r="T11" s="129" t="s">
        <v>87</v>
      </c>
      <c r="U11" s="1">
        <v>42306</v>
      </c>
    </row>
    <row r="12" spans="2:48" ht="20.25" customHeight="1">
      <c r="B12" s="128">
        <v>403</v>
      </c>
      <c r="C12" s="129" t="s">
        <v>88</v>
      </c>
      <c r="D12" s="4">
        <v>3</v>
      </c>
      <c r="E12" s="6">
        <v>41955</v>
      </c>
      <c r="F12" s="6">
        <v>41957</v>
      </c>
      <c r="H12" s="6">
        <v>41976</v>
      </c>
      <c r="I12" s="109" t="s">
        <v>103</v>
      </c>
      <c r="J12" s="6">
        <v>41967</v>
      </c>
      <c r="K12" s="6">
        <v>41976</v>
      </c>
      <c r="L12" s="6">
        <v>42026</v>
      </c>
      <c r="M12" s="6">
        <v>42025</v>
      </c>
      <c r="N12" s="6">
        <v>42075</v>
      </c>
      <c r="Q12" s="6">
        <v>42320</v>
      </c>
      <c r="T12" s="129" t="s">
        <v>87</v>
      </c>
      <c r="U12" s="1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Feuil1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126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127" t="s">
        <v>17</v>
      </c>
      <c r="M4" s="36">
        <f>$B$12</f>
        <v>428</v>
      </c>
      <c r="N4" s="154" t="str">
        <f>$C$12</f>
        <v>REY-GOMEZ Anne-Christine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125" t="s">
        <v>32</v>
      </c>
      <c r="M8" s="125" t="s">
        <v>31</v>
      </c>
      <c r="N8" s="124" t="s">
        <v>33</v>
      </c>
      <c r="O8" s="124" t="s">
        <v>34</v>
      </c>
      <c r="P8" s="124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428</v>
      </c>
      <c r="C10" s="15" t="s">
        <v>94</v>
      </c>
      <c r="D10" s="4">
        <v>1</v>
      </c>
      <c r="E10" s="6">
        <v>41929</v>
      </c>
      <c r="F10" s="6">
        <v>42046</v>
      </c>
      <c r="G10" s="6">
        <v>42046</v>
      </c>
      <c r="H10" s="6">
        <v>41974</v>
      </c>
      <c r="I10" s="109" t="s">
        <v>85</v>
      </c>
      <c r="J10" s="6">
        <v>41941</v>
      </c>
      <c r="K10" s="6">
        <v>41974</v>
      </c>
      <c r="L10" s="6">
        <v>42000</v>
      </c>
      <c r="M10" s="6">
        <v>42026</v>
      </c>
      <c r="N10" s="6">
        <v>42049</v>
      </c>
      <c r="O10" s="6"/>
      <c r="P10" s="6"/>
      <c r="Q10" s="6">
        <v>42294</v>
      </c>
      <c r="R10" s="6"/>
      <c r="S10" s="6"/>
      <c r="T10" s="15" t="s">
        <v>93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34">
        <v>428</v>
      </c>
      <c r="C11" s="135" t="s">
        <v>94</v>
      </c>
      <c r="D11" s="4">
        <v>2</v>
      </c>
      <c r="E11" s="6">
        <v>41975</v>
      </c>
      <c r="F11" s="6">
        <v>42074</v>
      </c>
      <c r="H11" s="6">
        <v>42074</v>
      </c>
      <c r="I11" s="109" t="s">
        <v>103</v>
      </c>
      <c r="J11" s="6">
        <v>41987</v>
      </c>
      <c r="K11" s="6">
        <v>41989</v>
      </c>
      <c r="L11" s="6">
        <v>42046</v>
      </c>
      <c r="M11" s="6">
        <v>42045</v>
      </c>
      <c r="N11" s="6">
        <v>42095</v>
      </c>
      <c r="Q11" s="6">
        <v>42340</v>
      </c>
      <c r="T11" s="135" t="s">
        <v>93</v>
      </c>
      <c r="U11" s="1">
        <v>42306</v>
      </c>
    </row>
    <row r="12" spans="2:48" ht="20.25" customHeight="1">
      <c r="B12" s="134">
        <v>428</v>
      </c>
      <c r="C12" s="135" t="s">
        <v>94</v>
      </c>
      <c r="D12" s="4">
        <v>3</v>
      </c>
      <c r="I12" s="109" t="s">
        <v>57</v>
      </c>
      <c r="T12" s="135" t="s">
        <v>93</v>
      </c>
      <c r="U12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Feuil1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4" customWidth="1"/>
    <col min="5" max="5" width="15.85546875" style="6" customWidth="1"/>
    <col min="6" max="6" width="20.28515625" style="6" customWidth="1"/>
    <col min="7" max="7" width="19.42578125" style="6" customWidth="1"/>
    <col min="8" max="8" width="17" style="6" customWidth="1"/>
    <col min="9" max="9" width="21" customWidth="1"/>
    <col min="10" max="10" width="13.7109375" style="6" customWidth="1"/>
    <col min="11" max="11" width="17.7109375" style="6" customWidth="1"/>
    <col min="12" max="12" width="15.28515625" style="6" customWidth="1"/>
    <col min="13" max="13" width="19" style="6" customWidth="1"/>
    <col min="14" max="14" width="13.7109375" style="6" customWidth="1"/>
    <col min="15" max="15" width="17.42578125" style="6" customWidth="1"/>
    <col min="16" max="16" width="21.42578125" style="6" customWidth="1"/>
    <col min="17" max="17" width="13.7109375" style="6" bestFit="1" customWidth="1"/>
    <col min="18" max="18" width="15.7109375" style="6" customWidth="1"/>
    <col min="19" max="19" width="19.7109375" style="6" customWidth="1"/>
    <col min="20" max="20" width="14.7109375" hidden="1" customWidth="1"/>
    <col min="21" max="21" width="13.7109375" style="1" hidden="1" customWidth="1"/>
  </cols>
  <sheetData>
    <row r="1" spans="2:48">
      <c r="C1" s="7"/>
      <c r="D1" s="27"/>
      <c r="E1" s="23"/>
      <c r="F1" s="23"/>
      <c r="G1" s="23"/>
      <c r="H1" s="23"/>
      <c r="I1" s="7"/>
      <c r="J1" s="23"/>
      <c r="K1" s="23"/>
      <c r="L1" s="23"/>
      <c r="M1" s="23"/>
      <c r="N1" s="23"/>
      <c r="O1" s="23"/>
      <c r="P1" s="23"/>
      <c r="Q1" s="23"/>
      <c r="R1" s="23"/>
      <c r="S1" s="23"/>
      <c r="T1" s="7"/>
      <c r="U1" s="18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2:48" ht="27">
      <c r="C2" s="7"/>
      <c r="D2" s="5" t="s">
        <v>0</v>
      </c>
      <c r="E2" s="24"/>
      <c r="F2" s="25"/>
      <c r="G2" s="150" t="s">
        <v>16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7"/>
      <c r="U2" s="1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2:48" ht="27">
      <c r="C3" s="7"/>
      <c r="D3" s="28"/>
      <c r="E3" s="25"/>
      <c r="F3" s="25"/>
      <c r="G3" s="23"/>
      <c r="H3" s="23"/>
      <c r="I3" s="7"/>
      <c r="J3" s="23"/>
      <c r="K3" s="23"/>
      <c r="L3" s="152"/>
      <c r="M3" s="152"/>
      <c r="N3" s="152"/>
      <c r="O3" s="138"/>
      <c r="P3" s="23"/>
      <c r="Q3" s="23"/>
      <c r="R3" s="23"/>
      <c r="S3" s="23"/>
      <c r="T3" s="7"/>
      <c r="U3" s="18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2:48" ht="24" customHeight="1">
      <c r="C4" s="7"/>
      <c r="D4" s="153" t="s">
        <v>58</v>
      </c>
      <c r="E4" s="153"/>
      <c r="F4" s="26">
        <f>$U$12</f>
        <v>42306</v>
      </c>
      <c r="G4" s="23"/>
      <c r="H4" s="23"/>
      <c r="I4" s="7"/>
      <c r="J4" s="23"/>
      <c r="K4" s="23"/>
      <c r="L4" s="139" t="s">
        <v>17</v>
      </c>
      <c r="M4" s="36">
        <f>$B$12</f>
        <v>445</v>
      </c>
      <c r="N4" s="154" t="str">
        <f>$C$12</f>
        <v>BOMART Joëlle</v>
      </c>
      <c r="O4" s="154"/>
      <c r="P4" s="154"/>
      <c r="Q4" s="154"/>
      <c r="R4" s="154"/>
      <c r="S4" s="23"/>
      <c r="T4" s="7"/>
      <c r="U4" s="18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2:48">
      <c r="C5" s="7"/>
      <c r="D5" s="27"/>
      <c r="E5" s="23"/>
      <c r="F5" s="23"/>
      <c r="G5" s="23"/>
      <c r="H5" s="23"/>
      <c r="I5" s="7"/>
      <c r="J5" s="23"/>
      <c r="K5" s="23"/>
      <c r="L5" s="23"/>
      <c r="M5" s="23"/>
      <c r="N5" s="23"/>
      <c r="O5" s="23"/>
      <c r="P5" s="23"/>
      <c r="Q5" s="23"/>
      <c r="R5" s="31" t="s">
        <v>18</v>
      </c>
      <c r="S5" s="23"/>
      <c r="T5" s="7"/>
      <c r="U5" s="18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2:48" s="9" customFormat="1" ht="19.5" customHeight="1">
      <c r="C6" s="8"/>
      <c r="D6" s="155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8"/>
      <c r="U6" s="19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s="9" customFormat="1" ht="39.75" customHeight="1">
      <c r="C7" s="8"/>
      <c r="D7" s="10"/>
      <c r="E7" s="157" t="s">
        <v>19</v>
      </c>
      <c r="F7" s="158"/>
      <c r="G7" s="158"/>
      <c r="H7" s="158"/>
      <c r="I7" s="158"/>
      <c r="J7" s="159" t="s">
        <v>20</v>
      </c>
      <c r="K7" s="160"/>
      <c r="L7" s="161" t="s">
        <v>21</v>
      </c>
      <c r="M7" s="161"/>
      <c r="N7" s="162" t="s">
        <v>22</v>
      </c>
      <c r="O7" s="163"/>
      <c r="P7" s="164"/>
      <c r="Q7" s="165" t="s">
        <v>23</v>
      </c>
      <c r="R7" s="163"/>
      <c r="S7" s="164"/>
      <c r="T7" s="8"/>
      <c r="U7" s="1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s="14" customFormat="1" ht="76.5">
      <c r="C8" s="11"/>
      <c r="D8" s="12" t="s">
        <v>24</v>
      </c>
      <c r="E8" s="22" t="s">
        <v>25</v>
      </c>
      <c r="F8" s="22" t="s">
        <v>26</v>
      </c>
      <c r="G8" s="22" t="s">
        <v>27</v>
      </c>
      <c r="H8" s="22" t="s">
        <v>28</v>
      </c>
      <c r="I8" s="13" t="s">
        <v>29</v>
      </c>
      <c r="J8" s="32" t="s">
        <v>30</v>
      </c>
      <c r="K8" s="32" t="s">
        <v>31</v>
      </c>
      <c r="L8" s="137" t="s">
        <v>32</v>
      </c>
      <c r="M8" s="137" t="s">
        <v>31</v>
      </c>
      <c r="N8" s="136" t="s">
        <v>33</v>
      </c>
      <c r="O8" s="136" t="s">
        <v>34</v>
      </c>
      <c r="P8" s="136" t="s">
        <v>35</v>
      </c>
      <c r="Q8" s="35" t="s">
        <v>36</v>
      </c>
      <c r="R8" s="35" t="s">
        <v>34</v>
      </c>
      <c r="S8" s="35" t="s">
        <v>37</v>
      </c>
      <c r="T8" s="11"/>
      <c r="U8" s="20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2:48" s="16" customFormat="1" hidden="1">
      <c r="B9" s="16" t="s">
        <v>38</v>
      </c>
      <c r="C9" s="15" t="s">
        <v>39</v>
      </c>
      <c r="D9" s="4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t="s">
        <v>45</v>
      </c>
      <c r="J9" s="6" t="s">
        <v>46</v>
      </c>
      <c r="K9" s="6" t="s">
        <v>47</v>
      </c>
      <c r="L9" s="6" t="s">
        <v>48</v>
      </c>
      <c r="M9" s="6" t="s">
        <v>49</v>
      </c>
      <c r="N9" s="6" t="s">
        <v>50</v>
      </c>
      <c r="O9" s="6" t="s">
        <v>51</v>
      </c>
      <c r="P9" s="6" t="s">
        <v>52</v>
      </c>
      <c r="Q9" s="6" t="s">
        <v>53</v>
      </c>
      <c r="R9" s="6" t="s">
        <v>54</v>
      </c>
      <c r="S9" s="6" t="s">
        <v>55</v>
      </c>
      <c r="T9" s="15" t="s">
        <v>56</v>
      </c>
      <c r="U9" s="21" t="s">
        <v>11</v>
      </c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</row>
    <row r="10" spans="2:48" s="16" customFormat="1" ht="17.25" customHeight="1">
      <c r="B10" s="16">
        <v>445</v>
      </c>
      <c r="C10" s="15" t="s">
        <v>100</v>
      </c>
      <c r="D10" s="4">
        <v>1</v>
      </c>
      <c r="E10" s="6"/>
      <c r="F10" s="6"/>
      <c r="G10" s="6"/>
      <c r="H10" s="6"/>
      <c r="I10" s="109" t="s">
        <v>57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15" t="s">
        <v>101</v>
      </c>
      <c r="U10" s="1">
        <v>42306</v>
      </c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</row>
    <row r="11" spans="2:48" ht="19.5" customHeight="1">
      <c r="B11" s="16">
        <v>445</v>
      </c>
      <c r="C11" s="60" t="s">
        <v>100</v>
      </c>
      <c r="D11" s="4">
        <v>2</v>
      </c>
      <c r="I11" s="109" t="s">
        <v>57</v>
      </c>
      <c r="T11" s="60" t="s">
        <v>101</v>
      </c>
      <c r="U11" s="1">
        <v>42306</v>
      </c>
    </row>
    <row r="12" spans="2:48" ht="20.25" customHeight="1">
      <c r="B12" s="16">
        <v>445</v>
      </c>
      <c r="C12" s="60" t="s">
        <v>100</v>
      </c>
      <c r="D12" s="4">
        <v>3</v>
      </c>
      <c r="I12" s="109" t="s">
        <v>57</v>
      </c>
      <c r="T12" s="60" t="s">
        <v>101</v>
      </c>
      <c r="U12" s="1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Secteur DE0403</vt:lpstr>
      <vt:lpstr>00068390</vt:lpstr>
      <vt:lpstr>00800016</vt:lpstr>
      <vt:lpstr>01464365</vt:lpstr>
      <vt:lpstr>03336290</vt:lpstr>
      <vt:lpstr>04025420</vt:lpstr>
      <vt:lpstr>03566256</vt:lpstr>
      <vt:lpstr>04373568</vt:lpstr>
      <vt:lpstr>09177363</vt:lpstr>
      <vt:lpstr>04410140</vt:lpstr>
      <vt:lpstr>06304849</vt:lpstr>
      <vt:lpstr>08104732</vt:lpstr>
      <vt:lpstr>06580225</vt:lpstr>
      <vt:lpstr>07063728</vt:lpstr>
      <vt:lpstr>07798228</vt:lpstr>
      <vt:lpstr>01026655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2015-10-29T22:03:02Z</dcterms:modified>
</cp:coreProperties>
</file>