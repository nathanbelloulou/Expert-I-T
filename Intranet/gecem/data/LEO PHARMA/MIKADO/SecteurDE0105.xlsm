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105" sheetId="1" r:id="rId1"/>
    <sheet name="00303030" sheetId="2" r:id="rId2"/>
    <sheet name="00801269" sheetId="3" r:id="rId3"/>
    <sheet name="01567599" sheetId="8" r:id="rId4"/>
    <sheet name="01861895" sheetId="4" r:id="rId5"/>
    <sheet name="01986037" sheetId="7" r:id="rId6"/>
    <sheet name="07963445" sheetId="5" r:id="rId7"/>
    <sheet name="09445195" sheetId="6" r:id="rId8"/>
  </sheets>
  <definedNames>
    <definedName name="Lancer_la_requête_à_partir_de_MS_Access_Database" localSheetId="1" hidden="1">'00303030'!$B$9:$U$12</definedName>
    <definedName name="Lancer_la_requête_à_partir_de_MS_Access_Database" localSheetId="2" hidden="1">'00801269'!$B$9:$U$12</definedName>
    <definedName name="Lancer_la_requête_à_partir_de_MS_Access_Database" localSheetId="3" hidden="1">'01567599'!$B$9:$U$12</definedName>
    <definedName name="Lancer_la_requête_à_partir_de_MS_Access_Database" localSheetId="4" hidden="1">'01861895'!$B$9:$U$12</definedName>
    <definedName name="Lancer_la_requête_à_partir_de_MS_Access_Database" localSheetId="5" hidden="1">'01986037'!$B$9:$U$14</definedName>
    <definedName name="Lancer_la_requête_à_partir_de_MS_Access_Database" localSheetId="6" hidden="1">'07963445'!$B$9:$U$12</definedName>
    <definedName name="Lancer_la_requête_à_partir_de_MS_Access_Database" localSheetId="7" hidden="1">'09445195'!$B$9:$U$12</definedName>
    <definedName name="Lancer_la_requête_à_partir_de_MS_Access_Database_1" localSheetId="0" hidden="1">'Secteur DE0105'!$A$7:$K$14</definedName>
  </definedNames>
  <calcPr calcId="125725"/>
</workbook>
</file>

<file path=xl/calcChain.xml><?xml version="1.0" encoding="utf-8"?>
<calcChain xmlns="http://schemas.openxmlformats.org/spreadsheetml/2006/main">
  <c r="D15" i="1"/>
  <c r="E15"/>
  <c r="F15"/>
  <c r="G15"/>
  <c r="H15"/>
  <c r="I15"/>
  <c r="N4" i="8"/>
  <c r="M4"/>
  <c r="F4"/>
  <c r="F4" i="2"/>
  <c r="N4" i="7" l="1"/>
  <c r="M4"/>
  <c r="F4"/>
  <c r="N4" i="6"/>
  <c r="M4"/>
  <c r="F4"/>
  <c r="N4" i="5"/>
  <c r="M4"/>
  <c r="F4"/>
  <c r="G2" i="1"/>
  <c r="F2"/>
  <c r="D3"/>
  <c r="N4" i="4"/>
  <c r="M4"/>
  <c r="F4"/>
  <c r="N4" i="3"/>
  <c r="M4"/>
  <c r="F4"/>
  <c r="N4" i="2"/>
  <c r="M4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105')_x000d__x000a_ORDER BY Req_REPORT_SECTEURS_GLOBAL.Medecin"/>
  </connection>
  <connection id="2" name="Lancer la requête à partir de MS Access Database0030303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303030')"/>
  </connection>
  <connection id="3" name="Lancer la requête à partir de MS Access Database0080126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801269')"/>
  </connection>
  <connection id="4" name="Lancer la requête à partir de MS Access Database0156759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567599')"/>
  </connection>
  <connection id="5" name="Lancer la requête à partir de MS Access Database0186189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861895')"/>
  </connection>
  <connection id="6" name="Lancer la requête à partir de MS Access Database0198603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986037')"/>
  </connection>
  <connection id="7" name="Lancer la requête à partir de MS Access Database0796344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963445')"/>
  </connection>
  <connection id="8" name="Lancer la requête à partir de MS Access Database0944519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445195')"/>
  </connection>
</connections>
</file>

<file path=xl/sharedStrings.xml><?xml version="1.0" encoding="utf-8"?>
<sst xmlns="http://schemas.openxmlformats.org/spreadsheetml/2006/main" count="443" uniqueCount="87">
  <si>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</si>
  <si>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</si>
  <si>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</si>
  <si>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</si>
  <si>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</si>
  <si>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</si>
  <si>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</si>
  <si>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</si>
  <si>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</si>
  <si>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</si>
  <si>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</si>
  <si>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</si>
  <si>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</si>
  <si>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</si>
  <si>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</si>
  <si>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</si>
  <si>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</si>
  <si>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</si>
  <si>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</si>
  <si>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</si>
  <si>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</si>
  <si>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</si>
  <si>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</si>
  <si>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</si>
  <si>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</si>
  <si>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</si>
  <si>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</si>
  <si>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</si>
  <si>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</si>
  <si>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</si>
  <si>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</si>
  <si>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</si>
  <si>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</si>
  <si>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</si>
  <si>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</si>
  <si>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</si>
  <si>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</si>
  <si>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</si>
  <si>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DE0105</t>
  </si>
  <si>
    <t>GALAU Brigitte</t>
  </si>
  <si>
    <t>WFRM00303030</t>
  </si>
  <si>
    <t>AUFFRET Nicole</t>
  </si>
  <si>
    <t>WFRM00801269</t>
  </si>
  <si>
    <t>BERGIS Maud</t>
  </si>
  <si>
    <t>WFRM01861895</t>
  </si>
  <si>
    <t>CHARIAL-WORMS Valérie</t>
  </si>
  <si>
    <t>WFRM07963445</t>
  </si>
  <si>
    <t>ROGER Francine</t>
  </si>
  <si>
    <t>WFRM09445195</t>
  </si>
  <si>
    <t>ZERBIB Gilda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</si>
  <si>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</si>
  <si>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</si>
  <si>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</si>
  <si>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</si>
  <si>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</si>
  <si>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</si>
  <si>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</si>
  <si>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</si>
  <si>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</si>
  <si>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</si>
  <si>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</si>
  <si>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</si>
  <si>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</si>
  <si>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</si>
  <si>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</si>
  <si>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</si>
  <si>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</si>
  <si>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</si>
  <si>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</si>
  <si>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</si>
  <si>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</si>
  <si>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WFRM01986037</t>
  </si>
  <si>
    <t>CHICHE-REPELSKI Solange</t>
  </si>
  <si>
    <t>Mail envoyé le 26mai afin de lui demander la visite d'inclusion du patient 2 (AQ J7 reçu)</t>
  </si>
  <si>
    <t>Courrier - Téléphone</t>
  </si>
  <si>
    <t>Téléphone - Via médecin</t>
  </si>
  <si>
    <t>Via médecin</t>
  </si>
  <si>
    <t>Courrier 05/08: demande envoi visite inclusion patient 3</t>
  </si>
  <si>
    <t>04/09: part en vacances. Elle demande à ce que l'on l'a rappelle à partir du 20 septembre.</t>
  </si>
  <si>
    <t>SMS</t>
  </si>
  <si>
    <t>18sept:accepte reappro, 2 cahiers envoyé</t>
  </si>
  <si>
    <t>27oct: préfère se désister n'a pas le temps de compléter les questionnaires</t>
  </si>
  <si>
    <t>WFRM01567599</t>
  </si>
  <si>
    <t>CALLOT Valérie</t>
  </si>
  <si>
    <t>25nov: n'a pas rencontré beaucoup de cas de kératose, et n'a pas eu le temps de s'occuper de l'étude</t>
  </si>
  <si>
    <t>Reste 2 patients à inclure</t>
  </si>
  <si>
    <t>Colonne1</t>
  </si>
</sst>
</file>

<file path=xl/styles.xml><?xml version="1.0" encoding="utf-8"?>
<styleSheet xmlns="http://schemas.openxmlformats.org/spreadsheetml/2006/main">
  <numFmts count="1">
    <numFmt numFmtId="164" formatCode="dd/mm/yy;@"/>
  </numFmts>
  <fonts count="28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23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vertical="center"/>
    </xf>
    <xf numFmtId="0" fontId="11" fillId="0" borderId="0" xfId="2" applyAlignment="1" applyProtection="1">
      <alignment horizontal="center" vertical="center"/>
    </xf>
    <xf numFmtId="22" fontId="0" fillId="0" borderId="0" xfId="0" applyNumberFormat="1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22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0" fontId="5" fillId="2" borderId="0" xfId="1" applyFont="1" applyFill="1" applyAlignment="1">
      <alignment horizontal="left" wrapText="1"/>
    </xf>
    <xf numFmtId="0" fontId="5" fillId="2" borderId="0" xfId="1" applyFont="1" applyFill="1" applyBorder="1" applyAlignment="1">
      <alignment horizontal="left" wrapText="1"/>
    </xf>
    <xf numFmtId="0" fontId="0" fillId="0" borderId="0" xfId="0" applyBorder="1" applyAlignment="1">
      <alignment wrapText="1"/>
    </xf>
    <xf numFmtId="22" fontId="0" fillId="0" borderId="0" xfId="0" applyNumberFormat="1" applyBorder="1" applyAlignment="1">
      <alignment wrapText="1"/>
    </xf>
    <xf numFmtId="22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vertical="center"/>
    </xf>
    <xf numFmtId="22" fontId="0" fillId="0" borderId="0" xfId="0" applyNumberFormat="1" applyAlignment="1">
      <alignment vertical="center" wrapText="1"/>
    </xf>
    <xf numFmtId="0" fontId="0" fillId="11" borderId="0" xfId="0" applyFill="1" applyAlignment="1">
      <alignment vertical="center"/>
    </xf>
    <xf numFmtId="0" fontId="11" fillId="11" borderId="0" xfId="2" applyFill="1" applyAlignment="1" applyProtection="1">
      <alignment horizontal="center" vertical="center"/>
    </xf>
    <xf numFmtId="22" fontId="0" fillId="11" borderId="0" xfId="0" applyNumberFormat="1" applyFill="1" applyAlignment="1">
      <alignment vertical="center"/>
    </xf>
    <xf numFmtId="164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vertical="center"/>
    </xf>
    <xf numFmtId="0" fontId="27" fillId="12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171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64" formatCode="dd/mm/yy;@"/>
      <alignment horizontal="general" vertical="center" textRotation="0" wrapText="0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27" formatCode="m/d/yyyy\ h:mm"/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  <protection locked="1" hidden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alignment horizontal="general" vertical="bottom" textRotation="0" wrapText="1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170"/>
      <tableStyleElement type="headerRow" dxfId="169"/>
      <tableStyleElement type="totalRow" dxfId="168"/>
      <tableStyleElement type="firstColumn" dxfId="167"/>
      <tableStyleElement type="lastColumn" dxfId="166"/>
      <tableStyleElement type="firstRowStripe" dxfId="165"/>
      <tableStyleElement type="secondRowStripe" dxfId="164"/>
      <tableStyleElement type="firstColumnStripe" dxfId="163"/>
      <tableStyleElement type="secondColumnStripe" dxfId="162"/>
    </tableStyle>
    <tableStyle name="TableStyleLight8 2" pivot="0" count="9">
      <tableStyleElement type="wholeTable" dxfId="161"/>
      <tableStyleElement type="headerRow" dxfId="160"/>
      <tableStyleElement type="totalRow" dxfId="159"/>
      <tableStyleElement type="firstColumn" dxfId="158"/>
      <tableStyleElement type="lastColumn" dxfId="157"/>
      <tableStyleElement type="firstRowStripe" dxfId="156"/>
      <tableStyleElement type="secondRowStripe" dxfId="155"/>
      <tableStyleElement type="firstColumnStripe" dxfId="154"/>
      <tableStyleElement type="secondColumnStripe" dxfId="153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15" tableType="queryTable" totalsRowCount="1" headerRowDxfId="152" dataDxfId="151">
  <tableColumns count="12">
    <tableColumn id="1" uniqueName="1" name="Code Secteur" queryTableFieldId="1" dataDxfId="139" totalsRowDxfId="140"/>
    <tableColumn id="2" uniqueName="2" name="VM" queryTableFieldId="2" dataDxfId="138" totalsRowDxfId="141"/>
    <tableColumn id="3" uniqueName="3" name="Code médecin" totalsRowLabel="TOTAL" queryTableFieldId="3" dataDxfId="137" totalsRowDxfId="142" dataCellStyle="Lien hypertexte"/>
    <tableColumn id="4" uniqueName="4" name="Medecin" totalsRowFunction="custom" queryTableFieldId="4" dataDxfId="136" totalsRowDxfId="143">
      <totalsRowFormula>SUBTOTAL(3,D8:D14)</totalsRowFormula>
    </tableColumn>
    <tableColumn id="5" uniqueName="5" name="Date de réception convention financière" totalsRowFunction="custom" queryTableFieldId="5" dataDxfId="135" totalsRowDxfId="144">
      <totalsRowFormula>SUBTOTAL(3,[Date de réception convention financière])</totalsRowFormula>
    </tableColumn>
    <tableColumn id="6" uniqueName="6" name="Date de réception AR kit" totalsRowFunction="custom" queryTableFieldId="6" dataDxfId="134" totalsRowDxfId="145">
      <totalsRowFormula>SUBTOTAL(3,[Date de réception AR kit])</totalsRowFormula>
    </tableColumn>
    <tableColumn id="7" uniqueName="7" name="Date de MEP" totalsRowFunction="custom" queryTableFieldId="7" dataDxfId="133" totalsRowDxfId="146">
      <totalsRowFormula>SUBTOTAL(3,[Date de MEP])</totalsRowFormula>
    </tableColumn>
    <tableColumn id="8" uniqueName="8" name="Desistement" totalsRowFunction="custom" queryTableFieldId="8" dataDxfId="132" totalsRowDxfId="147">
      <totalsRowFormula>SUBTOTAL(3,[Desistement])</totalsRowFormula>
    </tableColumn>
    <tableColumn id="9" uniqueName="9" name="Nb Total Patients inclus" totalsRowFunction="custom" queryTableFieldId="9" dataDxfId="131" totalsRowDxfId="148">
      <totalsRowFormula>SUBTOTAL(109,I8:I14)</totalsRowFormula>
    </tableColumn>
    <tableColumn id="10" uniqueName="10" name="Comptes-rendus contact médecin-GECEM" queryTableFieldId="10" dataDxfId="130" totalsRowDxfId="149"/>
    <tableColumn id="11" uniqueName="11" name="Date" queryTableFieldId="11" dataDxfId="129" totalsRowDxfId="150"/>
    <tableColumn id="12" uniqueName="12" name="Colonne1" queryTableFieldId="12" dataDxfId="128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2" tableType="queryTable" totalsRowShown="0">
  <autoFilter ref="B9:U12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127"/>
    <tableColumn id="4" uniqueName="4" name="INCLUSION_Visite" queryTableFieldId="4" dataDxfId="126"/>
    <tableColumn id="5" uniqueName="5" name="INCLUSION_Reception" queryTableFieldId="5" dataDxfId="125"/>
    <tableColumn id="6" uniqueName="6" name="AQINCLUSION_Reception" queryTableFieldId="6" dataDxfId="124"/>
    <tableColumn id="7" uniqueName="7" name="CONTACT_Reception" queryTableFieldId="7" dataDxfId="123"/>
    <tableColumn id="8" uniqueName="8" name="TypeRappel" queryTableFieldId="8"/>
    <tableColumn id="9" uniqueName="9" name="AQ7Theo" queryTableFieldId="9" dataDxfId="122"/>
    <tableColumn id="10" uniqueName="10" name="AQJ7_Reception" queryTableFieldId="10" dataDxfId="121"/>
    <tableColumn id="11" uniqueName="11" name="AQ_M2_Theo" queryTableFieldId="11" dataDxfId="120"/>
    <tableColumn id="12" uniqueName="12" name="AQM2_Reception" queryTableFieldId="12" dataDxfId="119"/>
    <tableColumn id="13" uniqueName="13" name="VP_Theo" queryTableFieldId="13" dataDxfId="118"/>
    <tableColumn id="14" uniqueName="14" name="PRECOCE_Visite" queryTableFieldId="14" dataDxfId="117"/>
    <tableColumn id="15" uniqueName="15" name="PRECOCE_Reception" queryTableFieldId="15" dataDxfId="116"/>
    <tableColumn id="16" uniqueName="16" name="VT_Theo" queryTableFieldId="16" dataDxfId="115"/>
    <tableColumn id="17" uniqueName="17" name="TARDIF_Visite" queryTableFieldId="17" dataDxfId="114"/>
    <tableColumn id="18" uniqueName="18" name="TARDIF_Reception" queryTableFieldId="18" dataDxfId="113"/>
    <tableColumn id="19" uniqueName="19" name="Onekey" queryTableFieldId="19"/>
    <tableColumn id="20" uniqueName="20" name="Date" queryTableFieldId="20" dataDxfId="112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3" name="Tableau_Lancer_la_requête_à_partir_de_MS_Access_Database4" displayName="Tableau_Lancer_la_requête_à_partir_de_MS_Access_Database4" ref="B9:U12" tableType="queryTable" totalsRowShown="0">
  <autoFilter ref="B9:U12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111"/>
    <tableColumn id="4" uniqueName="4" name="INCLUSION_Visite" queryTableFieldId="4" dataDxfId="110"/>
    <tableColumn id="5" uniqueName="5" name="INCLUSION_Reception" queryTableFieldId="5" dataDxfId="109"/>
    <tableColumn id="6" uniqueName="6" name="AQINCLUSION_Reception" queryTableFieldId="6" dataDxfId="108"/>
    <tableColumn id="7" uniqueName="7" name="CONTACT_Reception" queryTableFieldId="7" dataDxfId="107"/>
    <tableColumn id="8" uniqueName="8" name="TypeRappel" queryTableFieldId="8"/>
    <tableColumn id="9" uniqueName="9" name="AQ7Theo" queryTableFieldId="9" dataDxfId="106"/>
    <tableColumn id="10" uniqueName="10" name="AQJ7_Reception" queryTableFieldId="10" dataDxfId="105"/>
    <tableColumn id="11" uniqueName="11" name="AQ_M2_Theo" queryTableFieldId="11" dataDxfId="104"/>
    <tableColumn id="12" uniqueName="12" name="AQM2_Reception" queryTableFieldId="12" dataDxfId="103"/>
    <tableColumn id="13" uniqueName="13" name="VP_Theo" queryTableFieldId="13" dataDxfId="102"/>
    <tableColumn id="14" uniqueName="14" name="PRECOCE_Visite" queryTableFieldId="14" dataDxfId="101"/>
    <tableColumn id="15" uniqueName="15" name="PRECOCE_Reception" queryTableFieldId="15" dataDxfId="100"/>
    <tableColumn id="16" uniqueName="16" name="VT_Theo" queryTableFieldId="16" dataDxfId="99"/>
    <tableColumn id="17" uniqueName="17" name="TARDIF_Visite" queryTableFieldId="17" dataDxfId="98"/>
    <tableColumn id="18" uniqueName="18" name="TARDIF_Reception" queryTableFieldId="18" dataDxfId="97"/>
    <tableColumn id="19" uniqueName="19" name="Onekey" queryTableFieldId="19"/>
    <tableColumn id="20" uniqueName="20" name="Date" queryTableFieldId="20" dataDxfId="96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8" name="Tableau_Lancer_la_requête_à_partir_de_MS_Access_Database49" displayName="Tableau_Lancer_la_requête_à_partir_de_MS_Access_Database49" ref="B9:U12" tableType="queryTable" totalsRowShown="0">
  <autoFilter ref="B9:U12"/>
  <tableColumns count="20">
    <tableColumn id="1" uniqueName="1" name="Num_Centre" queryTableFieldId="1" dataDxfId="95"/>
    <tableColumn id="2" uniqueName="2" name="Investigateur" queryTableFieldId="2" dataDxfId="94"/>
    <tableColumn id="3" uniqueName="3" name="Num_Patient" queryTableFieldId="3" dataDxfId="93"/>
    <tableColumn id="4" uniqueName="4" name="INCLUSION_Visite" queryTableFieldId="4" dataDxfId="92"/>
    <tableColumn id="5" uniqueName="5" name="INCLUSION_Reception" queryTableFieldId="5" dataDxfId="91"/>
    <tableColumn id="6" uniqueName="6" name="AQINCLUSION_Reception" queryTableFieldId="6" dataDxfId="90"/>
    <tableColumn id="7" uniqueName="7" name="CONTACT_Reception" queryTableFieldId="7" dataDxfId="89"/>
    <tableColumn id="8" uniqueName="8" name="TypeRappel" queryTableFieldId="8" dataDxfId="88"/>
    <tableColumn id="9" uniqueName="9" name="AQ7Theo" queryTableFieldId="9" dataDxfId="87"/>
    <tableColumn id="10" uniqueName="10" name="AQJ7_Reception" queryTableFieldId="10" dataDxfId="86"/>
    <tableColumn id="11" uniqueName="11" name="AQ_M2_Theo" queryTableFieldId="11" dataDxfId="85"/>
    <tableColumn id="12" uniqueName="12" name="AQM2_Reception" queryTableFieldId="12" dataDxfId="84"/>
    <tableColumn id="13" uniqueName="13" name="VP_Theo" queryTableFieldId="13" dataDxfId="83"/>
    <tableColumn id="14" uniqueName="14" name="PRECOCE_Visite" queryTableFieldId="14" dataDxfId="82"/>
    <tableColumn id="15" uniqueName="15" name="PRECOCE_Reception" queryTableFieldId="15" dataDxfId="81"/>
    <tableColumn id="16" uniqueName="16" name="VT_Theo" queryTableFieldId="16" dataDxfId="80"/>
    <tableColumn id="17" uniqueName="17" name="TARDIF_Visite" queryTableFieldId="17" dataDxfId="79"/>
    <tableColumn id="18" uniqueName="18" name="TARDIF_Reception" queryTableFieldId="18" dataDxfId="78"/>
    <tableColumn id="19" uniqueName="19" name="Onekey" queryTableFieldId="19" dataDxfId="77"/>
    <tableColumn id="20" uniqueName="20" name="Date" queryTableFieldId="20" dataDxfId="76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autoFilter ref="B9:U12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75"/>
    <tableColumn id="4" uniqueName="4" name="INCLUSION_Visite" queryTableFieldId="4" dataDxfId="74"/>
    <tableColumn id="5" uniqueName="5" name="INCLUSION_Reception" queryTableFieldId="5" dataDxfId="73"/>
    <tableColumn id="6" uniqueName="6" name="AQINCLUSION_Reception" queryTableFieldId="6" dataDxfId="72"/>
    <tableColumn id="7" uniqueName="7" name="CONTACT_Reception" queryTableFieldId="7" dataDxfId="71"/>
    <tableColumn id="8" uniqueName="8" name="TypeRappel" queryTableFieldId="8"/>
    <tableColumn id="9" uniqueName="9" name="AQ7Theo" queryTableFieldId="9" dataDxfId="70"/>
    <tableColumn id="10" uniqueName="10" name="AQJ7_Reception" queryTableFieldId="10" dataDxfId="69"/>
    <tableColumn id="11" uniqueName="11" name="AQ_M2_Theo" queryTableFieldId="11" dataDxfId="68"/>
    <tableColumn id="12" uniqueName="12" name="AQM2_Reception" queryTableFieldId="12" dataDxfId="67"/>
    <tableColumn id="13" uniqueName="13" name="VP_Theo" queryTableFieldId="13" dataDxfId="66"/>
    <tableColumn id="14" uniqueName="14" name="PRECOCE_Visite" queryTableFieldId="14" dataDxfId="65"/>
    <tableColumn id="15" uniqueName="15" name="PRECOCE_Reception" queryTableFieldId="15" dataDxfId="64"/>
    <tableColumn id="16" uniqueName="16" name="VT_Theo" queryTableFieldId="16" dataDxfId="63"/>
    <tableColumn id="17" uniqueName="17" name="TARDIF_Visite" queryTableFieldId="17" dataDxfId="62"/>
    <tableColumn id="18" uniqueName="18" name="TARDIF_Reception" queryTableFieldId="18" dataDxfId="61"/>
    <tableColumn id="19" uniqueName="19" name="Onekey" queryTableFieldId="19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7" name="Tableau_Lancer_la_requête_à_partir_de_MS_Access_Database458" displayName="Tableau_Lancer_la_requête_à_partir_de_MS_Access_Database458" ref="B9:U14" tableType="queryTable" totalsRowShown="0">
  <autoFilter ref="B9:U14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17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style="89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J1" s="84"/>
      <c r="K1" s="2"/>
    </row>
    <row r="2" spans="1:17" s="3" customFormat="1" ht="15.75">
      <c r="C2" s="17"/>
      <c r="D2" s="4"/>
      <c r="E2" s="11" t="s">
        <v>13</v>
      </c>
      <c r="F2" s="30" t="str">
        <f>$A$14</f>
        <v>DE0105</v>
      </c>
      <c r="G2" s="106" t="str">
        <f>$B$14</f>
        <v>GALAU Brigitte</v>
      </c>
      <c r="H2" s="106"/>
      <c r="I2" s="106"/>
      <c r="J2" s="84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$K$14</f>
        <v>42306</v>
      </c>
      <c r="E3" s="22"/>
      <c r="F3" s="22"/>
      <c r="G3" s="22"/>
      <c r="H3" s="22"/>
      <c r="I3" s="17"/>
      <c r="J3" s="84"/>
      <c r="K3" s="2"/>
    </row>
    <row r="4" spans="1:17" s="3" customFormat="1">
      <c r="C4" s="17"/>
      <c r="D4" s="4"/>
      <c r="E4" s="22"/>
      <c r="F4" s="22"/>
      <c r="G4" s="22"/>
      <c r="H4" s="22"/>
      <c r="I4" s="17"/>
      <c r="J4" s="84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85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86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86</v>
      </c>
    </row>
    <row r="8" spans="1:17" s="76" customFormat="1">
      <c r="A8" s="76" t="s">
        <v>38</v>
      </c>
      <c r="B8" s="76" t="s">
        <v>39</v>
      </c>
      <c r="C8" s="77" t="s">
        <v>40</v>
      </c>
      <c r="D8" s="78" t="s">
        <v>41</v>
      </c>
      <c r="E8" s="79">
        <v>41701</v>
      </c>
      <c r="F8" s="79">
        <v>41743</v>
      </c>
      <c r="G8" s="79">
        <v>41738</v>
      </c>
      <c r="H8" s="79"/>
      <c r="I8" s="80">
        <v>3</v>
      </c>
      <c r="J8" s="82" t="s">
        <v>77</v>
      </c>
      <c r="K8" s="81">
        <v>42306</v>
      </c>
    </row>
    <row r="9" spans="1:17" s="76" customFormat="1">
      <c r="A9" s="76" t="s">
        <v>38</v>
      </c>
      <c r="B9" s="76" t="s">
        <v>39</v>
      </c>
      <c r="C9" s="77" t="s">
        <v>42</v>
      </c>
      <c r="D9" s="78" t="s">
        <v>43</v>
      </c>
      <c r="E9" s="79">
        <v>41697</v>
      </c>
      <c r="F9" s="79">
        <v>41743</v>
      </c>
      <c r="G9" s="79">
        <v>41740</v>
      </c>
      <c r="H9" s="79"/>
      <c r="I9" s="80">
        <v>2</v>
      </c>
      <c r="J9" s="82"/>
      <c r="K9" s="81">
        <v>42306</v>
      </c>
    </row>
    <row r="10" spans="1:17" s="76" customFormat="1" ht="30">
      <c r="A10" s="76" t="s">
        <v>38</v>
      </c>
      <c r="B10" s="76" t="s">
        <v>39</v>
      </c>
      <c r="C10" s="77" t="s">
        <v>82</v>
      </c>
      <c r="D10" s="78" t="s">
        <v>83</v>
      </c>
      <c r="E10" s="79">
        <v>41921</v>
      </c>
      <c r="F10" s="79">
        <v>41950</v>
      </c>
      <c r="G10" s="79">
        <v>41947</v>
      </c>
      <c r="H10" s="79"/>
      <c r="I10" s="80"/>
      <c r="J10" s="82" t="s">
        <v>84</v>
      </c>
      <c r="K10" s="81">
        <v>42306</v>
      </c>
    </row>
    <row r="11" spans="1:17" s="76" customFormat="1" ht="30">
      <c r="A11" s="76" t="s">
        <v>38</v>
      </c>
      <c r="B11" s="76" t="s">
        <v>39</v>
      </c>
      <c r="C11" s="77" t="s">
        <v>44</v>
      </c>
      <c r="D11" s="78" t="s">
        <v>45</v>
      </c>
      <c r="E11" s="79">
        <v>41704</v>
      </c>
      <c r="F11" s="79">
        <v>41744</v>
      </c>
      <c r="G11" s="79">
        <v>41739</v>
      </c>
      <c r="H11" s="79">
        <v>41939</v>
      </c>
      <c r="I11" s="80"/>
      <c r="J11" s="82" t="s">
        <v>81</v>
      </c>
      <c r="K11" s="81">
        <v>42306</v>
      </c>
    </row>
    <row r="12" spans="1:17" s="98" customFormat="1" ht="45">
      <c r="A12" s="98" t="s">
        <v>38</v>
      </c>
      <c r="B12" s="98" t="s">
        <v>39</v>
      </c>
      <c r="C12" s="99" t="s">
        <v>71</v>
      </c>
      <c r="D12" s="100" t="s">
        <v>72</v>
      </c>
      <c r="E12" s="101">
        <v>41774</v>
      </c>
      <c r="F12" s="101">
        <v>41779</v>
      </c>
      <c r="G12" s="101">
        <v>41778</v>
      </c>
      <c r="H12" s="101"/>
      <c r="I12" s="102">
        <v>3</v>
      </c>
      <c r="J12" s="103" t="s">
        <v>80</v>
      </c>
      <c r="K12" s="104">
        <v>42306</v>
      </c>
      <c r="L12" s="105" t="s">
        <v>85</v>
      </c>
    </row>
    <row r="13" spans="1:17" s="76" customFormat="1" ht="30">
      <c r="A13" s="76" t="s">
        <v>38</v>
      </c>
      <c r="B13" s="76" t="s">
        <v>39</v>
      </c>
      <c r="C13" s="77" t="s">
        <v>46</v>
      </c>
      <c r="D13" s="78" t="s">
        <v>47</v>
      </c>
      <c r="E13" s="79">
        <v>41733</v>
      </c>
      <c r="F13" s="79">
        <v>41751</v>
      </c>
      <c r="G13" s="79">
        <v>41747</v>
      </c>
      <c r="H13" s="79"/>
      <c r="I13" s="80">
        <v>1</v>
      </c>
      <c r="J13" s="82" t="s">
        <v>78</v>
      </c>
      <c r="K13" s="81">
        <v>42306</v>
      </c>
    </row>
    <row r="14" spans="1:17" ht="30">
      <c r="A14" s="76" t="s">
        <v>38</v>
      </c>
      <c r="B14" s="76" t="s">
        <v>39</v>
      </c>
      <c r="C14" s="77" t="s">
        <v>48</v>
      </c>
      <c r="D14" s="96" t="s">
        <v>49</v>
      </c>
      <c r="E14" s="79">
        <v>41708</v>
      </c>
      <c r="F14" s="79">
        <v>41743</v>
      </c>
      <c r="G14" s="79">
        <v>41739</v>
      </c>
      <c r="H14" s="79"/>
      <c r="I14" s="80">
        <v>2</v>
      </c>
      <c r="J14" s="97" t="s">
        <v>73</v>
      </c>
      <c r="K14" s="81">
        <v>42306</v>
      </c>
      <c r="L14" s="76"/>
    </row>
    <row r="15" spans="1:17">
      <c r="A15" s="28"/>
      <c r="B15" s="28"/>
      <c r="C15" s="27" t="s">
        <v>15</v>
      </c>
      <c r="D15" s="32">
        <f>SUBTOTAL(3,D8:D14)</f>
        <v>7</v>
      </c>
      <c r="E15" s="32">
        <f>SUBTOTAL(3,[Date de réception convention financière])</f>
        <v>7</v>
      </c>
      <c r="F15" s="32">
        <f>SUBTOTAL(3,[Date de réception AR kit])</f>
        <v>7</v>
      </c>
      <c r="G15" s="32">
        <f>SUBTOTAL(3,[Date de MEP])</f>
        <v>7</v>
      </c>
      <c r="H15" s="83">
        <f>SUBTOTAL(3,[Desistement])</f>
        <v>1</v>
      </c>
      <c r="I15" s="27">
        <f>SUBTOTAL(109,I8:I14)</f>
        <v>11</v>
      </c>
      <c r="J15" s="87"/>
      <c r="K15" s="31"/>
    </row>
    <row r="16" spans="1:17">
      <c r="D16" s="10"/>
      <c r="J16" s="88"/>
    </row>
    <row r="17" spans="3:3">
      <c r="C17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09"/>
      <c r="M3" s="109"/>
      <c r="N3" s="109"/>
      <c r="O3" s="55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22" t="s">
        <v>70</v>
      </c>
      <c r="E4" s="122"/>
      <c r="F4" s="52">
        <f>$U$10</f>
        <v>42306</v>
      </c>
      <c r="G4" s="49"/>
      <c r="H4" s="49"/>
      <c r="I4" s="33"/>
      <c r="J4" s="49"/>
      <c r="K4" s="49"/>
      <c r="L4" s="56" t="s">
        <v>17</v>
      </c>
      <c r="M4" s="63">
        <f>$B$10</f>
        <v>71</v>
      </c>
      <c r="N4" s="110" t="str">
        <f>$C$10</f>
        <v>AUFFRET Nicole</v>
      </c>
      <c r="O4" s="110"/>
      <c r="P4" s="110"/>
      <c r="Q4" s="110"/>
      <c r="R4" s="110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8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11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13" t="s">
        <v>19</v>
      </c>
      <c r="F7" s="114"/>
      <c r="G7" s="114"/>
      <c r="H7" s="114"/>
      <c r="I7" s="114"/>
      <c r="J7" s="115" t="s">
        <v>20</v>
      </c>
      <c r="K7" s="116"/>
      <c r="L7" s="117" t="s">
        <v>21</v>
      </c>
      <c r="M7" s="117"/>
      <c r="N7" s="118" t="s">
        <v>22</v>
      </c>
      <c r="O7" s="119"/>
      <c r="P7" s="120"/>
      <c r="Q7" s="121" t="s">
        <v>23</v>
      </c>
      <c r="R7" s="119"/>
      <c r="S7" s="120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50</v>
      </c>
      <c r="C9" s="41" t="s">
        <v>51</v>
      </c>
      <c r="D9" s="19" t="s">
        <v>52</v>
      </c>
      <c r="E9" s="25" t="s">
        <v>53</v>
      </c>
      <c r="F9" s="25" t="s">
        <v>54</v>
      </c>
      <c r="G9" s="25" t="s">
        <v>55</v>
      </c>
      <c r="H9" s="25" t="s">
        <v>56</v>
      </c>
      <c r="I9" t="s">
        <v>57</v>
      </c>
      <c r="J9" s="25" t="s">
        <v>58</v>
      </c>
      <c r="K9" s="25" t="s">
        <v>59</v>
      </c>
      <c r="L9" s="25" t="s">
        <v>60</v>
      </c>
      <c r="M9" s="25" t="s">
        <v>61</v>
      </c>
      <c r="N9" s="25" t="s">
        <v>62</v>
      </c>
      <c r="O9" s="25" t="s">
        <v>63</v>
      </c>
      <c r="P9" s="25" t="s">
        <v>64</v>
      </c>
      <c r="Q9" s="25" t="s">
        <v>65</v>
      </c>
      <c r="R9" s="25" t="s">
        <v>66</v>
      </c>
      <c r="S9" s="25" t="s">
        <v>67</v>
      </c>
      <c r="T9" s="41" t="s">
        <v>68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71</v>
      </c>
      <c r="C10" s="41" t="s">
        <v>41</v>
      </c>
      <c r="D10" s="19">
        <v>1</v>
      </c>
      <c r="E10" s="25">
        <v>41738</v>
      </c>
      <c r="F10" s="25">
        <v>41740</v>
      </c>
      <c r="G10" s="25">
        <v>41740</v>
      </c>
      <c r="H10" s="25"/>
      <c r="I10" s="43" t="s">
        <v>69</v>
      </c>
      <c r="J10" s="25">
        <v>41750</v>
      </c>
      <c r="K10" s="25">
        <v>41758</v>
      </c>
      <c r="L10" s="25">
        <v>41809</v>
      </c>
      <c r="M10" s="25">
        <v>41815</v>
      </c>
      <c r="N10" s="25">
        <v>41858</v>
      </c>
      <c r="O10" s="25"/>
      <c r="P10" s="25"/>
      <c r="Q10" s="25">
        <v>42103</v>
      </c>
      <c r="R10" s="25"/>
      <c r="S10" s="25"/>
      <c r="T10" s="41" t="s">
        <v>40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>
      <c r="B11">
        <v>71</v>
      </c>
      <c r="C11" t="s">
        <v>41</v>
      </c>
      <c r="D11" s="19">
        <v>2</v>
      </c>
      <c r="E11" s="25">
        <v>41771</v>
      </c>
      <c r="F11" s="25">
        <v>41775</v>
      </c>
      <c r="H11" s="25">
        <v>41774</v>
      </c>
      <c r="I11" t="s">
        <v>74</v>
      </c>
      <c r="J11" s="25">
        <v>41783</v>
      </c>
      <c r="L11" s="25">
        <v>41842</v>
      </c>
      <c r="N11" s="25">
        <v>41891</v>
      </c>
      <c r="Q11" s="25">
        <v>42136</v>
      </c>
      <c r="T11" t="s">
        <v>40</v>
      </c>
      <c r="U11" s="12">
        <v>42306</v>
      </c>
    </row>
    <row r="12" spans="2:48">
      <c r="B12">
        <v>71</v>
      </c>
      <c r="C12" t="s">
        <v>41</v>
      </c>
      <c r="D12" s="19">
        <v>3</v>
      </c>
      <c r="E12" s="25">
        <v>41821</v>
      </c>
      <c r="F12" s="25">
        <v>41886</v>
      </c>
      <c r="I12" t="s">
        <v>69</v>
      </c>
      <c r="J12" s="25">
        <v>41833</v>
      </c>
      <c r="K12" s="25">
        <v>41838</v>
      </c>
      <c r="L12" s="25">
        <v>41892</v>
      </c>
      <c r="M12" s="25">
        <v>41892</v>
      </c>
      <c r="N12" s="25">
        <v>41941</v>
      </c>
      <c r="Q12" s="25">
        <v>42186</v>
      </c>
      <c r="T12" t="s">
        <v>40</v>
      </c>
      <c r="U12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09"/>
      <c r="M3" s="109"/>
      <c r="N3" s="109"/>
      <c r="O3" s="55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22" t="s">
        <v>70</v>
      </c>
      <c r="E4" s="122"/>
      <c r="F4" s="52">
        <f>$U$10</f>
        <v>42306</v>
      </c>
      <c r="G4" s="49"/>
      <c r="H4" s="49"/>
      <c r="I4" s="33"/>
      <c r="J4" s="49"/>
      <c r="K4" s="49"/>
      <c r="L4" s="57" t="s">
        <v>17</v>
      </c>
      <c r="M4" s="63">
        <f>$B$10</f>
        <v>74</v>
      </c>
      <c r="N4" s="110" t="str">
        <f>$C$10</f>
        <v>BERGIS Maud</v>
      </c>
      <c r="O4" s="110"/>
      <c r="P4" s="110"/>
      <c r="Q4" s="110"/>
      <c r="R4" s="110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8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11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13" t="s">
        <v>19</v>
      </c>
      <c r="F7" s="114"/>
      <c r="G7" s="114"/>
      <c r="H7" s="114"/>
      <c r="I7" s="114"/>
      <c r="J7" s="115" t="s">
        <v>20</v>
      </c>
      <c r="K7" s="116"/>
      <c r="L7" s="117" t="s">
        <v>21</v>
      </c>
      <c r="M7" s="117"/>
      <c r="N7" s="118" t="s">
        <v>22</v>
      </c>
      <c r="O7" s="119"/>
      <c r="P7" s="120"/>
      <c r="Q7" s="121" t="s">
        <v>23</v>
      </c>
      <c r="R7" s="119"/>
      <c r="S7" s="120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50</v>
      </c>
      <c r="C9" s="41" t="s">
        <v>51</v>
      </c>
      <c r="D9" s="19" t="s">
        <v>52</v>
      </c>
      <c r="E9" s="25" t="s">
        <v>53</v>
      </c>
      <c r="F9" s="25" t="s">
        <v>54</v>
      </c>
      <c r="G9" s="25" t="s">
        <v>55</v>
      </c>
      <c r="H9" s="25" t="s">
        <v>56</v>
      </c>
      <c r="I9" t="s">
        <v>57</v>
      </c>
      <c r="J9" s="25" t="s">
        <v>58</v>
      </c>
      <c r="K9" s="25" t="s">
        <v>59</v>
      </c>
      <c r="L9" s="25" t="s">
        <v>60</v>
      </c>
      <c r="M9" s="25" t="s">
        <v>61</v>
      </c>
      <c r="N9" s="25" t="s">
        <v>62</v>
      </c>
      <c r="O9" s="25" t="s">
        <v>63</v>
      </c>
      <c r="P9" s="25" t="s">
        <v>64</v>
      </c>
      <c r="Q9" s="25" t="s">
        <v>65</v>
      </c>
      <c r="R9" s="25" t="s">
        <v>66</v>
      </c>
      <c r="S9" s="25" t="s">
        <v>67</v>
      </c>
      <c r="T9" s="41" t="s">
        <v>68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74</v>
      </c>
      <c r="C10" s="41" t="s">
        <v>43</v>
      </c>
      <c r="D10" s="19">
        <v>1</v>
      </c>
      <c r="E10" s="25">
        <v>41754</v>
      </c>
      <c r="F10" s="25">
        <v>41806</v>
      </c>
      <c r="G10" s="25">
        <v>41806</v>
      </c>
      <c r="H10" s="25">
        <v>41806</v>
      </c>
      <c r="I10" s="43" t="s">
        <v>75</v>
      </c>
      <c r="J10" s="25">
        <v>41766</v>
      </c>
      <c r="K10" s="25">
        <v>41806</v>
      </c>
      <c r="L10" s="25">
        <v>41825</v>
      </c>
      <c r="M10" s="25">
        <v>41824</v>
      </c>
      <c r="N10" s="25">
        <v>41874</v>
      </c>
      <c r="O10" s="25"/>
      <c r="P10" s="25"/>
      <c r="Q10" s="25">
        <v>42119</v>
      </c>
      <c r="R10" s="25">
        <v>41963</v>
      </c>
      <c r="S10" s="25">
        <v>41997</v>
      </c>
      <c r="T10" s="41" t="s">
        <v>42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>
      <c r="B11">
        <v>74</v>
      </c>
      <c r="C11" t="s">
        <v>43</v>
      </c>
      <c r="D11" s="19">
        <v>2</v>
      </c>
      <c r="E11" s="25">
        <v>41759</v>
      </c>
      <c r="F11" s="25">
        <v>41806</v>
      </c>
      <c r="G11" s="25">
        <v>41806</v>
      </c>
      <c r="H11" s="25">
        <v>41806</v>
      </c>
      <c r="I11" t="s">
        <v>76</v>
      </c>
      <c r="J11" s="25">
        <v>41771</v>
      </c>
      <c r="K11" s="25">
        <v>41806</v>
      </c>
      <c r="L11" s="25">
        <v>41830</v>
      </c>
      <c r="M11" s="25">
        <v>41824</v>
      </c>
      <c r="N11" s="25">
        <v>41879</v>
      </c>
      <c r="O11" s="25">
        <v>41818</v>
      </c>
      <c r="P11" s="25">
        <v>41824</v>
      </c>
      <c r="Q11" s="25">
        <v>42124</v>
      </c>
      <c r="R11" s="25">
        <v>41985</v>
      </c>
      <c r="S11" s="25">
        <v>41997</v>
      </c>
      <c r="T11" t="s">
        <v>42</v>
      </c>
      <c r="U11" s="12">
        <v>42306</v>
      </c>
    </row>
    <row r="12" spans="2:48">
      <c r="B12">
        <v>74</v>
      </c>
      <c r="C12" t="s">
        <v>43</v>
      </c>
      <c r="D12" s="19">
        <v>3</v>
      </c>
      <c r="I12" t="s">
        <v>69</v>
      </c>
      <c r="T12" t="s">
        <v>42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8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09"/>
      <c r="M3" s="109"/>
      <c r="N3" s="109"/>
      <c r="O3" s="92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22" t="s">
        <v>70</v>
      </c>
      <c r="E4" s="122"/>
      <c r="F4" s="52">
        <f>$U$12</f>
        <v>42306</v>
      </c>
      <c r="G4" s="49"/>
      <c r="H4" s="49"/>
      <c r="I4" s="33"/>
      <c r="J4" s="49"/>
      <c r="K4" s="49"/>
      <c r="L4" s="93" t="s">
        <v>17</v>
      </c>
      <c r="M4" s="63">
        <f>$B$12</f>
        <v>400</v>
      </c>
      <c r="N4" s="110" t="str">
        <f>$C$12</f>
        <v>CALLOT Valérie</v>
      </c>
      <c r="O4" s="110"/>
      <c r="P4" s="110"/>
      <c r="Q4" s="110"/>
      <c r="R4" s="110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8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11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13" t="s">
        <v>19</v>
      </c>
      <c r="F7" s="114"/>
      <c r="G7" s="114"/>
      <c r="H7" s="114"/>
      <c r="I7" s="114"/>
      <c r="J7" s="115" t="s">
        <v>20</v>
      </c>
      <c r="K7" s="116"/>
      <c r="L7" s="117" t="s">
        <v>21</v>
      </c>
      <c r="M7" s="117"/>
      <c r="N7" s="118" t="s">
        <v>22</v>
      </c>
      <c r="O7" s="119"/>
      <c r="P7" s="120"/>
      <c r="Q7" s="121" t="s">
        <v>23</v>
      </c>
      <c r="R7" s="119"/>
      <c r="S7" s="120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9" t="s">
        <v>30</v>
      </c>
      <c r="K8" s="59" t="s">
        <v>31</v>
      </c>
      <c r="L8" s="95" t="s">
        <v>32</v>
      </c>
      <c r="M8" s="95" t="s">
        <v>31</v>
      </c>
      <c r="N8" s="94" t="s">
        <v>33</v>
      </c>
      <c r="O8" s="94" t="s">
        <v>34</v>
      </c>
      <c r="P8" s="94" t="s">
        <v>35</v>
      </c>
      <c r="Q8" s="62" t="s">
        <v>36</v>
      </c>
      <c r="R8" s="62" t="s">
        <v>34</v>
      </c>
      <c r="S8" s="62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50</v>
      </c>
      <c r="C9" s="41" t="s">
        <v>51</v>
      </c>
      <c r="D9" s="19" t="s">
        <v>52</v>
      </c>
      <c r="E9" s="25" t="s">
        <v>53</v>
      </c>
      <c r="F9" s="25" t="s">
        <v>54</v>
      </c>
      <c r="G9" s="25" t="s">
        <v>55</v>
      </c>
      <c r="H9" s="25" t="s">
        <v>56</v>
      </c>
      <c r="I9" t="s">
        <v>57</v>
      </c>
      <c r="J9" s="25" t="s">
        <v>58</v>
      </c>
      <c r="K9" s="25" t="s">
        <v>59</v>
      </c>
      <c r="L9" s="25" t="s">
        <v>60</v>
      </c>
      <c r="M9" s="25" t="s">
        <v>61</v>
      </c>
      <c r="N9" s="25" t="s">
        <v>62</v>
      </c>
      <c r="O9" s="25" t="s">
        <v>63</v>
      </c>
      <c r="P9" s="25" t="s">
        <v>64</v>
      </c>
      <c r="Q9" s="25" t="s">
        <v>65</v>
      </c>
      <c r="R9" s="25" t="s">
        <v>66</v>
      </c>
      <c r="S9" s="25" t="s">
        <v>67</v>
      </c>
      <c r="T9" s="41" t="s">
        <v>68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400</v>
      </c>
      <c r="C10" s="41" t="s">
        <v>83</v>
      </c>
      <c r="D10" s="19">
        <v>1</v>
      </c>
      <c r="E10" s="25"/>
      <c r="F10" s="25"/>
      <c r="G10" s="25"/>
      <c r="H10" s="25"/>
      <c r="I10" s="75" t="s">
        <v>69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1" t="s">
        <v>82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90">
        <v>400</v>
      </c>
      <c r="C11" s="91" t="s">
        <v>83</v>
      </c>
      <c r="D11" s="19">
        <v>2</v>
      </c>
      <c r="I11" s="75" t="s">
        <v>69</v>
      </c>
      <c r="T11" s="91" t="s">
        <v>82</v>
      </c>
      <c r="U11" s="12">
        <v>42306</v>
      </c>
    </row>
    <row r="12" spans="2:48" ht="25.5">
      <c r="B12" s="90">
        <v>400</v>
      </c>
      <c r="C12" s="91" t="s">
        <v>83</v>
      </c>
      <c r="D12" s="19">
        <v>3</v>
      </c>
      <c r="I12" s="75" t="s">
        <v>69</v>
      </c>
      <c r="T12" s="91" t="s">
        <v>82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4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09"/>
      <c r="M3" s="109"/>
      <c r="N3" s="109"/>
      <c r="O3" s="55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22" t="s">
        <v>70</v>
      </c>
      <c r="E4" s="122"/>
      <c r="F4" s="52">
        <f>$U$10</f>
        <v>42306</v>
      </c>
      <c r="G4" s="49"/>
      <c r="H4" s="49"/>
      <c r="I4" s="33"/>
      <c r="J4" s="49"/>
      <c r="K4" s="49"/>
      <c r="L4" s="57" t="s">
        <v>17</v>
      </c>
      <c r="M4" s="63">
        <f>$B$10</f>
        <v>72</v>
      </c>
      <c r="N4" s="110" t="str">
        <f>$C$10</f>
        <v>CHARIAL-WORMS Valérie</v>
      </c>
      <c r="O4" s="110"/>
      <c r="P4" s="110"/>
      <c r="Q4" s="110"/>
      <c r="R4" s="110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8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11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13" t="s">
        <v>19</v>
      </c>
      <c r="F7" s="114"/>
      <c r="G7" s="114"/>
      <c r="H7" s="114"/>
      <c r="I7" s="114"/>
      <c r="J7" s="115" t="s">
        <v>20</v>
      </c>
      <c r="K7" s="116"/>
      <c r="L7" s="117" t="s">
        <v>21</v>
      </c>
      <c r="M7" s="117"/>
      <c r="N7" s="118" t="s">
        <v>22</v>
      </c>
      <c r="O7" s="119"/>
      <c r="P7" s="120"/>
      <c r="Q7" s="121" t="s">
        <v>23</v>
      </c>
      <c r="R7" s="119"/>
      <c r="S7" s="120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50</v>
      </c>
      <c r="C9" s="41" t="s">
        <v>51</v>
      </c>
      <c r="D9" s="19" t="s">
        <v>52</v>
      </c>
      <c r="E9" s="25" t="s">
        <v>53</v>
      </c>
      <c r="F9" s="25" t="s">
        <v>54</v>
      </c>
      <c r="G9" s="25" t="s">
        <v>55</v>
      </c>
      <c r="H9" s="25" t="s">
        <v>56</v>
      </c>
      <c r="I9" t="s">
        <v>57</v>
      </c>
      <c r="J9" s="25" t="s">
        <v>58</v>
      </c>
      <c r="K9" s="25" t="s">
        <v>59</v>
      </c>
      <c r="L9" s="25" t="s">
        <v>60</v>
      </c>
      <c r="M9" s="25" t="s">
        <v>61</v>
      </c>
      <c r="N9" s="25" t="s">
        <v>62</v>
      </c>
      <c r="O9" s="25" t="s">
        <v>63</v>
      </c>
      <c r="P9" s="25" t="s">
        <v>64</v>
      </c>
      <c r="Q9" s="25" t="s">
        <v>65</v>
      </c>
      <c r="R9" s="25" t="s">
        <v>66</v>
      </c>
      <c r="S9" s="25" t="s">
        <v>67</v>
      </c>
      <c r="T9" s="41" t="s">
        <v>68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72</v>
      </c>
      <c r="C10" s="41" t="s">
        <v>45</v>
      </c>
      <c r="D10" s="19">
        <v>1</v>
      </c>
      <c r="E10" s="25"/>
      <c r="F10" s="25"/>
      <c r="G10" s="25"/>
      <c r="H10" s="25"/>
      <c r="I10" s="43" t="s">
        <v>69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1" t="s">
        <v>44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>
      <c r="B11">
        <v>72</v>
      </c>
      <c r="C11" t="s">
        <v>45</v>
      </c>
      <c r="D11" s="19">
        <v>2</v>
      </c>
      <c r="I11" t="s">
        <v>69</v>
      </c>
      <c r="T11" t="s">
        <v>44</v>
      </c>
      <c r="U11" s="12">
        <v>42306</v>
      </c>
    </row>
    <row r="12" spans="2:48">
      <c r="B12">
        <v>72</v>
      </c>
      <c r="C12" t="s">
        <v>45</v>
      </c>
      <c r="D12" s="19">
        <v>3</v>
      </c>
      <c r="I12" t="s">
        <v>69</v>
      </c>
      <c r="T12" t="s">
        <v>44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5"/>
  <dimension ref="B1:AV14"/>
  <sheetViews>
    <sheetView workbookViewId="0">
      <selection activeCell="D7" sqref="D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09"/>
      <c r="M3" s="109"/>
      <c r="N3" s="109"/>
      <c r="O3" s="69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22" t="s">
        <v>70</v>
      </c>
      <c r="E4" s="122"/>
      <c r="F4" s="52">
        <f>$U$14</f>
        <v>42306</v>
      </c>
      <c r="G4" s="49"/>
      <c r="H4" s="49"/>
      <c r="I4" s="33"/>
      <c r="J4" s="49"/>
      <c r="K4" s="49"/>
      <c r="L4" s="70" t="s">
        <v>17</v>
      </c>
      <c r="M4" s="63">
        <f>$B$14</f>
        <v>289</v>
      </c>
      <c r="N4" s="110" t="str">
        <f>$C$14</f>
        <v>CHICHE-REPELSKI Solange</v>
      </c>
      <c r="O4" s="110"/>
      <c r="P4" s="110"/>
      <c r="Q4" s="110"/>
      <c r="R4" s="110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8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11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13" t="s">
        <v>19</v>
      </c>
      <c r="F7" s="114"/>
      <c r="G7" s="114"/>
      <c r="H7" s="114"/>
      <c r="I7" s="114"/>
      <c r="J7" s="115" t="s">
        <v>20</v>
      </c>
      <c r="K7" s="116"/>
      <c r="L7" s="117" t="s">
        <v>21</v>
      </c>
      <c r="M7" s="117"/>
      <c r="N7" s="118" t="s">
        <v>22</v>
      </c>
      <c r="O7" s="119"/>
      <c r="P7" s="120"/>
      <c r="Q7" s="121" t="s">
        <v>23</v>
      </c>
      <c r="R7" s="119"/>
      <c r="S7" s="120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9" t="s">
        <v>30</v>
      </c>
      <c r="K8" s="59" t="s">
        <v>31</v>
      </c>
      <c r="L8" s="72" t="s">
        <v>32</v>
      </c>
      <c r="M8" s="72" t="s">
        <v>31</v>
      </c>
      <c r="N8" s="71" t="s">
        <v>33</v>
      </c>
      <c r="O8" s="71" t="s">
        <v>34</v>
      </c>
      <c r="P8" s="71" t="s">
        <v>35</v>
      </c>
      <c r="Q8" s="62" t="s">
        <v>36</v>
      </c>
      <c r="R8" s="62" t="s">
        <v>34</v>
      </c>
      <c r="S8" s="62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50</v>
      </c>
      <c r="C9" s="41" t="s">
        <v>51</v>
      </c>
      <c r="D9" s="19" t="s">
        <v>52</v>
      </c>
      <c r="E9" s="25" t="s">
        <v>53</v>
      </c>
      <c r="F9" s="25" t="s">
        <v>54</v>
      </c>
      <c r="G9" s="25" t="s">
        <v>55</v>
      </c>
      <c r="H9" s="25" t="s">
        <v>56</v>
      </c>
      <c r="I9" t="s">
        <v>57</v>
      </c>
      <c r="J9" s="25" t="s">
        <v>58</v>
      </c>
      <c r="K9" s="25" t="s">
        <v>59</v>
      </c>
      <c r="L9" s="25" t="s">
        <v>60</v>
      </c>
      <c r="M9" s="25" t="s">
        <v>61</v>
      </c>
      <c r="N9" s="25" t="s">
        <v>62</v>
      </c>
      <c r="O9" s="25" t="s">
        <v>63</v>
      </c>
      <c r="P9" s="25" t="s">
        <v>64</v>
      </c>
      <c r="Q9" s="25" t="s">
        <v>65</v>
      </c>
      <c r="R9" s="25" t="s">
        <v>66</v>
      </c>
      <c r="S9" s="25" t="s">
        <v>67</v>
      </c>
      <c r="T9" s="41" t="s">
        <v>68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289</v>
      </c>
      <c r="C10" s="41" t="s">
        <v>72</v>
      </c>
      <c r="D10" s="19">
        <v>1</v>
      </c>
      <c r="E10" s="25">
        <v>41785</v>
      </c>
      <c r="F10" s="25">
        <v>41813</v>
      </c>
      <c r="G10" s="25"/>
      <c r="H10" s="25">
        <v>41813</v>
      </c>
      <c r="I10" s="68" t="s">
        <v>76</v>
      </c>
      <c r="J10" s="25">
        <v>41797</v>
      </c>
      <c r="K10" s="25"/>
      <c r="L10" s="25">
        <v>41856</v>
      </c>
      <c r="M10" s="25"/>
      <c r="N10" s="25">
        <v>41905</v>
      </c>
      <c r="O10" s="25"/>
      <c r="P10" s="25"/>
      <c r="Q10" s="25">
        <v>42150</v>
      </c>
      <c r="R10" s="25"/>
      <c r="S10" s="25">
        <v>41914</v>
      </c>
      <c r="T10" s="41" t="s">
        <v>71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38.25">
      <c r="B11" s="73">
        <v>289</v>
      </c>
      <c r="C11" s="74" t="s">
        <v>72</v>
      </c>
      <c r="D11" s="19">
        <v>2</v>
      </c>
      <c r="E11" s="25">
        <v>41803</v>
      </c>
      <c r="F11" s="25">
        <v>41813</v>
      </c>
      <c r="I11" s="75" t="s">
        <v>69</v>
      </c>
      <c r="J11" s="25">
        <v>41815</v>
      </c>
      <c r="L11" s="25">
        <v>41874</v>
      </c>
      <c r="N11" s="25">
        <v>41923</v>
      </c>
      <c r="Q11" s="25">
        <v>42168</v>
      </c>
      <c r="T11" s="74" t="s">
        <v>71</v>
      </c>
      <c r="U11" s="12">
        <v>42306</v>
      </c>
    </row>
    <row r="12" spans="2:48" ht="38.25">
      <c r="B12" s="73">
        <v>289</v>
      </c>
      <c r="C12" s="74" t="s">
        <v>72</v>
      </c>
      <c r="D12" s="19">
        <v>3</v>
      </c>
      <c r="F12" s="25">
        <v>41844</v>
      </c>
      <c r="G12" s="25">
        <v>41844</v>
      </c>
      <c r="H12" s="25">
        <v>41844</v>
      </c>
      <c r="I12" s="75" t="s">
        <v>79</v>
      </c>
      <c r="K12" s="25">
        <v>41983</v>
      </c>
      <c r="T12" s="74" t="s">
        <v>71</v>
      </c>
      <c r="U12" s="12">
        <v>42306</v>
      </c>
    </row>
    <row r="13" spans="2:48" ht="38.25">
      <c r="B13" s="90">
        <v>289</v>
      </c>
      <c r="C13" s="91" t="s">
        <v>72</v>
      </c>
      <c r="D13" s="19">
        <v>4</v>
      </c>
      <c r="I13" s="75" t="s">
        <v>69</v>
      </c>
      <c r="T13" s="91" t="s">
        <v>71</v>
      </c>
      <c r="U13" s="12">
        <v>42306</v>
      </c>
    </row>
    <row r="14" spans="2:48" ht="38.25">
      <c r="B14" s="90">
        <v>289</v>
      </c>
      <c r="C14" s="91" t="s">
        <v>72</v>
      </c>
      <c r="D14" s="19">
        <v>5</v>
      </c>
      <c r="I14" s="75" t="s">
        <v>69</v>
      </c>
      <c r="T14" s="91" t="s">
        <v>71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>
      <selection activeCell="E16" sqref="E16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09"/>
      <c r="M3" s="109"/>
      <c r="N3" s="109"/>
      <c r="O3" s="55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22" t="s">
        <v>70</v>
      </c>
      <c r="E4" s="122"/>
      <c r="F4" s="52">
        <f>$U$12</f>
        <v>42306</v>
      </c>
      <c r="G4" s="49"/>
      <c r="H4" s="49"/>
      <c r="I4" s="33"/>
      <c r="J4" s="49"/>
      <c r="K4" s="49"/>
      <c r="L4" s="57" t="s">
        <v>17</v>
      </c>
      <c r="M4" s="63">
        <f>$B$12</f>
        <v>73</v>
      </c>
      <c r="N4" s="110" t="str">
        <f>$C$12</f>
        <v>ROGER Francine</v>
      </c>
      <c r="O4" s="110"/>
      <c r="P4" s="110"/>
      <c r="Q4" s="110"/>
      <c r="R4" s="110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8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11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13" t="s">
        <v>19</v>
      </c>
      <c r="F7" s="114"/>
      <c r="G7" s="114"/>
      <c r="H7" s="114"/>
      <c r="I7" s="114"/>
      <c r="J7" s="115" t="s">
        <v>20</v>
      </c>
      <c r="K7" s="116"/>
      <c r="L7" s="117" t="s">
        <v>21</v>
      </c>
      <c r="M7" s="117"/>
      <c r="N7" s="118" t="s">
        <v>22</v>
      </c>
      <c r="O7" s="119"/>
      <c r="P7" s="120"/>
      <c r="Q7" s="121" t="s">
        <v>23</v>
      </c>
      <c r="R7" s="119"/>
      <c r="S7" s="120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50</v>
      </c>
      <c r="C9" s="41" t="s">
        <v>51</v>
      </c>
      <c r="D9" s="19" t="s">
        <v>52</v>
      </c>
      <c r="E9" s="25" t="s">
        <v>53</v>
      </c>
      <c r="F9" s="25" t="s">
        <v>54</v>
      </c>
      <c r="G9" s="25" t="s">
        <v>55</v>
      </c>
      <c r="H9" s="25" t="s">
        <v>56</v>
      </c>
      <c r="I9" t="s">
        <v>57</v>
      </c>
      <c r="J9" s="25" t="s">
        <v>58</v>
      </c>
      <c r="K9" s="25" t="s">
        <v>59</v>
      </c>
      <c r="L9" s="25" t="s">
        <v>60</v>
      </c>
      <c r="M9" s="25" t="s">
        <v>61</v>
      </c>
      <c r="N9" s="25" t="s">
        <v>62</v>
      </c>
      <c r="O9" s="25" t="s">
        <v>63</v>
      </c>
      <c r="P9" s="25" t="s">
        <v>64</v>
      </c>
      <c r="Q9" s="25" t="s">
        <v>65</v>
      </c>
      <c r="R9" s="25" t="s">
        <v>66</v>
      </c>
      <c r="S9" s="25" t="s">
        <v>67</v>
      </c>
      <c r="T9" s="41" t="s">
        <v>68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73</v>
      </c>
      <c r="C10" s="41" t="s">
        <v>47</v>
      </c>
      <c r="D10" s="19">
        <v>1</v>
      </c>
      <c r="E10" s="25">
        <v>41751</v>
      </c>
      <c r="F10" s="25">
        <v>41753</v>
      </c>
      <c r="G10" s="25">
        <v>41753</v>
      </c>
      <c r="H10" s="25">
        <v>41753</v>
      </c>
      <c r="I10" s="43" t="s">
        <v>75</v>
      </c>
      <c r="J10" s="25">
        <v>41763</v>
      </c>
      <c r="K10" s="25">
        <v>41764</v>
      </c>
      <c r="L10" s="25">
        <v>41822</v>
      </c>
      <c r="M10" s="25">
        <v>41821</v>
      </c>
      <c r="N10" s="25">
        <v>41871</v>
      </c>
      <c r="O10" s="25">
        <v>41817</v>
      </c>
      <c r="P10" s="25">
        <v>41820</v>
      </c>
      <c r="Q10" s="25">
        <v>42116</v>
      </c>
      <c r="R10" s="25">
        <v>41953</v>
      </c>
      <c r="S10" s="25">
        <v>41955</v>
      </c>
      <c r="T10" s="41" t="s">
        <v>46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18" customHeight="1">
      <c r="B11" s="66">
        <v>73</v>
      </c>
      <c r="C11" s="67" t="s">
        <v>47</v>
      </c>
      <c r="D11" s="19">
        <v>2</v>
      </c>
      <c r="I11" s="68" t="s">
        <v>69</v>
      </c>
      <c r="T11" s="67" t="s">
        <v>46</v>
      </c>
      <c r="U11" s="12">
        <v>42306</v>
      </c>
    </row>
    <row r="12" spans="2:48" ht="18" customHeight="1">
      <c r="B12" s="66">
        <v>73</v>
      </c>
      <c r="C12" s="67" t="s">
        <v>47</v>
      </c>
      <c r="D12" s="19">
        <v>3</v>
      </c>
      <c r="I12" s="68" t="s">
        <v>69</v>
      </c>
      <c r="T12" s="67" t="s">
        <v>46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09"/>
      <c r="M3" s="109"/>
      <c r="N3" s="109"/>
      <c r="O3" s="55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22" t="s">
        <v>70</v>
      </c>
      <c r="E4" s="122"/>
      <c r="F4" s="52">
        <f>$U$12</f>
        <v>42306</v>
      </c>
      <c r="G4" s="49"/>
      <c r="H4" s="49"/>
      <c r="I4" s="33"/>
      <c r="J4" s="49"/>
      <c r="K4" s="49"/>
      <c r="L4" s="57" t="s">
        <v>17</v>
      </c>
      <c r="M4" s="63">
        <f>$B$12</f>
        <v>70</v>
      </c>
      <c r="N4" s="110" t="str">
        <f>$C$12</f>
        <v>ZERBIB Gilda</v>
      </c>
      <c r="O4" s="110"/>
      <c r="P4" s="110"/>
      <c r="Q4" s="110"/>
      <c r="R4" s="110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8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11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13" t="s">
        <v>19</v>
      </c>
      <c r="F7" s="114"/>
      <c r="G7" s="114"/>
      <c r="H7" s="114"/>
      <c r="I7" s="114"/>
      <c r="J7" s="115" t="s">
        <v>20</v>
      </c>
      <c r="K7" s="116"/>
      <c r="L7" s="117" t="s">
        <v>21</v>
      </c>
      <c r="M7" s="117"/>
      <c r="N7" s="118" t="s">
        <v>22</v>
      </c>
      <c r="O7" s="119"/>
      <c r="P7" s="120"/>
      <c r="Q7" s="121" t="s">
        <v>23</v>
      </c>
      <c r="R7" s="119"/>
      <c r="S7" s="120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50</v>
      </c>
      <c r="C9" s="41" t="s">
        <v>51</v>
      </c>
      <c r="D9" s="19" t="s">
        <v>52</v>
      </c>
      <c r="E9" s="25" t="s">
        <v>53</v>
      </c>
      <c r="F9" s="25" t="s">
        <v>54</v>
      </c>
      <c r="G9" s="25" t="s">
        <v>55</v>
      </c>
      <c r="H9" s="25" t="s">
        <v>56</v>
      </c>
      <c r="I9" t="s">
        <v>57</v>
      </c>
      <c r="J9" s="25" t="s">
        <v>58</v>
      </c>
      <c r="K9" s="25" t="s">
        <v>59</v>
      </c>
      <c r="L9" s="25" t="s">
        <v>60</v>
      </c>
      <c r="M9" s="25" t="s">
        <v>61</v>
      </c>
      <c r="N9" s="25" t="s">
        <v>62</v>
      </c>
      <c r="O9" s="25" t="s">
        <v>63</v>
      </c>
      <c r="P9" s="25" t="s">
        <v>64</v>
      </c>
      <c r="Q9" s="25" t="s">
        <v>65</v>
      </c>
      <c r="R9" s="25" t="s">
        <v>66</v>
      </c>
      <c r="S9" s="25" t="s">
        <v>67</v>
      </c>
      <c r="T9" s="41" t="s">
        <v>68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70</v>
      </c>
      <c r="C10" s="41" t="s">
        <v>49</v>
      </c>
      <c r="D10" s="19">
        <v>1</v>
      </c>
      <c r="E10" s="25">
        <v>41766</v>
      </c>
      <c r="F10" s="25">
        <v>41774</v>
      </c>
      <c r="G10" s="25"/>
      <c r="H10" s="25"/>
      <c r="I10" s="43" t="s">
        <v>69</v>
      </c>
      <c r="J10" s="25">
        <v>41778</v>
      </c>
      <c r="K10" s="25"/>
      <c r="L10" s="25">
        <v>41837</v>
      </c>
      <c r="M10" s="25"/>
      <c r="N10" s="25">
        <v>41886</v>
      </c>
      <c r="O10" s="25">
        <v>41793</v>
      </c>
      <c r="P10" s="25">
        <v>41795</v>
      </c>
      <c r="Q10" s="25">
        <v>42131</v>
      </c>
      <c r="R10" s="25"/>
      <c r="S10" s="25"/>
      <c r="T10" s="41" t="s">
        <v>48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17.25" customHeight="1">
      <c r="B11" s="64">
        <v>70</v>
      </c>
      <c r="C11" s="65" t="s">
        <v>49</v>
      </c>
      <c r="D11" s="19">
        <v>2</v>
      </c>
      <c r="E11" s="25">
        <v>41757</v>
      </c>
      <c r="F11" s="25">
        <v>41795</v>
      </c>
      <c r="I11" s="43" t="s">
        <v>69</v>
      </c>
      <c r="J11" s="25">
        <v>41769</v>
      </c>
      <c r="K11" s="25">
        <v>41773</v>
      </c>
      <c r="L11" s="25">
        <v>41828</v>
      </c>
      <c r="N11" s="25">
        <v>41877</v>
      </c>
      <c r="Q11" s="25">
        <v>42122</v>
      </c>
      <c r="T11" s="65" t="s">
        <v>48</v>
      </c>
      <c r="U11" s="12">
        <v>42306</v>
      </c>
    </row>
    <row r="12" spans="2:48" ht="18.75" customHeight="1">
      <c r="B12" s="64">
        <v>70</v>
      </c>
      <c r="C12" s="65" t="s">
        <v>49</v>
      </c>
      <c r="D12" s="19">
        <v>3</v>
      </c>
      <c r="I12" s="75" t="s">
        <v>69</v>
      </c>
      <c r="T12" s="65" t="s">
        <v>48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Secteur DE0105</vt:lpstr>
      <vt:lpstr>00303030</vt:lpstr>
      <vt:lpstr>00801269</vt:lpstr>
      <vt:lpstr>01567599</vt:lpstr>
      <vt:lpstr>01861895</vt:lpstr>
      <vt:lpstr>01986037</vt:lpstr>
      <vt:lpstr>07963445</vt:lpstr>
      <vt:lpstr>09445195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2015-10-29T22:01:26Z</dcterms:modified>
</cp:coreProperties>
</file>