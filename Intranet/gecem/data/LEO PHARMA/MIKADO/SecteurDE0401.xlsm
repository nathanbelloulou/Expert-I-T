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875"/>
  </bookViews>
  <sheets>
    <sheet name="Secteur DE0401" sheetId="1" r:id="rId1"/>
    <sheet name="00490630" sheetId="2" r:id="rId2"/>
    <sheet name="02152796" sheetId="3" r:id="rId3"/>
    <sheet name="03038402" sheetId="17" r:id="rId4"/>
    <sheet name="03171280" sheetId="4" r:id="rId5"/>
    <sheet name="03426080" sheetId="5" r:id="rId6"/>
    <sheet name="03426601" sheetId="6" r:id="rId7"/>
    <sheet name="03618805" sheetId="7" r:id="rId8"/>
    <sheet name="04712850" sheetId="16" r:id="rId9"/>
    <sheet name="04844808" sheetId="8" r:id="rId10"/>
    <sheet name="06702430" sheetId="9" r:id="rId11"/>
    <sheet name="06434820" sheetId="10" r:id="rId12"/>
    <sheet name="06543707" sheetId="11" r:id="rId13"/>
    <sheet name="06508092" sheetId="12" r:id="rId14"/>
    <sheet name="06776545" sheetId="15" r:id="rId15"/>
    <sheet name="08923398" sheetId="13" r:id="rId16"/>
    <sheet name="09296870" sheetId="14" r:id="rId17"/>
  </sheets>
  <definedNames>
    <definedName name="Lancer_la_requête_à_partir_de_MS_Access_Database" localSheetId="1" hidden="1">'00490630'!$B$9:$U$14</definedName>
    <definedName name="Lancer_la_requête_à_partir_de_MS_Access_Database" localSheetId="2" hidden="1">'02152796'!$B$9:$U$19</definedName>
    <definedName name="Lancer_la_requête_à_partir_de_MS_Access_Database" localSheetId="3" hidden="1">'03038402'!$B$9:$U$12</definedName>
    <definedName name="Lancer_la_requête_à_partir_de_MS_Access_Database" localSheetId="4" hidden="1">'03171280'!$B$9:$U$10</definedName>
    <definedName name="Lancer_la_requête_à_partir_de_MS_Access_Database" localSheetId="5" hidden="1">'03426080'!$B$9:$U$14</definedName>
    <definedName name="Lancer_la_requête_à_partir_de_MS_Access_Database" localSheetId="6" hidden="1">'03426601'!$B$9:$U$12</definedName>
    <definedName name="Lancer_la_requête_à_partir_de_MS_Access_Database" localSheetId="7" hidden="1">'03618805'!$B$9:$U$14</definedName>
    <definedName name="Lancer_la_requête_à_partir_de_MS_Access_Database" localSheetId="8" hidden="1">'04712850'!$B$9:$U$12</definedName>
    <definedName name="Lancer_la_requête_à_partir_de_MS_Access_Database" localSheetId="9" hidden="1">'04844808'!$B$9:$U$19</definedName>
    <definedName name="Lancer_la_requête_à_partir_de_MS_Access_Database" localSheetId="11" hidden="1">'06434820'!$B$9:$U$12</definedName>
    <definedName name="Lancer_la_requête_à_partir_de_MS_Access_Database" localSheetId="13" hidden="1">'06508092'!$B$9:$U$14</definedName>
    <definedName name="Lancer_la_requête_à_partir_de_MS_Access_Database" localSheetId="12" hidden="1">'06543707'!$B$9:$U$17</definedName>
    <definedName name="Lancer_la_requête_à_partir_de_MS_Access_Database" localSheetId="10" hidden="1">'06702430'!$B$9:$U$12</definedName>
    <definedName name="Lancer_la_requête_à_partir_de_MS_Access_Database" localSheetId="14" hidden="1">'06776545'!$B$9:$U$12</definedName>
    <definedName name="Lancer_la_requête_à_partir_de_MS_Access_Database" localSheetId="15" hidden="1">'08923398'!$B$9:$U$13</definedName>
    <definedName name="Lancer_la_requête_à_partir_de_MS_Access_Database" localSheetId="16" hidden="1">'09296870'!$B$9:$U$14</definedName>
    <definedName name="Lancer_la_requête_à_partir_de_MS_Access_Database_1" localSheetId="0" hidden="1">'Secteur DE0401'!$A$7:$K$23</definedName>
  </definedNames>
  <calcPr calcId="125725"/>
</workbook>
</file>

<file path=xl/calcChain.xml><?xml version="1.0" encoding="utf-8"?>
<calcChain xmlns="http://schemas.openxmlformats.org/spreadsheetml/2006/main">
  <c r="D24" i="1"/>
  <c r="E24"/>
  <c r="F24"/>
  <c r="G24"/>
  <c r="H24"/>
  <c r="I24"/>
  <c r="N4" i="17"/>
  <c r="M4"/>
  <c r="F4"/>
  <c r="N4" i="16"/>
  <c r="M4"/>
  <c r="F4"/>
  <c r="N4" i="15"/>
  <c r="M4"/>
  <c r="F4"/>
  <c r="N4" i="14" l="1"/>
  <c r="M4"/>
  <c r="F4"/>
  <c r="N4" i="13"/>
  <c r="M4"/>
  <c r="F4"/>
  <c r="N4" i="12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1')_x000d__x000a_ORDER BY Req_REPORT_SECTEURS_GLOBAL.Medecin"/>
  </connection>
  <connection id="2" name="Lancer la requête à partir de MS Access Database004906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490630')"/>
  </connection>
  <connection id="3" name="Lancer la requête à partir de MS Access Database0215279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152796')"/>
  </connection>
  <connection id="4" name="Lancer la requête à partir de MS Access Database0303840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038402')"/>
  </connection>
  <connection id="5" name="Lancer la requête à partir de MS Access Database031712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71280')"/>
  </connection>
  <connection id="6" name="Lancer la requête à partir de MS Access Database034260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426080')"/>
  </connection>
  <connection id="7" name="Lancer la requête à partir de MS Access Database0342660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426601')"/>
  </connection>
  <connection id="8" name="Lancer la requête à partir de MS Access Database0361880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618805')"/>
  </connection>
  <connection id="9" name="Lancer la requête à partir de MS Access Database047128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712850')"/>
  </connection>
  <connection id="10" name="Lancer la requête à partir de MS Access Database048448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844808')"/>
  </connection>
  <connection id="11" name="Lancer la requête à partir de MS Access Database064348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434820')"/>
  </connection>
  <connection id="12" name="Lancer la requête à partir de MS Access Database0650809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508092')"/>
  </connection>
  <connection id="13" name="Lancer la requête à partir de MS Access Database0654370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543707')"/>
  </connection>
  <connection id="14" name="Lancer la requête à partir de MS Access Database067024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702430')"/>
  </connection>
  <connection id="15" name="Lancer la requête à partir de MS Access Database067765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776545')"/>
  </connection>
  <connection id="16" name="Lancer la requête à partir de MS Access Database0892339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923398')"/>
  </connection>
  <connection id="17" name="Lancer la requête à partir de MS Access Database092968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296870')"/>
  </connection>
</connections>
</file>

<file path=xl/sharedStrings.xml><?xml version="1.0" encoding="utf-8"?>
<sst xmlns="http://schemas.openxmlformats.org/spreadsheetml/2006/main" count="1056" uniqueCount="118">
  <si>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</si>
  <si>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</si>
  <si>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</si>
  <si>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</si>
  <si>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</si>
  <si>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</si>
  <si>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</si>
  <si>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</si>
  <si>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</si>
  <si>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</si>
  <si>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</si>
  <si>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</si>
  <si>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</si>
  <si>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</si>
  <si>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</si>
  <si>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</si>
  <si>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</si>
  <si>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</si>
  <si>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</si>
  <si>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</si>
  <si>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</si>
  <si>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</si>
  <si>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</si>
  <si>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</si>
  <si>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</si>
  <si>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</si>
  <si>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</si>
  <si>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</si>
  <si>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</si>
  <si>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</si>
  <si>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</si>
  <si>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</si>
  <si>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</si>
  <si>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</si>
  <si>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</si>
  <si>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</si>
  <si>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</si>
  <si>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</si>
  <si>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</si>
  <si>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</si>
  <si>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</si>
  <si>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</si>
  <si>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</si>
  <si>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</si>
  <si>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</si>
  <si>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</si>
  <si>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</si>
  <si>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</si>
  <si>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</si>
  <si>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</si>
  <si>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</si>
  <si>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</si>
  <si>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</si>
  <si>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</si>
  <si>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</si>
  <si>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</si>
  <si>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</si>
  <si>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</si>
  <si>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</si>
  <si>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DE0401</t>
  </si>
  <si>
    <t>NOBILI Nadine</t>
  </si>
  <si>
    <t>WFRM00490630</t>
  </si>
  <si>
    <t>BARRACHIN Jean-Pierre</t>
  </si>
  <si>
    <t>WFRM02152796</t>
  </si>
  <si>
    <t>DENIS Laurence</t>
  </si>
  <si>
    <t>WFRM03171280</t>
  </si>
  <si>
    <t>DUPUIS Marc</t>
  </si>
  <si>
    <t>WFRM03426080</t>
  </si>
  <si>
    <t>FAVRE Eliane</t>
  </si>
  <si>
    <t>WFRM03426601</t>
  </si>
  <si>
    <t>FAVRE Jacques</t>
  </si>
  <si>
    <t>WFRM03618805</t>
  </si>
  <si>
    <t>FOURNIER Annie</t>
  </si>
  <si>
    <t>WFRM04844808</t>
  </si>
  <si>
    <t>JEROME Pierre</t>
  </si>
  <si>
    <t>WFRM06702430</t>
  </si>
  <si>
    <t>LUCAS-MOULLEC Anne</t>
  </si>
  <si>
    <t>WFRM06434820</t>
  </si>
  <si>
    <t>MEYER Jean-Yves</t>
  </si>
  <si>
    <t>WFRM06543707</t>
  </si>
  <si>
    <t>MICHEL Jean-Loïc</t>
  </si>
  <si>
    <t>WFRM06508092</t>
  </si>
  <si>
    <t>WFRM08923398</t>
  </si>
  <si>
    <t>TRANCHAND Philippe</t>
  </si>
  <si>
    <t>WFRM09296870</t>
  </si>
  <si>
    <t>VONDERWEIDT Patrick</t>
  </si>
  <si>
    <t>WFRM06776545</t>
  </si>
  <si>
    <t>NALET Christiane</t>
  </si>
  <si>
    <t>WFRM04712850</t>
  </si>
  <si>
    <t>IGONET-NEVEU Elsa</t>
  </si>
  <si>
    <t>WFRM03038402</t>
  </si>
  <si>
    <t>DUBOIS Hervé</t>
  </si>
  <si>
    <t>Courrier - Téléphone - Via médecin</t>
  </si>
  <si>
    <t>Courrier - Via médecin</t>
  </si>
  <si>
    <t>SMS - Courrier - Téléphone - Via médecin</t>
  </si>
  <si>
    <t>Courrier - Téléphone</t>
  </si>
  <si>
    <t>Via médecin</t>
  </si>
  <si>
    <t>SMS - Mail</t>
  </si>
  <si>
    <t>SMS - Mail - Téléphone</t>
  </si>
  <si>
    <t>Mail</t>
  </si>
  <si>
    <t>SMS - Mail - Courrier - Téléphone</t>
  </si>
  <si>
    <t>Téléphone</t>
  </si>
  <si>
    <t>Courrier 22août : envoi courrier pour relance à faire patient 1531 n'a pas renvoyé son auto-questionnaire 2 mois.</t>
  </si>
  <si>
    <t>Courrier</t>
  </si>
  <si>
    <t>MILLON-PAITEL Martine</t>
  </si>
  <si>
    <t>08sept: Selon le Dr la mise en route de l'étude est un peu difficile surtout apres les vacances, mais pense sans aucun probleme pouvoir inclure plusieurs patients d'ici fin octobre</t>
  </si>
  <si>
    <t>05sept: Le patient 1 inclus a stoppé l'étude. Le Dr va s'occuper de cette étude et pense pouvoir sans problème inclure un ou plusieurs patients d'ici fin octobre.</t>
  </si>
  <si>
    <t xml:space="preserve">05sept: Le Dr avait oublié l'étude et va s'y mettre à partir d'aujourd'hui. Elle va relire l'étude ce week-end et commencer à inclure dès la semaine prochaine. Elle prétend avoir au moins 3 patients à traiter avec picato par semaine, ce n'est donc pas le </t>
  </si>
  <si>
    <t>05sept:A oublié de nous renvoyer le questionnaire d'inclusion, va le faire prochainement. Ensuite, elle ne peut affirmer avec certitude si elle reussira à inclure un ou plusieurs autres patients d'ici fin octobre.</t>
  </si>
  <si>
    <t>08sept: Le Dr a envoyé le questionnaire d'inclusion du 2 ème patient vendredi dernier, on devrait donc le recevoir prochainement. Il est en ce moment sur un troisième patient.</t>
  </si>
  <si>
    <t>24sept: le delegué lui a déjà donné 2 cahiers en plus. Elle a dc déjà inclut 5 patients et ne comptent plus en inclure.</t>
  </si>
  <si>
    <t>19sept: Dr souhaite etre reappro. 2 cahiers envoyés</t>
  </si>
  <si>
    <t>06nov:souhaite 3 nv CRF=&gt; envoyé le 13nov</t>
  </si>
  <si>
    <t>08/01/2015: a inclus d'autres patients. Nous renvoie les questionnaires</t>
  </si>
  <si>
    <t>Reste 2 patients à inclure</t>
  </si>
  <si>
    <t>Colonne1</t>
  </si>
  <si>
    <t>SMS - Mail - Courrier - Téléphone - Via médecin</t>
  </si>
  <si>
    <t>SMS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</si>
</sst>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29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8" fillId="12" borderId="5" xfId="0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11" fillId="0" borderId="0" xfId="2" applyFill="1" applyAlignment="1" applyProtection="1">
      <alignment horizontal="center" vertical="center" wrapText="1"/>
    </xf>
    <xf numFmtId="22" fontId="0" fillId="0" borderId="0" xfId="0" applyNumberFormat="1" applyFill="1" applyAlignment="1">
      <alignment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 wrapText="1"/>
    </xf>
    <xf numFmtId="0" fontId="28" fillId="0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6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62"/>
      <tableStyleElement type="headerRow" dxfId="361"/>
      <tableStyleElement type="totalRow" dxfId="360"/>
      <tableStyleElement type="firstColumn" dxfId="359"/>
      <tableStyleElement type="lastColumn" dxfId="358"/>
      <tableStyleElement type="firstRowStripe" dxfId="357"/>
      <tableStyleElement type="secondRowStripe" dxfId="356"/>
      <tableStyleElement type="firstColumnStripe" dxfId="355"/>
      <tableStyleElement type="secondColumnStripe" dxfId="354"/>
    </tableStyle>
    <tableStyle name="TableStyleLight8 2" pivot="0" count="9">
      <tableStyleElement type="wholeTable" dxfId="353"/>
      <tableStyleElement type="headerRow" dxfId="352"/>
      <tableStyleElement type="totalRow" dxfId="351"/>
      <tableStyleElement type="firstColumn" dxfId="350"/>
      <tableStyleElement type="lastColumn" dxfId="349"/>
      <tableStyleElement type="firstRowStripe" dxfId="348"/>
      <tableStyleElement type="secondRowStripe" dxfId="347"/>
      <tableStyleElement type="firstColumnStripe" dxfId="346"/>
      <tableStyleElement type="secondColumnStripe" dxfId="34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7.xml><?xml version="1.0" encoding="utf-8"?>
<queryTable xmlns="http://schemas.openxmlformats.org/spreadsheetml/2006/main" name="Lancer la requête à partir de MS Access Database" adjustColumnWidth="0" connectionId="1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4" tableType="queryTable" totalsRowCount="1" headerRowDxfId="344" dataDxfId="343">
  <tableColumns count="12">
    <tableColumn id="1" uniqueName="1" name="Code Secteur" queryTableFieldId="1" dataDxfId="331" totalsRowDxfId="332"/>
    <tableColumn id="2" uniqueName="2" name="VM" queryTableFieldId="2" dataDxfId="330" totalsRowDxfId="333"/>
    <tableColumn id="3" uniqueName="3" name="Code médecin" totalsRowLabel="TOTAL" queryTableFieldId="3" dataDxfId="329" totalsRowDxfId="334" dataCellStyle="Lien hypertexte"/>
    <tableColumn id="4" uniqueName="4" name="Medecin" totalsRowFunction="custom" queryTableFieldId="4" dataDxfId="328" totalsRowDxfId="335">
      <totalsRowFormula>SUBTOTAL(3,D8:D23)</totalsRowFormula>
    </tableColumn>
    <tableColumn id="5" uniqueName="5" name="Date de réception convention financière" totalsRowFunction="custom" queryTableFieldId="5" dataDxfId="327" totalsRowDxfId="336">
      <totalsRowFormula>SUBTOTAL(3,[Date de réception convention financière])</totalsRowFormula>
    </tableColumn>
    <tableColumn id="6" uniqueName="6" name="Date de réception AR kit" totalsRowFunction="custom" queryTableFieldId="6" dataDxfId="326" totalsRowDxfId="337">
      <totalsRowFormula>SUBTOTAL(3,[Date de réception AR kit])</totalsRowFormula>
    </tableColumn>
    <tableColumn id="7" uniqueName="7" name="Date de MEP" totalsRowFunction="custom" queryTableFieldId="7" dataDxfId="325" totalsRowDxfId="338">
      <totalsRowFormula>SUBTOTAL(3,[Date de MEP])</totalsRowFormula>
    </tableColumn>
    <tableColumn id="8" uniqueName="8" name="Desistement" totalsRowFunction="custom" queryTableFieldId="8" dataDxfId="324" totalsRowDxfId="339">
      <totalsRowFormula>SUBTOTAL(3,[Desistement])</totalsRowFormula>
    </tableColumn>
    <tableColumn id="9" uniqueName="9" name="Nb Total Patients inclus" totalsRowFunction="custom" queryTableFieldId="9" dataDxfId="323" totalsRowDxfId="340">
      <totalsRowFormula>SUBTOTAL(109,I8:I23)</totalsRowFormula>
    </tableColumn>
    <tableColumn id="10" uniqueName="10" name="Comptes-rendus contact médecin-GECEM" queryTableFieldId="10" dataDxfId="322" totalsRowDxfId="341"/>
    <tableColumn id="11" uniqueName="11" name="Date" queryTableFieldId="11" dataDxfId="321" totalsRowDxfId="342"/>
    <tableColumn id="12" uniqueName="12" name="Colonne1" queryTableFieldId="12" dataDxfId="32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319"/>
    <tableColumn id="2" uniqueName="2" name="Investigateur" queryTableFieldId="2" dataDxfId="318"/>
    <tableColumn id="3" uniqueName="3" name="Num_Patient" queryTableFieldId="3" dataDxfId="317"/>
    <tableColumn id="4" uniqueName="4" name="INCLUSION_Visite" queryTableFieldId="4" dataDxfId="316"/>
    <tableColumn id="5" uniqueName="5" name="INCLUSION_Reception" queryTableFieldId="5" dataDxfId="315"/>
    <tableColumn id="6" uniqueName="6" name="AQINCLUSION_Reception" queryTableFieldId="6" dataDxfId="314"/>
    <tableColumn id="7" uniqueName="7" name="CONTACT_Reception" queryTableFieldId="7" dataDxfId="313"/>
    <tableColumn id="8" uniqueName="8" name="TypeRappel" queryTableFieldId="8" dataDxfId="312"/>
    <tableColumn id="9" uniqueName="9" name="AQ7Theo" queryTableFieldId="9" dataDxfId="311"/>
    <tableColumn id="10" uniqueName="10" name="AQJ7_Reception" queryTableFieldId="10" dataDxfId="310"/>
    <tableColumn id="11" uniqueName="11" name="AQ_M2_Theo" queryTableFieldId="11" dataDxfId="309"/>
    <tableColumn id="12" uniqueName="12" name="AQM2_Reception" queryTableFieldId="12" dataDxfId="308"/>
    <tableColumn id="13" uniqueName="13" name="VP_Theo" queryTableFieldId="13" dataDxfId="307"/>
    <tableColumn id="14" uniqueName="14" name="PRECOCE_Visite" queryTableFieldId="14" dataDxfId="306"/>
    <tableColumn id="15" uniqueName="15" name="PRECOCE_Reception" queryTableFieldId="15" dataDxfId="305"/>
    <tableColumn id="16" uniqueName="16" name="VT_Theo" queryTableFieldId="16" dataDxfId="304"/>
    <tableColumn id="17" uniqueName="17" name="TARDIF_Visite" queryTableFieldId="17" dataDxfId="303"/>
    <tableColumn id="18" uniqueName="18" name="TARDIF_Reception" queryTableFieldId="18" dataDxfId="302"/>
    <tableColumn id="19" uniqueName="19" name="Onekey" queryTableFieldId="19" dataDxfId="301"/>
    <tableColumn id="20" uniqueName="20" name="Date" queryTableFieldId="20" dataDxfId="30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9" tableType="queryTable" totalsRowShown="0">
  <autoFilter ref="B9:U19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7" name="Tableau_Lancer_la_requête_à_partir_de_MS_Access_Database418" displayName="Tableau_Lancer_la_requête_à_partir_de_MS_Access_Database418" ref="B9:U12" tableType="queryTable" totalsRowShown="0">
  <autoFilter ref="B9:U12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0" tableType="queryTable" totalsRowShown="0">
  <autoFilter ref="B9:U10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5" name="Tableau_Lancer_la_requête_à_partir_de_MS_Access_Database456" displayName="Tableau_Lancer_la_requête_à_partir_de_MS_Access_Database456" ref="B9:U14" tableType="queryTable" totalsRowShown="0">
  <autoFilter ref="B9:U14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4" tableType="queryTable" totalsRowShown="0">
  <autoFilter ref="B9:U14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16" name="Tableau_Lancer_la_requête_à_partir_de_MS_Access_Database4567817" displayName="Tableau_Lancer_la_requête_à_partir_de_MS_Access_Database4567817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9" tableType="queryTable" totalsRowShown="0">
  <autoFilter ref="B9:U19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2" tableType="queryTable" totalsRowShown="0"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7" tableType="queryTable" totalsRowShown="0"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12" name="Tableau_Lancer_la_requête_à_partir_de_MS_Access_Database45678910111213" displayName="Tableau_Lancer_la_requête_à_partir_de_MS_Access_Database45678910111213" ref="B9:U14" tableType="queryTable" totalsRowShown="0"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5" name="Tableau_Lancer_la_requête_à_partir_de_MS_Access_Database45678910111213141516" displayName="Tableau_Lancer_la_requête_à_partir_de_MS_Access_Database45678910111213141516" ref="B9:U12" tableType="queryTable" totalsRowShown="0"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3" name="Tableau_Lancer_la_requête_à_partir_de_MS_Access_Database4567891011121314" displayName="Tableau_Lancer_la_requête_à_partir_de_MS_Access_Database4567891011121314" ref="B9:U13" tableType="queryTable" totalsRowShown="0"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7.xml><?xml version="1.0" encoding="utf-8"?>
<table xmlns="http://schemas.openxmlformats.org/spreadsheetml/2006/main" id="14" name="Tableau_Lancer_la_requête_à_partir_de_MS_Access_Database456789101112131415" displayName="Tableau_Lancer_la_requête_à_partir_de_MS_Access_Database456789101112131415" ref="B9:U14" tableType="queryTable" totalsRowShown="0"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6"/>
  <sheetViews>
    <sheetView tabSelected="1" topLeftCell="C1" workbookViewId="0">
      <selection activeCell="D10" sqref="D10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$A$23</f>
        <v>DE0401</v>
      </c>
      <c r="G2" s="112" t="str">
        <f>$B$23</f>
        <v>NOBILI Nadine</v>
      </c>
      <c r="H2" s="112"/>
      <c r="I2" s="11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$K$23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115</v>
      </c>
    </row>
    <row r="8" spans="1:17" s="79" customFormat="1" ht="45">
      <c r="A8" s="79" t="s">
        <v>59</v>
      </c>
      <c r="B8" s="79" t="s">
        <v>60</v>
      </c>
      <c r="C8" s="80" t="s">
        <v>61</v>
      </c>
      <c r="D8" s="78" t="s">
        <v>62</v>
      </c>
      <c r="E8" s="16">
        <v>41696</v>
      </c>
      <c r="F8" s="16">
        <v>41754</v>
      </c>
      <c r="G8" s="16">
        <v>41751</v>
      </c>
      <c r="H8" s="16"/>
      <c r="I8" s="15">
        <v>5</v>
      </c>
      <c r="J8" s="78" t="s">
        <v>109</v>
      </c>
      <c r="K8" s="81">
        <v>42306</v>
      </c>
    </row>
    <row r="9" spans="1:17" s="79" customFormat="1">
      <c r="A9" s="79" t="s">
        <v>59</v>
      </c>
      <c r="B9" s="79" t="s">
        <v>60</v>
      </c>
      <c r="C9" s="80" t="s">
        <v>63</v>
      </c>
      <c r="D9" s="78" t="s">
        <v>64</v>
      </c>
      <c r="E9" s="16">
        <v>41701</v>
      </c>
      <c r="F9" s="16">
        <v>41774</v>
      </c>
      <c r="G9" s="16">
        <v>41754</v>
      </c>
      <c r="H9" s="16"/>
      <c r="I9" s="15">
        <v>10</v>
      </c>
      <c r="J9" s="78"/>
      <c r="K9" s="81">
        <v>42306</v>
      </c>
    </row>
    <row r="10" spans="1:17" s="79" customFormat="1" ht="45">
      <c r="A10" s="79" t="s">
        <v>59</v>
      </c>
      <c r="B10" s="79" t="s">
        <v>60</v>
      </c>
      <c r="C10" s="80" t="s">
        <v>90</v>
      </c>
      <c r="D10" s="78" t="s">
        <v>91</v>
      </c>
      <c r="E10" s="16">
        <v>41815</v>
      </c>
      <c r="F10" s="16">
        <v>41820</v>
      </c>
      <c r="G10" s="16">
        <v>41813</v>
      </c>
      <c r="H10" s="16"/>
      <c r="I10" s="15"/>
      <c r="J10" s="78" t="s">
        <v>105</v>
      </c>
      <c r="K10" s="81">
        <v>42306</v>
      </c>
    </row>
    <row r="11" spans="1:17" s="79" customFormat="1" ht="45">
      <c r="A11" s="79" t="s">
        <v>59</v>
      </c>
      <c r="B11" s="79" t="s">
        <v>60</v>
      </c>
      <c r="C11" s="80" t="s">
        <v>65</v>
      </c>
      <c r="D11" s="78" t="s">
        <v>66</v>
      </c>
      <c r="E11" s="16">
        <v>41743</v>
      </c>
      <c r="F11" s="16">
        <v>41754</v>
      </c>
      <c r="G11" s="16">
        <v>41752</v>
      </c>
      <c r="H11" s="16"/>
      <c r="I11" s="15">
        <v>1</v>
      </c>
      <c r="J11" s="78" t="s">
        <v>106</v>
      </c>
      <c r="K11" s="81">
        <v>42306</v>
      </c>
    </row>
    <row r="12" spans="1:17" s="79" customFormat="1" ht="30">
      <c r="A12" s="79" t="s">
        <v>59</v>
      </c>
      <c r="B12" s="79" t="s">
        <v>60</v>
      </c>
      <c r="C12" s="80" t="s">
        <v>67</v>
      </c>
      <c r="D12" s="78" t="s">
        <v>68</v>
      </c>
      <c r="E12" s="16">
        <v>41697</v>
      </c>
      <c r="F12" s="16">
        <v>41751</v>
      </c>
      <c r="G12" s="16">
        <v>41747</v>
      </c>
      <c r="H12" s="16"/>
      <c r="I12" s="15">
        <v>5</v>
      </c>
      <c r="J12" s="78" t="s">
        <v>102</v>
      </c>
      <c r="K12" s="81">
        <v>42306</v>
      </c>
    </row>
    <row r="13" spans="1:17" s="79" customFormat="1" ht="30">
      <c r="A13" s="79" t="s">
        <v>59</v>
      </c>
      <c r="B13" s="79" t="s">
        <v>60</v>
      </c>
      <c r="C13" s="80" t="s">
        <v>69</v>
      </c>
      <c r="D13" s="78" t="s">
        <v>70</v>
      </c>
      <c r="E13" s="16">
        <v>41698</v>
      </c>
      <c r="F13" s="16">
        <v>41751</v>
      </c>
      <c r="G13" s="16">
        <v>41747</v>
      </c>
      <c r="H13" s="16"/>
      <c r="I13" s="15">
        <v>3</v>
      </c>
      <c r="J13" s="78" t="s">
        <v>110</v>
      </c>
      <c r="K13" s="81">
        <v>42306</v>
      </c>
    </row>
    <row r="14" spans="1:17" s="98" customFormat="1" ht="60">
      <c r="A14" s="98" t="s">
        <v>59</v>
      </c>
      <c r="B14" s="98" t="s">
        <v>60</v>
      </c>
      <c r="C14" s="99" t="s">
        <v>71</v>
      </c>
      <c r="D14" s="100" t="s">
        <v>72</v>
      </c>
      <c r="E14" s="101">
        <v>41702</v>
      </c>
      <c r="F14" s="101">
        <v>41751</v>
      </c>
      <c r="G14" s="101">
        <v>41746</v>
      </c>
      <c r="H14" s="101"/>
      <c r="I14" s="102">
        <v>3</v>
      </c>
      <c r="J14" s="100" t="s">
        <v>107</v>
      </c>
      <c r="K14" s="103">
        <v>42306</v>
      </c>
      <c r="L14" s="104" t="s">
        <v>114</v>
      </c>
    </row>
    <row r="15" spans="1:17" s="79" customFormat="1" ht="60">
      <c r="A15" s="79" t="s">
        <v>59</v>
      </c>
      <c r="B15" s="79" t="s">
        <v>60</v>
      </c>
      <c r="C15" s="80" t="s">
        <v>88</v>
      </c>
      <c r="D15" s="78" t="s">
        <v>89</v>
      </c>
      <c r="E15" s="16">
        <v>41813</v>
      </c>
      <c r="F15" s="16">
        <v>41824</v>
      </c>
      <c r="G15" s="16">
        <v>41822</v>
      </c>
      <c r="H15" s="16"/>
      <c r="I15" s="15">
        <v>3</v>
      </c>
      <c r="J15" s="78" t="s">
        <v>108</v>
      </c>
      <c r="K15" s="81">
        <v>42306</v>
      </c>
    </row>
    <row r="16" spans="1:17" s="105" customFormat="1" ht="30">
      <c r="A16" s="105" t="s">
        <v>59</v>
      </c>
      <c r="B16" s="105" t="s">
        <v>60</v>
      </c>
      <c r="C16" s="106" t="s">
        <v>73</v>
      </c>
      <c r="D16" s="107" t="s">
        <v>74</v>
      </c>
      <c r="E16" s="108">
        <v>41703</v>
      </c>
      <c r="F16" s="108">
        <v>41751</v>
      </c>
      <c r="G16" s="108">
        <v>41746</v>
      </c>
      <c r="H16" s="108"/>
      <c r="I16" s="109">
        <v>10</v>
      </c>
      <c r="J16" s="107" t="s">
        <v>113</v>
      </c>
      <c r="K16" s="110">
        <v>42306</v>
      </c>
      <c r="L16" s="111"/>
    </row>
    <row r="17" spans="1:12" s="79" customFormat="1">
      <c r="A17" s="79" t="s">
        <v>59</v>
      </c>
      <c r="B17" s="79" t="s">
        <v>60</v>
      </c>
      <c r="C17" s="80" t="s">
        <v>75</v>
      </c>
      <c r="D17" s="78" t="s">
        <v>76</v>
      </c>
      <c r="E17" s="16">
        <v>41736</v>
      </c>
      <c r="F17" s="16">
        <v>41890</v>
      </c>
      <c r="G17" s="16">
        <v>41887</v>
      </c>
      <c r="H17" s="16"/>
      <c r="I17" s="15">
        <v>3</v>
      </c>
      <c r="J17" s="78"/>
      <c r="K17" s="81">
        <v>42306</v>
      </c>
    </row>
    <row r="18" spans="1:12" s="79" customFormat="1">
      <c r="A18" s="79" t="s">
        <v>59</v>
      </c>
      <c r="B18" s="79" t="s">
        <v>60</v>
      </c>
      <c r="C18" s="80" t="s">
        <v>77</v>
      </c>
      <c r="D18" s="78" t="s">
        <v>78</v>
      </c>
      <c r="E18" s="16">
        <v>41698</v>
      </c>
      <c r="F18" s="16">
        <v>41743</v>
      </c>
      <c r="G18" s="16">
        <v>41738</v>
      </c>
      <c r="H18" s="16"/>
      <c r="I18" s="15"/>
      <c r="J18" s="78"/>
      <c r="K18" s="81">
        <v>42306</v>
      </c>
    </row>
    <row r="19" spans="1:12" s="79" customFormat="1">
      <c r="A19" s="79" t="s">
        <v>59</v>
      </c>
      <c r="B19" s="79" t="s">
        <v>60</v>
      </c>
      <c r="C19" s="80" t="s">
        <v>79</v>
      </c>
      <c r="D19" s="78" t="s">
        <v>80</v>
      </c>
      <c r="E19" s="16">
        <v>41701</v>
      </c>
      <c r="F19" s="16">
        <v>41771</v>
      </c>
      <c r="G19" s="16">
        <v>41754</v>
      </c>
      <c r="H19" s="16"/>
      <c r="I19" s="15">
        <v>8</v>
      </c>
      <c r="J19" s="78" t="s">
        <v>112</v>
      </c>
      <c r="K19" s="81">
        <v>42306</v>
      </c>
    </row>
    <row r="20" spans="1:12" s="79" customFormat="1">
      <c r="A20" s="79" t="s">
        <v>59</v>
      </c>
      <c r="B20" s="79" t="s">
        <v>60</v>
      </c>
      <c r="C20" s="80" t="s">
        <v>81</v>
      </c>
      <c r="D20" s="78" t="s">
        <v>104</v>
      </c>
      <c r="E20" s="16">
        <v>41702</v>
      </c>
      <c r="F20" s="16">
        <v>41747</v>
      </c>
      <c r="G20" s="16">
        <v>41745</v>
      </c>
      <c r="H20" s="16"/>
      <c r="I20" s="15">
        <v>4</v>
      </c>
      <c r="J20" s="78" t="s">
        <v>111</v>
      </c>
      <c r="K20" s="81">
        <v>42306</v>
      </c>
    </row>
    <row r="21" spans="1:12" s="79" customFormat="1">
      <c r="A21" s="79" t="s">
        <v>59</v>
      </c>
      <c r="B21" s="79" t="s">
        <v>60</v>
      </c>
      <c r="C21" s="80" t="s">
        <v>86</v>
      </c>
      <c r="D21" s="78" t="s">
        <v>87</v>
      </c>
      <c r="E21" s="16">
        <v>41792</v>
      </c>
      <c r="F21" s="16">
        <v>41810</v>
      </c>
      <c r="G21" s="16">
        <v>41807</v>
      </c>
      <c r="H21" s="16"/>
      <c r="I21" s="15"/>
      <c r="J21" s="78"/>
      <c r="K21" s="81">
        <v>42306</v>
      </c>
    </row>
    <row r="22" spans="1:12">
      <c r="A22" s="79" t="s">
        <v>59</v>
      </c>
      <c r="B22" s="79" t="s">
        <v>60</v>
      </c>
      <c r="C22" s="80" t="s">
        <v>82</v>
      </c>
      <c r="D22" s="78" t="s">
        <v>83</v>
      </c>
      <c r="E22" s="16">
        <v>41731</v>
      </c>
      <c r="F22" s="16">
        <v>41774</v>
      </c>
      <c r="G22" s="16">
        <v>41757</v>
      </c>
      <c r="H22" s="16"/>
      <c r="I22" s="15">
        <v>4</v>
      </c>
      <c r="J22" s="78"/>
      <c r="K22" s="81">
        <v>42306</v>
      </c>
      <c r="L22" s="79"/>
    </row>
    <row r="23" spans="1:12">
      <c r="A23" s="79" t="s">
        <v>59</v>
      </c>
      <c r="B23" s="79" t="s">
        <v>60</v>
      </c>
      <c r="C23" s="80" t="s">
        <v>84</v>
      </c>
      <c r="D23" s="78" t="s">
        <v>85</v>
      </c>
      <c r="E23" s="16">
        <v>41743</v>
      </c>
      <c r="F23" s="16">
        <v>41753</v>
      </c>
      <c r="G23" s="16">
        <v>41751</v>
      </c>
      <c r="H23" s="16"/>
      <c r="I23" s="15">
        <v>5</v>
      </c>
      <c r="J23" s="78"/>
      <c r="K23" s="81">
        <v>42306</v>
      </c>
      <c r="L23" s="79"/>
    </row>
    <row r="24" spans="1:12">
      <c r="A24" s="28"/>
      <c r="B24" s="28"/>
      <c r="C24" s="27" t="s">
        <v>15</v>
      </c>
      <c r="D24" s="33">
        <f>SUBTOTAL(3,D8:D23)</f>
        <v>16</v>
      </c>
      <c r="E24" s="33">
        <f>SUBTOTAL(3,[Date de réception convention financière])</f>
        <v>16</v>
      </c>
      <c r="F24" s="33">
        <f>SUBTOTAL(3,[Date de réception AR kit])</f>
        <v>16</v>
      </c>
      <c r="G24" s="33">
        <f>SUBTOTAL(3,[Date de MEP])</f>
        <v>16</v>
      </c>
      <c r="H24" s="82">
        <f>SUBTOTAL(3,[Desistement])</f>
        <v>0</v>
      </c>
      <c r="I24" s="27">
        <f>SUBTOTAL(109,I8:I23)</f>
        <v>64</v>
      </c>
      <c r="J24" s="31"/>
      <c r="K24" s="32"/>
    </row>
    <row r="25" spans="1:12">
      <c r="D25" s="10"/>
      <c r="J25" s="10"/>
    </row>
    <row r="26" spans="1:12">
      <c r="C26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M5" sqref="M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$U$14</f>
        <v>42306</v>
      </c>
      <c r="G4" s="50"/>
      <c r="H4" s="50"/>
      <c r="I4" s="34"/>
      <c r="J4" s="50"/>
      <c r="K4" s="50"/>
      <c r="L4" s="57" t="s">
        <v>17</v>
      </c>
      <c r="M4" s="63">
        <f>$B$14</f>
        <v>266</v>
      </c>
      <c r="N4" s="116" t="str">
        <f>$C$14</f>
        <v>BARRACHIN Jean-Pierre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266</v>
      </c>
      <c r="C10" s="42" t="s">
        <v>62</v>
      </c>
      <c r="D10" s="19">
        <v>1</v>
      </c>
      <c r="E10" s="25">
        <v>41781</v>
      </c>
      <c r="F10" s="25">
        <v>41782</v>
      </c>
      <c r="G10" s="25">
        <v>41786</v>
      </c>
      <c r="H10" s="25">
        <v>41830</v>
      </c>
      <c r="I10" s="44" t="s">
        <v>101</v>
      </c>
      <c r="J10" s="25">
        <v>41793</v>
      </c>
      <c r="K10" s="25">
        <v>41830</v>
      </c>
      <c r="L10" s="25">
        <v>41852</v>
      </c>
      <c r="M10" s="25">
        <v>41830</v>
      </c>
      <c r="N10" s="25">
        <v>41901</v>
      </c>
      <c r="O10" s="25">
        <v>41789</v>
      </c>
      <c r="P10" s="25">
        <v>41793</v>
      </c>
      <c r="Q10" s="25">
        <v>42146</v>
      </c>
      <c r="R10" s="25">
        <v>41934</v>
      </c>
      <c r="S10" s="25">
        <v>41936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266</v>
      </c>
      <c r="C11" s="69" t="s">
        <v>62</v>
      </c>
      <c r="D11" s="19">
        <v>2</v>
      </c>
      <c r="E11" s="25">
        <v>41886</v>
      </c>
      <c r="F11" s="25">
        <v>41891</v>
      </c>
      <c r="G11" s="25">
        <v>41905</v>
      </c>
      <c r="H11" s="25">
        <v>41893</v>
      </c>
      <c r="I11" s="70" t="s">
        <v>96</v>
      </c>
      <c r="J11" s="25">
        <v>41898</v>
      </c>
      <c r="K11" s="25">
        <v>41900</v>
      </c>
      <c r="L11" s="25">
        <v>41957</v>
      </c>
      <c r="M11" s="25">
        <v>41967</v>
      </c>
      <c r="N11" s="25">
        <v>42006</v>
      </c>
      <c r="O11" s="25">
        <v>41900</v>
      </c>
      <c r="P11" s="25">
        <v>41905</v>
      </c>
      <c r="Q11" s="25">
        <v>42251</v>
      </c>
      <c r="R11" s="25">
        <v>41963</v>
      </c>
      <c r="S11" s="25">
        <v>41967</v>
      </c>
      <c r="T11" s="69" t="s">
        <v>61</v>
      </c>
      <c r="U11" s="12">
        <v>42306</v>
      </c>
    </row>
    <row r="12" spans="2:48" ht="25.5">
      <c r="B12" s="68">
        <v>266</v>
      </c>
      <c r="C12" s="69" t="s">
        <v>62</v>
      </c>
      <c r="D12" s="19">
        <v>3</v>
      </c>
      <c r="E12" s="25">
        <v>41942</v>
      </c>
      <c r="F12" s="25">
        <v>41946</v>
      </c>
      <c r="G12" s="25">
        <v>41967</v>
      </c>
      <c r="H12" s="25">
        <v>41967</v>
      </c>
      <c r="I12" s="73" t="s">
        <v>99</v>
      </c>
      <c r="J12" s="25">
        <v>41954</v>
      </c>
      <c r="L12" s="25">
        <v>42013</v>
      </c>
      <c r="N12" s="25">
        <v>42062</v>
      </c>
      <c r="O12" s="25">
        <v>41953</v>
      </c>
      <c r="P12" s="25">
        <v>42020</v>
      </c>
      <c r="Q12" s="25">
        <v>42307</v>
      </c>
      <c r="R12" s="25">
        <v>42018</v>
      </c>
      <c r="S12" s="25">
        <v>42020</v>
      </c>
      <c r="T12" s="69" t="s">
        <v>61</v>
      </c>
      <c r="U12" s="12">
        <v>42306</v>
      </c>
    </row>
    <row r="13" spans="2:48" ht="25.5">
      <c r="B13" s="96">
        <v>266</v>
      </c>
      <c r="C13" s="97" t="s">
        <v>62</v>
      </c>
      <c r="D13" s="19">
        <v>4</v>
      </c>
      <c r="E13" s="25">
        <v>41948</v>
      </c>
      <c r="F13" s="25">
        <v>41961</v>
      </c>
      <c r="I13" s="73" t="s">
        <v>57</v>
      </c>
      <c r="J13" s="25">
        <v>41960</v>
      </c>
      <c r="K13" s="25">
        <v>41961</v>
      </c>
      <c r="L13" s="25">
        <v>42019</v>
      </c>
      <c r="N13" s="25">
        <v>42068</v>
      </c>
      <c r="O13" s="25">
        <v>41960</v>
      </c>
      <c r="P13" s="25">
        <v>41962</v>
      </c>
      <c r="Q13" s="25">
        <v>42313</v>
      </c>
      <c r="T13" s="97" t="s">
        <v>61</v>
      </c>
      <c r="U13" s="12">
        <v>42306</v>
      </c>
    </row>
    <row r="14" spans="2:48" ht="25.5">
      <c r="B14" s="96">
        <v>266</v>
      </c>
      <c r="C14" s="97" t="s">
        <v>62</v>
      </c>
      <c r="D14" s="19">
        <v>5</v>
      </c>
      <c r="E14" s="25">
        <v>41981</v>
      </c>
      <c r="F14" s="25">
        <v>41983</v>
      </c>
      <c r="I14" s="73" t="s">
        <v>57</v>
      </c>
      <c r="J14" s="25">
        <v>41993</v>
      </c>
      <c r="L14" s="25">
        <v>42052</v>
      </c>
      <c r="N14" s="25">
        <v>42101</v>
      </c>
      <c r="O14" s="25">
        <v>41989</v>
      </c>
      <c r="P14" s="25">
        <v>41995</v>
      </c>
      <c r="Q14" s="25">
        <v>42346</v>
      </c>
      <c r="T14" s="97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9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$U$19</f>
        <v>42306</v>
      </c>
      <c r="G4" s="50"/>
      <c r="H4" s="50"/>
      <c r="I4" s="34"/>
      <c r="J4" s="50"/>
      <c r="K4" s="50"/>
      <c r="L4" s="65" t="s">
        <v>17</v>
      </c>
      <c r="M4" s="63">
        <f>$B$19</f>
        <v>206</v>
      </c>
      <c r="N4" s="116" t="str">
        <f>$C$19</f>
        <v>DENIS Laurence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206</v>
      </c>
      <c r="C10" s="42" t="s">
        <v>64</v>
      </c>
      <c r="D10" s="19">
        <v>1</v>
      </c>
      <c r="E10" s="25">
        <v>41694</v>
      </c>
      <c r="F10" s="25">
        <v>41820</v>
      </c>
      <c r="G10" s="25">
        <v>41820</v>
      </c>
      <c r="H10" s="25"/>
      <c r="I10" s="70" t="s">
        <v>57</v>
      </c>
      <c r="J10" s="25">
        <v>41706</v>
      </c>
      <c r="K10" s="25">
        <v>41820</v>
      </c>
      <c r="L10" s="25">
        <v>41765</v>
      </c>
      <c r="M10" s="25">
        <v>41820</v>
      </c>
      <c r="N10" s="25">
        <v>41814</v>
      </c>
      <c r="O10" s="25">
        <v>41782</v>
      </c>
      <c r="P10" s="25">
        <v>41820</v>
      </c>
      <c r="Q10" s="25">
        <v>42059</v>
      </c>
      <c r="R10" s="25">
        <v>41901</v>
      </c>
      <c r="S10" s="25">
        <v>41918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1">
        <v>206</v>
      </c>
      <c r="C11" s="72" t="s">
        <v>64</v>
      </c>
      <c r="D11" s="19">
        <v>2</v>
      </c>
      <c r="E11" s="25">
        <v>41806</v>
      </c>
      <c r="F11" s="25">
        <v>41820</v>
      </c>
      <c r="G11" s="25">
        <v>41820</v>
      </c>
      <c r="I11" s="70" t="s">
        <v>57</v>
      </c>
      <c r="J11" s="25">
        <v>41818</v>
      </c>
      <c r="K11" s="25">
        <v>41820</v>
      </c>
      <c r="L11" s="25">
        <v>41877</v>
      </c>
      <c r="M11" s="25">
        <v>41886</v>
      </c>
      <c r="N11" s="25">
        <v>41926</v>
      </c>
      <c r="O11" s="25">
        <v>41809</v>
      </c>
      <c r="P11" s="25">
        <v>41820</v>
      </c>
      <c r="Q11" s="25">
        <v>42171</v>
      </c>
      <c r="R11" s="25">
        <v>41988</v>
      </c>
      <c r="S11" s="25">
        <v>41995</v>
      </c>
      <c r="T11" s="72" t="s">
        <v>63</v>
      </c>
      <c r="U11" s="12">
        <v>42306</v>
      </c>
    </row>
    <row r="12" spans="2:48" ht="25.5">
      <c r="B12" s="71">
        <v>206</v>
      </c>
      <c r="C12" s="72" t="s">
        <v>64</v>
      </c>
      <c r="D12" s="19">
        <v>3</v>
      </c>
      <c r="E12" s="25">
        <v>41782</v>
      </c>
      <c r="F12" s="25">
        <v>41820</v>
      </c>
      <c r="G12" s="25">
        <v>41820</v>
      </c>
      <c r="I12" s="73" t="s">
        <v>57</v>
      </c>
      <c r="J12" s="25">
        <v>41794</v>
      </c>
      <c r="K12" s="25">
        <v>41820</v>
      </c>
      <c r="L12" s="25">
        <v>41853</v>
      </c>
      <c r="M12" s="25">
        <v>41844</v>
      </c>
      <c r="N12" s="25">
        <v>41902</v>
      </c>
      <c r="O12" s="25">
        <v>41816</v>
      </c>
      <c r="P12" s="25">
        <v>41820</v>
      </c>
      <c r="Q12" s="25">
        <v>42147</v>
      </c>
      <c r="R12" s="25">
        <v>41908</v>
      </c>
      <c r="S12" s="25">
        <v>41918</v>
      </c>
      <c r="T12" s="72" t="s">
        <v>63</v>
      </c>
      <c r="U12" s="12">
        <v>42306</v>
      </c>
    </row>
    <row r="13" spans="2:48" ht="25.5">
      <c r="B13" s="93">
        <v>206</v>
      </c>
      <c r="C13" s="94" t="s">
        <v>64</v>
      </c>
      <c r="D13" s="19">
        <v>4</v>
      </c>
      <c r="E13" s="25">
        <v>41820</v>
      </c>
      <c r="F13" s="25">
        <v>41828</v>
      </c>
      <c r="G13" s="25">
        <v>41828</v>
      </c>
      <c r="I13" s="73" t="s">
        <v>57</v>
      </c>
      <c r="J13" s="25">
        <v>41832</v>
      </c>
      <c r="K13" s="25">
        <v>41828</v>
      </c>
      <c r="L13" s="25">
        <v>41891</v>
      </c>
      <c r="N13" s="25">
        <v>41940</v>
      </c>
      <c r="O13" s="25">
        <v>41876</v>
      </c>
      <c r="P13" s="25">
        <v>41886</v>
      </c>
      <c r="Q13" s="25">
        <v>42185</v>
      </c>
      <c r="R13" s="25">
        <v>42016</v>
      </c>
      <c r="S13" s="25">
        <v>42031</v>
      </c>
      <c r="T13" s="94" t="s">
        <v>63</v>
      </c>
      <c r="U13" s="12">
        <v>42306</v>
      </c>
    </row>
    <row r="14" spans="2:48" ht="25.5">
      <c r="B14" s="93">
        <v>206</v>
      </c>
      <c r="C14" s="94" t="s">
        <v>64</v>
      </c>
      <c r="D14" s="19">
        <v>5</v>
      </c>
      <c r="E14" s="25">
        <v>41754</v>
      </c>
      <c r="F14" s="25">
        <v>41829</v>
      </c>
      <c r="G14" s="25">
        <v>41829</v>
      </c>
      <c r="I14" s="73" t="s">
        <v>57</v>
      </c>
      <c r="J14" s="25">
        <v>41766</v>
      </c>
      <c r="K14" s="25">
        <v>41829</v>
      </c>
      <c r="L14" s="25">
        <v>41825</v>
      </c>
      <c r="M14" s="25">
        <v>41829</v>
      </c>
      <c r="N14" s="25">
        <v>41874</v>
      </c>
      <c r="O14" s="25">
        <v>41782</v>
      </c>
      <c r="P14" s="25">
        <v>41829</v>
      </c>
      <c r="Q14" s="25">
        <v>42119</v>
      </c>
      <c r="R14" s="25">
        <v>41915</v>
      </c>
      <c r="S14" s="25">
        <v>41918</v>
      </c>
      <c r="T14" s="94" t="s">
        <v>63</v>
      </c>
      <c r="U14" s="12">
        <v>42306</v>
      </c>
    </row>
    <row r="15" spans="2:48" ht="25.5">
      <c r="B15" s="96">
        <v>206</v>
      </c>
      <c r="C15" s="97" t="s">
        <v>64</v>
      </c>
      <c r="D15" s="19">
        <v>6</v>
      </c>
      <c r="E15" s="25">
        <v>41970</v>
      </c>
      <c r="F15" s="25">
        <v>41995</v>
      </c>
      <c r="I15" s="73" t="s">
        <v>57</v>
      </c>
      <c r="J15" s="25">
        <v>41982</v>
      </c>
      <c r="K15" s="25">
        <v>41996</v>
      </c>
      <c r="L15" s="25">
        <v>42041</v>
      </c>
      <c r="N15" s="25">
        <v>42090</v>
      </c>
      <c r="O15" s="25">
        <v>42031</v>
      </c>
      <c r="P15" s="25">
        <v>42031</v>
      </c>
      <c r="Q15" s="25">
        <v>42335</v>
      </c>
      <c r="T15" s="97" t="s">
        <v>63</v>
      </c>
      <c r="U15" s="12">
        <v>42306</v>
      </c>
    </row>
    <row r="16" spans="2:48" ht="25.5">
      <c r="B16" s="96">
        <v>206</v>
      </c>
      <c r="C16" s="97" t="s">
        <v>64</v>
      </c>
      <c r="D16" s="19">
        <v>7</v>
      </c>
      <c r="E16" s="25">
        <v>41963</v>
      </c>
      <c r="F16" s="25">
        <v>41995</v>
      </c>
      <c r="I16" s="73" t="s">
        <v>57</v>
      </c>
      <c r="J16" s="25">
        <v>41975</v>
      </c>
      <c r="K16" s="25">
        <v>41996</v>
      </c>
      <c r="L16" s="25">
        <v>42034</v>
      </c>
      <c r="M16" s="25">
        <v>41996</v>
      </c>
      <c r="N16" s="25">
        <v>42083</v>
      </c>
      <c r="Q16" s="25">
        <v>42328</v>
      </c>
      <c r="T16" s="97" t="s">
        <v>63</v>
      </c>
      <c r="U16" s="12">
        <v>42306</v>
      </c>
    </row>
    <row r="17" spans="2:21" ht="25.5">
      <c r="B17" s="96">
        <v>206</v>
      </c>
      <c r="C17" s="97" t="s">
        <v>64</v>
      </c>
      <c r="D17" s="19">
        <v>8</v>
      </c>
      <c r="E17" s="25">
        <v>41971</v>
      </c>
      <c r="F17" s="25">
        <v>41995</v>
      </c>
      <c r="I17" s="73" t="s">
        <v>57</v>
      </c>
      <c r="J17" s="25">
        <v>41983</v>
      </c>
      <c r="K17" s="25">
        <v>41996</v>
      </c>
      <c r="L17" s="25">
        <v>42042</v>
      </c>
      <c r="N17" s="25">
        <v>42091</v>
      </c>
      <c r="O17" s="25">
        <v>42031</v>
      </c>
      <c r="P17" s="25">
        <v>42031</v>
      </c>
      <c r="Q17" s="25">
        <v>42336</v>
      </c>
      <c r="T17" s="97" t="s">
        <v>63</v>
      </c>
      <c r="U17" s="12">
        <v>42306</v>
      </c>
    </row>
    <row r="18" spans="2:21" ht="25.5">
      <c r="B18" s="96">
        <v>206</v>
      </c>
      <c r="C18" s="97" t="s">
        <v>64</v>
      </c>
      <c r="D18" s="19">
        <v>9</v>
      </c>
      <c r="E18" s="25">
        <v>41978</v>
      </c>
      <c r="F18" s="25">
        <v>41995</v>
      </c>
      <c r="I18" s="73" t="s">
        <v>57</v>
      </c>
      <c r="J18" s="25">
        <v>41990</v>
      </c>
      <c r="K18" s="25">
        <v>41996</v>
      </c>
      <c r="L18" s="25">
        <v>42049</v>
      </c>
      <c r="N18" s="25">
        <v>42098</v>
      </c>
      <c r="O18" s="25">
        <v>42009</v>
      </c>
      <c r="P18" s="25">
        <v>42031</v>
      </c>
      <c r="Q18" s="25">
        <v>42343</v>
      </c>
      <c r="T18" s="97" t="s">
        <v>63</v>
      </c>
      <c r="U18" s="12">
        <v>42306</v>
      </c>
    </row>
    <row r="19" spans="2:21" ht="25.5">
      <c r="B19" s="96">
        <v>206</v>
      </c>
      <c r="C19" s="97" t="s">
        <v>64</v>
      </c>
      <c r="D19" s="19">
        <v>10</v>
      </c>
      <c r="E19" s="25">
        <v>41963</v>
      </c>
      <c r="F19" s="25">
        <v>41995</v>
      </c>
      <c r="I19" s="73" t="s">
        <v>57</v>
      </c>
      <c r="J19" s="25">
        <v>41975</v>
      </c>
      <c r="K19" s="25">
        <v>41996</v>
      </c>
      <c r="L19" s="25">
        <v>42034</v>
      </c>
      <c r="N19" s="25">
        <v>42083</v>
      </c>
      <c r="O19" s="25">
        <v>41992</v>
      </c>
      <c r="P19" s="25">
        <v>41995</v>
      </c>
      <c r="Q19" s="25">
        <v>42328</v>
      </c>
      <c r="T19" s="97" t="s">
        <v>63</v>
      </c>
      <c r="U19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G23" sqref="G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8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$U$12</f>
        <v>42306</v>
      </c>
      <c r="G4" s="50"/>
      <c r="H4" s="50"/>
      <c r="I4" s="34"/>
      <c r="J4" s="50"/>
      <c r="K4" s="50"/>
      <c r="L4" s="90" t="s">
        <v>17</v>
      </c>
      <c r="M4" s="63">
        <f>$B$12</f>
        <v>204</v>
      </c>
      <c r="N4" s="116" t="str">
        <f>$C$12</f>
        <v>DUBOIS Hervé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2" t="s">
        <v>32</v>
      </c>
      <c r="M8" s="92" t="s">
        <v>31</v>
      </c>
      <c r="N8" s="91" t="s">
        <v>33</v>
      </c>
      <c r="O8" s="91" t="s">
        <v>34</v>
      </c>
      <c r="P8" s="9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204</v>
      </c>
      <c r="C10" s="42" t="s">
        <v>91</v>
      </c>
      <c r="D10" s="19">
        <v>1</v>
      </c>
      <c r="E10" s="25"/>
      <c r="F10" s="25"/>
      <c r="G10" s="25"/>
      <c r="H10" s="25"/>
      <c r="I10" s="7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90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93">
        <v>204</v>
      </c>
      <c r="C11" s="94" t="s">
        <v>91</v>
      </c>
      <c r="D11" s="19">
        <v>2</v>
      </c>
      <c r="I11" s="73" t="s">
        <v>57</v>
      </c>
      <c r="T11" s="94" t="s">
        <v>90</v>
      </c>
      <c r="U11" s="12">
        <v>42306</v>
      </c>
    </row>
    <row r="12" spans="2:48" ht="25.5">
      <c r="B12" s="93">
        <v>204</v>
      </c>
      <c r="C12" s="94" t="s">
        <v>91</v>
      </c>
      <c r="D12" s="19">
        <v>3</v>
      </c>
      <c r="I12" s="73" t="s">
        <v>57</v>
      </c>
      <c r="T12" s="94" t="s">
        <v>90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0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260</v>
      </c>
      <c r="N4" s="116" t="str">
        <f>$C$10</f>
        <v>DUPUIS Marc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260</v>
      </c>
      <c r="C10" s="42" t="s">
        <v>66</v>
      </c>
      <c r="D10" s="19">
        <v>1</v>
      </c>
      <c r="E10" s="25">
        <v>41754</v>
      </c>
      <c r="F10" s="25">
        <v>41759</v>
      </c>
      <c r="G10" s="25"/>
      <c r="H10" s="25"/>
      <c r="I10" s="73" t="s">
        <v>57</v>
      </c>
      <c r="J10" s="25">
        <v>41766</v>
      </c>
      <c r="K10" s="25"/>
      <c r="L10" s="25">
        <v>41825</v>
      </c>
      <c r="M10" s="25"/>
      <c r="N10" s="25">
        <v>41874</v>
      </c>
      <c r="O10" s="25"/>
      <c r="P10" s="25"/>
      <c r="Q10" s="25">
        <v>42119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210</v>
      </c>
      <c r="N4" s="116" t="str">
        <f>$C$14</f>
        <v>FAVRE Eliane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210</v>
      </c>
      <c r="C10" s="42" t="s">
        <v>68</v>
      </c>
      <c r="D10" s="19">
        <v>1</v>
      </c>
      <c r="E10" s="25">
        <v>41757</v>
      </c>
      <c r="F10" s="25">
        <v>41759</v>
      </c>
      <c r="G10" s="25">
        <v>41759</v>
      </c>
      <c r="H10" s="25">
        <v>41759</v>
      </c>
      <c r="I10" s="44" t="s">
        <v>92</v>
      </c>
      <c r="J10" s="25">
        <v>41769</v>
      </c>
      <c r="K10" s="25">
        <v>41864</v>
      </c>
      <c r="L10" s="25">
        <v>41828</v>
      </c>
      <c r="M10" s="25">
        <v>41864</v>
      </c>
      <c r="N10" s="25">
        <v>41877</v>
      </c>
      <c r="O10" s="25"/>
      <c r="P10" s="25"/>
      <c r="Q10" s="25">
        <v>42122</v>
      </c>
      <c r="R10" s="25">
        <v>41940</v>
      </c>
      <c r="S10" s="25">
        <v>41948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210</v>
      </c>
      <c r="C11" s="69" t="s">
        <v>68</v>
      </c>
      <c r="D11" s="19">
        <v>2</v>
      </c>
      <c r="E11" s="25">
        <v>41763</v>
      </c>
      <c r="F11" s="25">
        <v>41774</v>
      </c>
      <c r="G11" s="25">
        <v>41774</v>
      </c>
      <c r="H11" s="25">
        <v>41774</v>
      </c>
      <c r="I11" s="70" t="s">
        <v>93</v>
      </c>
      <c r="J11" s="25">
        <v>41775</v>
      </c>
      <c r="K11" s="25">
        <v>41774</v>
      </c>
      <c r="L11" s="25">
        <v>41834</v>
      </c>
      <c r="M11" s="25">
        <v>41830</v>
      </c>
      <c r="N11" s="25">
        <v>41883</v>
      </c>
      <c r="Q11" s="25">
        <v>42128</v>
      </c>
      <c r="R11" s="25">
        <v>41948</v>
      </c>
      <c r="S11" s="25">
        <v>41949</v>
      </c>
      <c r="T11" s="69" t="s">
        <v>67</v>
      </c>
      <c r="U11" s="12">
        <v>42306</v>
      </c>
    </row>
    <row r="12" spans="2:48" ht="25.5">
      <c r="B12" s="68">
        <v>210</v>
      </c>
      <c r="C12" s="69" t="s">
        <v>68</v>
      </c>
      <c r="D12" s="19">
        <v>3</v>
      </c>
      <c r="E12" s="25">
        <v>41765</v>
      </c>
      <c r="F12" s="25">
        <v>41774</v>
      </c>
      <c r="G12" s="25">
        <v>41774</v>
      </c>
      <c r="H12" s="25">
        <v>41774</v>
      </c>
      <c r="I12" s="70" t="s">
        <v>94</v>
      </c>
      <c r="J12" s="25">
        <v>41777</v>
      </c>
      <c r="K12" s="25">
        <v>41774</v>
      </c>
      <c r="L12" s="25">
        <v>41836</v>
      </c>
      <c r="M12" s="25">
        <v>41830</v>
      </c>
      <c r="N12" s="25">
        <v>41885</v>
      </c>
      <c r="Q12" s="25">
        <v>42130</v>
      </c>
      <c r="R12" s="25">
        <v>41948</v>
      </c>
      <c r="S12" s="25">
        <v>41950</v>
      </c>
      <c r="T12" s="69" t="s">
        <v>67</v>
      </c>
      <c r="U12" s="12">
        <v>42306</v>
      </c>
    </row>
    <row r="13" spans="2:48" ht="25.5">
      <c r="B13" s="71">
        <v>210</v>
      </c>
      <c r="C13" s="72" t="s">
        <v>68</v>
      </c>
      <c r="D13" s="19">
        <v>4</v>
      </c>
      <c r="E13" s="25">
        <v>41778</v>
      </c>
      <c r="F13" s="25">
        <v>41782</v>
      </c>
      <c r="G13" s="25">
        <v>41782</v>
      </c>
      <c r="H13" s="25">
        <v>41780</v>
      </c>
      <c r="I13" s="73" t="s">
        <v>95</v>
      </c>
      <c r="J13" s="25">
        <v>41790</v>
      </c>
      <c r="K13" s="25">
        <v>41787</v>
      </c>
      <c r="L13" s="25">
        <v>41849</v>
      </c>
      <c r="M13" s="25">
        <v>41845</v>
      </c>
      <c r="N13" s="25">
        <v>41898</v>
      </c>
      <c r="Q13" s="25">
        <v>42143</v>
      </c>
      <c r="R13" s="25">
        <v>41933</v>
      </c>
      <c r="S13" s="25">
        <v>41939</v>
      </c>
      <c r="T13" s="72" t="s">
        <v>67</v>
      </c>
      <c r="U13" s="12">
        <v>42306</v>
      </c>
    </row>
    <row r="14" spans="2:48" ht="25.5">
      <c r="B14" s="71">
        <v>210</v>
      </c>
      <c r="C14" s="72" t="s">
        <v>68</v>
      </c>
      <c r="D14" s="19">
        <v>5</v>
      </c>
      <c r="E14" s="25">
        <v>41793</v>
      </c>
      <c r="F14" s="25">
        <v>41809</v>
      </c>
      <c r="H14" s="25">
        <v>41809</v>
      </c>
      <c r="I14" s="73" t="s">
        <v>96</v>
      </c>
      <c r="J14" s="25">
        <v>41805</v>
      </c>
      <c r="L14" s="25">
        <v>41864</v>
      </c>
      <c r="N14" s="25">
        <v>41913</v>
      </c>
      <c r="Q14" s="25">
        <v>42158</v>
      </c>
      <c r="R14" s="25">
        <v>42008</v>
      </c>
      <c r="S14" s="25">
        <v>42011</v>
      </c>
      <c r="T14" s="72" t="s">
        <v>67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208</v>
      </c>
      <c r="N4" s="116" t="str">
        <f>$C$12</f>
        <v>FAVRE Jacques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208</v>
      </c>
      <c r="C10" s="42" t="s">
        <v>70</v>
      </c>
      <c r="D10" s="19">
        <v>1</v>
      </c>
      <c r="E10" s="25">
        <v>41792</v>
      </c>
      <c r="F10" s="25">
        <v>41814</v>
      </c>
      <c r="G10" s="25">
        <v>41814</v>
      </c>
      <c r="H10" s="25">
        <v>41807</v>
      </c>
      <c r="I10" s="44" t="s">
        <v>96</v>
      </c>
      <c r="J10" s="25">
        <v>41804</v>
      </c>
      <c r="K10" s="25">
        <v>42061</v>
      </c>
      <c r="L10" s="25">
        <v>41863</v>
      </c>
      <c r="M10" s="25"/>
      <c r="N10" s="25">
        <v>41912</v>
      </c>
      <c r="O10" s="25"/>
      <c r="P10" s="25"/>
      <c r="Q10" s="25">
        <v>42157</v>
      </c>
      <c r="R10" s="25">
        <v>41983</v>
      </c>
      <c r="S10" s="25">
        <v>41997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208</v>
      </c>
      <c r="C11" s="69" t="s">
        <v>70</v>
      </c>
      <c r="D11" s="19">
        <v>2</v>
      </c>
      <c r="E11" s="25">
        <v>41759</v>
      </c>
      <c r="F11" s="25">
        <v>41764</v>
      </c>
      <c r="G11" s="25">
        <v>41848</v>
      </c>
      <c r="H11" s="25">
        <v>41772</v>
      </c>
      <c r="I11" s="70" t="s">
        <v>97</v>
      </c>
      <c r="J11" s="25">
        <v>41771</v>
      </c>
      <c r="K11" s="25">
        <v>41772</v>
      </c>
      <c r="L11" s="25">
        <v>41830</v>
      </c>
      <c r="M11" s="25">
        <v>41835</v>
      </c>
      <c r="N11" s="25">
        <v>41879</v>
      </c>
      <c r="O11" s="25">
        <v>41843</v>
      </c>
      <c r="P11" s="25">
        <v>41848</v>
      </c>
      <c r="Q11" s="25">
        <v>42124</v>
      </c>
      <c r="R11" s="25">
        <v>41974</v>
      </c>
      <c r="S11" s="25">
        <v>41997</v>
      </c>
      <c r="T11" s="69" t="s">
        <v>69</v>
      </c>
      <c r="U11" s="12">
        <v>42306</v>
      </c>
    </row>
    <row r="12" spans="2:48" ht="25.5">
      <c r="B12" s="68">
        <v>208</v>
      </c>
      <c r="C12" s="69" t="s">
        <v>70</v>
      </c>
      <c r="D12" s="19">
        <v>3</v>
      </c>
      <c r="E12" s="25">
        <v>41764</v>
      </c>
      <c r="F12" s="25">
        <v>41766</v>
      </c>
      <c r="G12" s="25">
        <v>41772</v>
      </c>
      <c r="H12" s="25">
        <v>41831</v>
      </c>
      <c r="I12" s="70" t="s">
        <v>95</v>
      </c>
      <c r="J12" s="25">
        <v>41776</v>
      </c>
      <c r="K12" s="25">
        <v>41772</v>
      </c>
      <c r="L12" s="25">
        <v>41835</v>
      </c>
      <c r="M12" s="25">
        <v>41831</v>
      </c>
      <c r="N12" s="25">
        <v>41884</v>
      </c>
      <c r="O12" s="25">
        <v>41830</v>
      </c>
      <c r="P12" s="25">
        <v>41835</v>
      </c>
      <c r="Q12" s="25">
        <v>42129</v>
      </c>
      <c r="R12" s="25">
        <v>41973</v>
      </c>
      <c r="S12" s="25">
        <v>41997</v>
      </c>
      <c r="T12" s="69" t="s">
        <v>69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211</v>
      </c>
      <c r="N4" s="116" t="str">
        <f>$C$14</f>
        <v>FOURNIER Annie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211</v>
      </c>
      <c r="C10" s="42" t="s">
        <v>72</v>
      </c>
      <c r="D10" s="19">
        <v>1</v>
      </c>
      <c r="E10" s="25">
        <v>41897</v>
      </c>
      <c r="F10" s="25">
        <v>41913</v>
      </c>
      <c r="G10" s="25">
        <v>41913</v>
      </c>
      <c r="H10" s="25">
        <v>41913</v>
      </c>
      <c r="I10" s="44" t="s">
        <v>96</v>
      </c>
      <c r="J10" s="25">
        <v>41909</v>
      </c>
      <c r="K10" s="25">
        <v>41918</v>
      </c>
      <c r="L10" s="25">
        <v>41968</v>
      </c>
      <c r="M10" s="25">
        <v>41977</v>
      </c>
      <c r="N10" s="25">
        <v>42017</v>
      </c>
      <c r="O10" s="25">
        <v>41946</v>
      </c>
      <c r="P10" s="25">
        <v>41949</v>
      </c>
      <c r="Q10" s="25">
        <v>42262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211</v>
      </c>
      <c r="C11" s="69" t="s">
        <v>72</v>
      </c>
      <c r="D11" s="19">
        <v>2</v>
      </c>
      <c r="E11" s="25">
        <v>41906</v>
      </c>
      <c r="F11" s="25">
        <v>41913</v>
      </c>
      <c r="I11" s="70" t="s">
        <v>57</v>
      </c>
      <c r="J11" s="25">
        <v>41918</v>
      </c>
      <c r="L11" s="25">
        <v>41977</v>
      </c>
      <c r="N11" s="25">
        <v>42026</v>
      </c>
      <c r="Q11" s="25">
        <v>42271</v>
      </c>
      <c r="T11" s="69" t="s">
        <v>71</v>
      </c>
      <c r="U11" s="12">
        <v>42306</v>
      </c>
    </row>
    <row r="12" spans="2:48" ht="25.5">
      <c r="B12" s="68">
        <v>211</v>
      </c>
      <c r="C12" s="69" t="s">
        <v>72</v>
      </c>
      <c r="D12" s="19">
        <v>3</v>
      </c>
      <c r="E12" s="25">
        <v>41907</v>
      </c>
      <c r="F12" s="25">
        <v>41921</v>
      </c>
      <c r="I12" s="73" t="s">
        <v>57</v>
      </c>
      <c r="J12" s="25">
        <v>41919</v>
      </c>
      <c r="L12" s="25">
        <v>41978</v>
      </c>
      <c r="N12" s="25">
        <v>42027</v>
      </c>
      <c r="O12" s="25">
        <v>41946</v>
      </c>
      <c r="P12" s="25">
        <v>41949</v>
      </c>
      <c r="Q12" s="25">
        <v>42272</v>
      </c>
      <c r="T12" s="69" t="s">
        <v>71</v>
      </c>
      <c r="U12" s="12">
        <v>42306</v>
      </c>
    </row>
    <row r="13" spans="2:48" ht="25.5">
      <c r="B13" s="96">
        <v>211</v>
      </c>
      <c r="C13" s="97" t="s">
        <v>72</v>
      </c>
      <c r="D13" s="19">
        <v>4</v>
      </c>
      <c r="I13" s="73" t="s">
        <v>57</v>
      </c>
      <c r="T13" s="97" t="s">
        <v>71</v>
      </c>
      <c r="U13" s="12">
        <v>42306</v>
      </c>
    </row>
    <row r="14" spans="2:48" ht="25.5">
      <c r="B14" s="96">
        <v>211</v>
      </c>
      <c r="C14" s="97" t="s">
        <v>72</v>
      </c>
      <c r="D14" s="19">
        <v>5</v>
      </c>
      <c r="I14" s="73" t="s">
        <v>57</v>
      </c>
      <c r="T14" s="97" t="s">
        <v>71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I19" sqref="I19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8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$U$12</f>
        <v>42306</v>
      </c>
      <c r="G4" s="50"/>
      <c r="H4" s="50"/>
      <c r="I4" s="34"/>
      <c r="J4" s="50"/>
      <c r="K4" s="50"/>
      <c r="L4" s="86" t="s">
        <v>17</v>
      </c>
      <c r="M4" s="63">
        <f>$B$12</f>
        <v>357</v>
      </c>
      <c r="N4" s="116" t="str">
        <f>$C$12</f>
        <v>IGONET-NEVEU Elsa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8" t="s">
        <v>32</v>
      </c>
      <c r="M8" s="88" t="s">
        <v>31</v>
      </c>
      <c r="N8" s="87" t="s">
        <v>33</v>
      </c>
      <c r="O8" s="87" t="s">
        <v>34</v>
      </c>
      <c r="P8" s="8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357</v>
      </c>
      <c r="C10" s="42" t="s">
        <v>89</v>
      </c>
      <c r="D10" s="19">
        <v>1</v>
      </c>
      <c r="E10" s="25">
        <v>41872</v>
      </c>
      <c r="F10" s="25">
        <v>41893</v>
      </c>
      <c r="G10" s="25">
        <v>41901</v>
      </c>
      <c r="H10" s="25">
        <v>41878</v>
      </c>
      <c r="I10" s="73" t="s">
        <v>103</v>
      </c>
      <c r="J10" s="25">
        <v>41884</v>
      </c>
      <c r="K10" s="25"/>
      <c r="L10" s="25">
        <v>41943</v>
      </c>
      <c r="M10" s="25">
        <v>41901</v>
      </c>
      <c r="N10" s="25">
        <v>41992</v>
      </c>
      <c r="O10" s="25">
        <v>41900</v>
      </c>
      <c r="P10" s="25">
        <v>41904</v>
      </c>
      <c r="Q10" s="25">
        <v>42237</v>
      </c>
      <c r="R10" s="25">
        <v>41992</v>
      </c>
      <c r="S10" s="25">
        <v>42037</v>
      </c>
      <c r="T10" s="42" t="s">
        <v>88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357</v>
      </c>
      <c r="C11" s="95" t="s">
        <v>89</v>
      </c>
      <c r="D11" s="19">
        <v>2</v>
      </c>
      <c r="F11" s="25">
        <v>41904</v>
      </c>
      <c r="G11" s="25">
        <v>41904</v>
      </c>
      <c r="I11" s="73" t="s">
        <v>57</v>
      </c>
      <c r="O11" s="25">
        <v>41957</v>
      </c>
      <c r="P11" s="25">
        <v>41964</v>
      </c>
      <c r="T11" s="95" t="s">
        <v>88</v>
      </c>
      <c r="U11" s="12">
        <v>42306</v>
      </c>
    </row>
    <row r="12" spans="2:48" ht="25.5">
      <c r="B12" s="43">
        <v>357</v>
      </c>
      <c r="C12" s="95" t="s">
        <v>89</v>
      </c>
      <c r="D12" s="19">
        <v>3</v>
      </c>
      <c r="E12" s="25">
        <v>41904</v>
      </c>
      <c r="F12" s="25">
        <v>41908</v>
      </c>
      <c r="G12" s="25">
        <v>41908</v>
      </c>
      <c r="H12" s="25">
        <v>41911</v>
      </c>
      <c r="I12" s="73" t="s">
        <v>99</v>
      </c>
      <c r="J12" s="25">
        <v>41916</v>
      </c>
      <c r="K12" s="25">
        <v>41925</v>
      </c>
      <c r="L12" s="25">
        <v>41975</v>
      </c>
      <c r="M12" s="25">
        <v>41960</v>
      </c>
      <c r="N12" s="25">
        <v>42024</v>
      </c>
      <c r="O12" s="25">
        <v>42023</v>
      </c>
      <c r="P12" s="25">
        <v>42037</v>
      </c>
      <c r="Q12" s="25">
        <v>42269</v>
      </c>
      <c r="T12" s="95" t="s">
        <v>88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B1:AV19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$U$19</f>
        <v>42306</v>
      </c>
      <c r="G4" s="50"/>
      <c r="H4" s="50"/>
      <c r="I4" s="34"/>
      <c r="J4" s="50"/>
      <c r="K4" s="50"/>
      <c r="L4" s="65" t="s">
        <v>17</v>
      </c>
      <c r="M4" s="63">
        <f>$B$19</f>
        <v>209</v>
      </c>
      <c r="N4" s="116" t="str">
        <f>$C$19</f>
        <v>JEROME Pierre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209</v>
      </c>
      <c r="C10" s="42" t="s">
        <v>74</v>
      </c>
      <c r="D10" s="19">
        <v>1</v>
      </c>
      <c r="E10" s="25">
        <v>41747</v>
      </c>
      <c r="F10" s="25">
        <v>41836</v>
      </c>
      <c r="G10" s="25">
        <v>41836</v>
      </c>
      <c r="H10" s="25">
        <v>41836</v>
      </c>
      <c r="I10" s="44" t="s">
        <v>96</v>
      </c>
      <c r="J10" s="25">
        <v>41759</v>
      </c>
      <c r="K10" s="25">
        <v>41836</v>
      </c>
      <c r="L10" s="25">
        <v>41818</v>
      </c>
      <c r="M10" s="25">
        <v>41836</v>
      </c>
      <c r="N10" s="25">
        <v>41867</v>
      </c>
      <c r="O10" s="25">
        <v>41808</v>
      </c>
      <c r="P10" s="25">
        <v>41836</v>
      </c>
      <c r="Q10" s="25">
        <v>42112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209</v>
      </c>
      <c r="C11" s="69" t="s">
        <v>74</v>
      </c>
      <c r="D11" s="19">
        <v>2</v>
      </c>
      <c r="E11" s="25">
        <v>41743</v>
      </c>
      <c r="F11" s="25">
        <v>41836</v>
      </c>
      <c r="G11" s="25">
        <v>41836</v>
      </c>
      <c r="H11" s="25">
        <v>41837</v>
      </c>
      <c r="I11" s="70" t="s">
        <v>96</v>
      </c>
      <c r="J11" s="25">
        <v>41755</v>
      </c>
      <c r="K11" s="25">
        <v>41836</v>
      </c>
      <c r="L11" s="25">
        <v>41814</v>
      </c>
      <c r="M11" s="25">
        <v>41836</v>
      </c>
      <c r="N11" s="25">
        <v>41863</v>
      </c>
      <c r="O11" s="25">
        <v>41813</v>
      </c>
      <c r="P11" s="25">
        <v>41836</v>
      </c>
      <c r="Q11" s="25">
        <v>42108</v>
      </c>
      <c r="T11" s="69" t="s">
        <v>73</v>
      </c>
      <c r="U11" s="12">
        <v>42306</v>
      </c>
    </row>
    <row r="12" spans="2:48" ht="25.5">
      <c r="B12" s="68">
        <v>209</v>
      </c>
      <c r="C12" s="69" t="s">
        <v>74</v>
      </c>
      <c r="D12" s="19">
        <v>3</v>
      </c>
      <c r="E12" s="25">
        <v>41744</v>
      </c>
      <c r="F12" s="25">
        <v>41836</v>
      </c>
      <c r="H12" s="25">
        <v>41836</v>
      </c>
      <c r="I12" s="73" t="s">
        <v>96</v>
      </c>
      <c r="J12" s="25">
        <v>41756</v>
      </c>
      <c r="K12" s="25">
        <v>41836</v>
      </c>
      <c r="L12" s="25">
        <v>41815</v>
      </c>
      <c r="M12" s="25">
        <v>41836</v>
      </c>
      <c r="N12" s="25">
        <v>41864</v>
      </c>
      <c r="O12" s="25">
        <v>41808</v>
      </c>
      <c r="P12" s="25">
        <v>41836</v>
      </c>
      <c r="Q12" s="25">
        <v>42109</v>
      </c>
      <c r="T12" s="69" t="s">
        <v>73</v>
      </c>
      <c r="U12" s="12">
        <v>42306</v>
      </c>
    </row>
    <row r="13" spans="2:48" ht="25.5">
      <c r="B13" s="43">
        <v>209</v>
      </c>
      <c r="C13" s="95" t="s">
        <v>74</v>
      </c>
      <c r="D13" s="19">
        <v>4</v>
      </c>
      <c r="E13" s="25">
        <v>41892</v>
      </c>
      <c r="F13" s="25">
        <v>41936</v>
      </c>
      <c r="I13" s="73" t="s">
        <v>57</v>
      </c>
      <c r="J13" s="25">
        <v>41904</v>
      </c>
      <c r="K13" s="25">
        <v>41939</v>
      </c>
      <c r="L13" s="25">
        <v>41963</v>
      </c>
      <c r="M13" s="25">
        <v>41950</v>
      </c>
      <c r="N13" s="25">
        <v>42012</v>
      </c>
      <c r="O13" s="25">
        <v>41933</v>
      </c>
      <c r="P13" s="25">
        <v>41936</v>
      </c>
      <c r="Q13" s="25">
        <v>42257</v>
      </c>
      <c r="T13" s="95" t="s">
        <v>73</v>
      </c>
      <c r="U13" s="12">
        <v>42306</v>
      </c>
    </row>
    <row r="14" spans="2:48" ht="25.5">
      <c r="B14" s="43">
        <v>209</v>
      </c>
      <c r="C14" s="95" t="s">
        <v>74</v>
      </c>
      <c r="D14" s="19">
        <v>5</v>
      </c>
      <c r="E14" s="25">
        <v>41892</v>
      </c>
      <c r="F14" s="25">
        <v>41935</v>
      </c>
      <c r="H14" s="25">
        <v>41935</v>
      </c>
      <c r="I14" s="73" t="s">
        <v>96</v>
      </c>
      <c r="J14" s="25">
        <v>41904</v>
      </c>
      <c r="K14" s="25">
        <v>41935</v>
      </c>
      <c r="L14" s="25">
        <v>41963</v>
      </c>
      <c r="M14" s="25">
        <v>41949</v>
      </c>
      <c r="N14" s="25">
        <v>42012</v>
      </c>
      <c r="O14" s="25">
        <v>41932</v>
      </c>
      <c r="P14" s="25">
        <v>41935</v>
      </c>
      <c r="Q14" s="25">
        <v>42257</v>
      </c>
      <c r="T14" s="95" t="s">
        <v>73</v>
      </c>
      <c r="U14" s="12">
        <v>42306</v>
      </c>
    </row>
    <row r="15" spans="2:48" ht="25.5">
      <c r="B15" s="96">
        <v>209</v>
      </c>
      <c r="C15" s="97" t="s">
        <v>74</v>
      </c>
      <c r="D15" s="19">
        <v>6</v>
      </c>
      <c r="E15" s="25">
        <v>41965</v>
      </c>
      <c r="F15" s="25">
        <v>42013</v>
      </c>
      <c r="G15" s="25">
        <v>42013</v>
      </c>
      <c r="H15" s="25">
        <v>42013</v>
      </c>
      <c r="I15" s="73" t="s">
        <v>96</v>
      </c>
      <c r="J15" s="25">
        <v>41977</v>
      </c>
      <c r="K15" s="25">
        <v>42013</v>
      </c>
      <c r="L15" s="25">
        <v>42036</v>
      </c>
      <c r="M15" s="25">
        <v>42013</v>
      </c>
      <c r="N15" s="25">
        <v>42085</v>
      </c>
      <c r="O15" s="25">
        <v>42009</v>
      </c>
      <c r="P15" s="25">
        <v>42013</v>
      </c>
      <c r="Q15" s="25">
        <v>42330</v>
      </c>
      <c r="T15" s="97" t="s">
        <v>73</v>
      </c>
      <c r="U15" s="12">
        <v>42306</v>
      </c>
    </row>
    <row r="16" spans="2:48" ht="25.5">
      <c r="B16" s="96">
        <v>209</v>
      </c>
      <c r="C16" s="97" t="s">
        <v>74</v>
      </c>
      <c r="D16" s="19">
        <v>7</v>
      </c>
      <c r="E16" s="25">
        <v>41965</v>
      </c>
      <c r="F16" s="25">
        <v>42013</v>
      </c>
      <c r="G16" s="25">
        <v>42013</v>
      </c>
      <c r="H16" s="25">
        <v>42013</v>
      </c>
      <c r="I16" s="73" t="s">
        <v>96</v>
      </c>
      <c r="J16" s="25">
        <v>41977</v>
      </c>
      <c r="K16" s="25">
        <v>42013</v>
      </c>
      <c r="L16" s="25">
        <v>42036</v>
      </c>
      <c r="M16" s="25">
        <v>42013</v>
      </c>
      <c r="N16" s="25">
        <v>42085</v>
      </c>
      <c r="O16" s="25">
        <v>42010</v>
      </c>
      <c r="P16" s="25">
        <v>42013</v>
      </c>
      <c r="Q16" s="25">
        <v>42330</v>
      </c>
      <c r="T16" s="97" t="s">
        <v>73</v>
      </c>
      <c r="U16" s="12">
        <v>42306</v>
      </c>
    </row>
    <row r="17" spans="2:21" ht="25.5">
      <c r="B17" s="96">
        <v>209</v>
      </c>
      <c r="C17" s="97" t="s">
        <v>74</v>
      </c>
      <c r="D17" s="19">
        <v>8</v>
      </c>
      <c r="E17" s="25">
        <v>41968</v>
      </c>
      <c r="F17" s="25">
        <v>42013</v>
      </c>
      <c r="G17" s="25">
        <v>42013</v>
      </c>
      <c r="H17" s="25">
        <v>42013</v>
      </c>
      <c r="I17" s="73" t="s">
        <v>96</v>
      </c>
      <c r="J17" s="25">
        <v>41980</v>
      </c>
      <c r="K17" s="25">
        <v>42013</v>
      </c>
      <c r="L17" s="25">
        <v>42039</v>
      </c>
      <c r="M17" s="25">
        <v>42013</v>
      </c>
      <c r="N17" s="25">
        <v>42088</v>
      </c>
      <c r="O17" s="25">
        <v>42010</v>
      </c>
      <c r="P17" s="25">
        <v>42013</v>
      </c>
      <c r="Q17" s="25">
        <v>42333</v>
      </c>
      <c r="T17" s="97" t="s">
        <v>73</v>
      </c>
      <c r="U17" s="12">
        <v>42306</v>
      </c>
    </row>
    <row r="18" spans="2:21" ht="25.5">
      <c r="B18" s="96">
        <v>209</v>
      </c>
      <c r="C18" s="97" t="s">
        <v>74</v>
      </c>
      <c r="D18" s="19">
        <v>9</v>
      </c>
      <c r="E18" s="25">
        <v>41975</v>
      </c>
      <c r="F18" s="25">
        <v>42013</v>
      </c>
      <c r="G18" s="25">
        <v>42013</v>
      </c>
      <c r="H18" s="25">
        <v>42013</v>
      </c>
      <c r="I18" s="73" t="s">
        <v>96</v>
      </c>
      <c r="J18" s="25">
        <v>41987</v>
      </c>
      <c r="K18" s="25">
        <v>42013</v>
      </c>
      <c r="L18" s="25">
        <v>42046</v>
      </c>
      <c r="M18" s="25">
        <v>42013</v>
      </c>
      <c r="N18" s="25">
        <v>42095</v>
      </c>
      <c r="O18" s="25">
        <v>42011</v>
      </c>
      <c r="P18" s="25">
        <v>42013</v>
      </c>
      <c r="Q18" s="25">
        <v>42340</v>
      </c>
      <c r="T18" s="97" t="s">
        <v>73</v>
      </c>
      <c r="U18" s="12">
        <v>42306</v>
      </c>
    </row>
    <row r="19" spans="2:21" ht="25.5">
      <c r="B19" s="96">
        <v>209</v>
      </c>
      <c r="C19" s="97" t="s">
        <v>74</v>
      </c>
      <c r="D19" s="19">
        <v>10</v>
      </c>
      <c r="E19" s="25">
        <v>41977</v>
      </c>
      <c r="F19" s="25">
        <v>42013</v>
      </c>
      <c r="G19" s="25">
        <v>42013</v>
      </c>
      <c r="H19" s="25">
        <v>42013</v>
      </c>
      <c r="I19" s="73" t="s">
        <v>96</v>
      </c>
      <c r="J19" s="25">
        <v>41989</v>
      </c>
      <c r="K19" s="25">
        <v>42013</v>
      </c>
      <c r="L19" s="25">
        <v>42048</v>
      </c>
      <c r="M19" s="25">
        <v>42013</v>
      </c>
      <c r="N19" s="25">
        <v>42097</v>
      </c>
      <c r="O19" s="25">
        <v>41981</v>
      </c>
      <c r="P19" s="25">
        <v>42013</v>
      </c>
      <c r="Q19" s="25">
        <v>42342</v>
      </c>
      <c r="T19" s="97" t="s">
        <v>73</v>
      </c>
      <c r="U19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365</v>
      </c>
      <c r="N4" s="116" t="str">
        <f>$C$12</f>
        <v>LUCAS-MOULLEC Anne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365</v>
      </c>
      <c r="C10" s="42" t="s">
        <v>76</v>
      </c>
      <c r="D10" s="19">
        <v>1</v>
      </c>
      <c r="E10" s="25">
        <v>41925</v>
      </c>
      <c r="F10" s="25">
        <v>41989</v>
      </c>
      <c r="G10" s="25">
        <v>41928</v>
      </c>
      <c r="H10" s="25">
        <v>41928</v>
      </c>
      <c r="I10" s="73" t="s">
        <v>103</v>
      </c>
      <c r="J10" s="25">
        <v>41937</v>
      </c>
      <c r="K10" s="25">
        <v>41963</v>
      </c>
      <c r="L10" s="25">
        <v>41996</v>
      </c>
      <c r="M10" s="25">
        <v>42013</v>
      </c>
      <c r="N10" s="25">
        <v>42045</v>
      </c>
      <c r="O10" s="25">
        <v>41983</v>
      </c>
      <c r="P10" s="25">
        <v>41989</v>
      </c>
      <c r="Q10" s="25">
        <v>42290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365</v>
      </c>
      <c r="C11" s="95" t="s">
        <v>76</v>
      </c>
      <c r="D11" s="19">
        <v>2</v>
      </c>
      <c r="H11" s="25">
        <v>42023</v>
      </c>
      <c r="I11" s="73" t="s">
        <v>116</v>
      </c>
      <c r="M11" s="25">
        <v>42079</v>
      </c>
      <c r="T11" s="95" t="s">
        <v>75</v>
      </c>
      <c r="U11" s="12">
        <v>42306</v>
      </c>
    </row>
    <row r="12" spans="2:48" ht="25.5">
      <c r="B12" s="43">
        <v>365</v>
      </c>
      <c r="C12" s="95" t="s">
        <v>76</v>
      </c>
      <c r="D12" s="19">
        <v>3</v>
      </c>
      <c r="H12" s="25">
        <v>42034</v>
      </c>
      <c r="I12" s="73" t="s">
        <v>96</v>
      </c>
      <c r="T12" s="95" t="s">
        <v>75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212</v>
      </c>
      <c r="N4" s="116" t="str">
        <f>$C$12</f>
        <v>MEYER Jean-Yves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212</v>
      </c>
      <c r="C10" s="42" t="s">
        <v>78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9.5" customHeight="1">
      <c r="B11" s="68">
        <v>212</v>
      </c>
      <c r="C11" s="69" t="s">
        <v>78</v>
      </c>
      <c r="D11" s="19">
        <v>2</v>
      </c>
      <c r="I11" s="44" t="s">
        <v>57</v>
      </c>
      <c r="T11" s="69" t="s">
        <v>77</v>
      </c>
      <c r="U11" s="12">
        <v>42306</v>
      </c>
    </row>
    <row r="12" spans="2:48" ht="16.5" customHeight="1">
      <c r="B12" s="68">
        <v>212</v>
      </c>
      <c r="C12" s="69" t="s">
        <v>78</v>
      </c>
      <c r="D12" s="19">
        <v>3</v>
      </c>
      <c r="I12" s="44" t="s">
        <v>57</v>
      </c>
      <c r="T12" s="69" t="s">
        <v>77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dimension ref="B1:AV17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$U$17</f>
        <v>42306</v>
      </c>
      <c r="G4" s="50"/>
      <c r="H4" s="50"/>
      <c r="I4" s="34"/>
      <c r="J4" s="50"/>
      <c r="K4" s="50"/>
      <c r="L4" s="65" t="s">
        <v>17</v>
      </c>
      <c r="M4" s="63">
        <f>$B$17</f>
        <v>207</v>
      </c>
      <c r="N4" s="116" t="str">
        <f>$C$17</f>
        <v>MICHEL Jean-Loïc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207</v>
      </c>
      <c r="C10" s="42" t="s">
        <v>80</v>
      </c>
      <c r="D10" s="19">
        <v>1</v>
      </c>
      <c r="E10" s="25">
        <v>41764</v>
      </c>
      <c r="F10" s="25">
        <v>41771</v>
      </c>
      <c r="G10" s="25">
        <v>41771</v>
      </c>
      <c r="H10" s="25">
        <v>41771</v>
      </c>
      <c r="I10" s="70" t="s">
        <v>96</v>
      </c>
      <c r="J10" s="25">
        <v>41776</v>
      </c>
      <c r="K10" s="25">
        <v>41774</v>
      </c>
      <c r="L10" s="25">
        <v>41835</v>
      </c>
      <c r="M10" s="25">
        <v>41824</v>
      </c>
      <c r="N10" s="25">
        <v>41884</v>
      </c>
      <c r="O10" s="25">
        <v>41884</v>
      </c>
      <c r="P10" s="25">
        <v>41887</v>
      </c>
      <c r="Q10" s="25">
        <v>42129</v>
      </c>
      <c r="R10" s="25">
        <v>42122</v>
      </c>
      <c r="S10" s="25">
        <v>42150</v>
      </c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9.5" customHeight="1">
      <c r="B11" s="71">
        <v>207</v>
      </c>
      <c r="C11" s="72" t="s">
        <v>80</v>
      </c>
      <c r="D11" s="19">
        <v>2</v>
      </c>
      <c r="E11" s="25">
        <v>41764</v>
      </c>
      <c r="F11" s="25">
        <v>41771</v>
      </c>
      <c r="G11" s="25">
        <v>41771</v>
      </c>
      <c r="H11" s="25">
        <v>41771</v>
      </c>
      <c r="I11" s="70" t="s">
        <v>92</v>
      </c>
      <c r="J11" s="25">
        <v>41776</v>
      </c>
      <c r="L11" s="25">
        <v>41835</v>
      </c>
      <c r="N11" s="25">
        <v>41884</v>
      </c>
      <c r="O11" s="25">
        <v>41886</v>
      </c>
      <c r="P11" s="25">
        <v>41899</v>
      </c>
      <c r="Q11" s="25">
        <v>42129</v>
      </c>
      <c r="R11" s="25">
        <v>42109</v>
      </c>
      <c r="S11" s="25">
        <v>42150</v>
      </c>
      <c r="T11" s="72" t="s">
        <v>79</v>
      </c>
      <c r="U11" s="12">
        <v>42306</v>
      </c>
    </row>
    <row r="12" spans="2:48" ht="16.5" customHeight="1">
      <c r="B12" s="71">
        <v>207</v>
      </c>
      <c r="C12" s="72" t="s">
        <v>80</v>
      </c>
      <c r="D12" s="19">
        <v>3</v>
      </c>
      <c r="E12" s="25">
        <v>41765</v>
      </c>
      <c r="F12" s="25">
        <v>41771</v>
      </c>
      <c r="G12" s="25">
        <v>41771</v>
      </c>
      <c r="H12" s="25">
        <v>41771</v>
      </c>
      <c r="I12" s="70" t="s">
        <v>93</v>
      </c>
      <c r="J12" s="25">
        <v>41777</v>
      </c>
      <c r="K12" s="25">
        <v>41793</v>
      </c>
      <c r="L12" s="25">
        <v>41836</v>
      </c>
      <c r="M12" s="25">
        <v>41862</v>
      </c>
      <c r="N12" s="25">
        <v>41885</v>
      </c>
      <c r="O12" s="25">
        <v>41845</v>
      </c>
      <c r="P12" s="25">
        <v>41848</v>
      </c>
      <c r="Q12" s="25">
        <v>42130</v>
      </c>
      <c r="R12" s="25">
        <v>41946</v>
      </c>
      <c r="S12" s="25">
        <v>41955</v>
      </c>
      <c r="T12" s="72" t="s">
        <v>79</v>
      </c>
      <c r="U12" s="12">
        <v>42306</v>
      </c>
    </row>
    <row r="13" spans="2:48" ht="25.5">
      <c r="B13" s="71">
        <v>207</v>
      </c>
      <c r="C13" s="72" t="s">
        <v>80</v>
      </c>
      <c r="D13" s="19">
        <v>4</v>
      </c>
      <c r="E13" s="25">
        <v>41774</v>
      </c>
      <c r="F13" s="25">
        <v>41778</v>
      </c>
      <c r="G13" s="25">
        <v>41848</v>
      </c>
      <c r="H13" s="25">
        <v>41778</v>
      </c>
      <c r="I13" s="70" t="s">
        <v>95</v>
      </c>
      <c r="J13" s="25">
        <v>41786</v>
      </c>
      <c r="L13" s="25">
        <v>41845</v>
      </c>
      <c r="M13" s="25">
        <v>41858</v>
      </c>
      <c r="N13" s="25">
        <v>41894</v>
      </c>
      <c r="O13" s="25">
        <v>41883</v>
      </c>
      <c r="P13" s="25">
        <v>41886</v>
      </c>
      <c r="Q13" s="25">
        <v>42139</v>
      </c>
      <c r="R13" s="25">
        <v>42135</v>
      </c>
      <c r="S13" s="25">
        <v>42150</v>
      </c>
      <c r="T13" s="72" t="s">
        <v>79</v>
      </c>
      <c r="U13" s="12">
        <v>42306</v>
      </c>
    </row>
    <row r="14" spans="2:48" ht="25.5">
      <c r="B14" s="71">
        <v>207</v>
      </c>
      <c r="C14" s="72" t="s">
        <v>80</v>
      </c>
      <c r="D14" s="19">
        <v>5</v>
      </c>
      <c r="E14" s="25">
        <v>41775</v>
      </c>
      <c r="F14" s="25">
        <v>41779</v>
      </c>
      <c r="G14" s="25">
        <v>41779</v>
      </c>
      <c r="H14" s="25">
        <v>41779</v>
      </c>
      <c r="I14" s="73" t="s">
        <v>96</v>
      </c>
      <c r="J14" s="25">
        <v>41787</v>
      </c>
      <c r="K14" s="25">
        <v>41809</v>
      </c>
      <c r="L14" s="25">
        <v>41846</v>
      </c>
      <c r="M14" s="25">
        <v>41859</v>
      </c>
      <c r="N14" s="25">
        <v>41895</v>
      </c>
      <c r="O14" s="25">
        <v>41897</v>
      </c>
      <c r="P14" s="25">
        <v>41899</v>
      </c>
      <c r="Q14" s="25">
        <v>42140</v>
      </c>
      <c r="R14" s="25">
        <v>41949</v>
      </c>
      <c r="S14" s="25">
        <v>41955</v>
      </c>
      <c r="T14" s="72" t="s">
        <v>79</v>
      </c>
      <c r="U14" s="12">
        <v>42306</v>
      </c>
    </row>
    <row r="15" spans="2:48" ht="25.5">
      <c r="B15" s="96">
        <v>207</v>
      </c>
      <c r="C15" s="97" t="s">
        <v>80</v>
      </c>
      <c r="D15" s="19">
        <v>6</v>
      </c>
      <c r="E15" s="25">
        <v>41958</v>
      </c>
      <c r="F15" s="25">
        <v>41961</v>
      </c>
      <c r="G15" s="25">
        <v>41961</v>
      </c>
      <c r="H15" s="25">
        <v>41961</v>
      </c>
      <c r="I15" s="73" t="s">
        <v>101</v>
      </c>
      <c r="J15" s="25">
        <v>41970</v>
      </c>
      <c r="K15" s="25">
        <v>42019</v>
      </c>
      <c r="L15" s="25">
        <v>42029</v>
      </c>
      <c r="M15" s="25">
        <v>42052</v>
      </c>
      <c r="N15" s="25">
        <v>42078</v>
      </c>
      <c r="O15" s="25">
        <v>42011</v>
      </c>
      <c r="P15" s="25">
        <v>42150</v>
      </c>
      <c r="Q15" s="25">
        <v>42323</v>
      </c>
      <c r="R15" s="25">
        <v>42102</v>
      </c>
      <c r="S15" s="25">
        <v>42150</v>
      </c>
      <c r="T15" s="97" t="s">
        <v>79</v>
      </c>
      <c r="U15" s="12">
        <v>42306</v>
      </c>
    </row>
    <row r="16" spans="2:48" ht="25.5">
      <c r="B16" s="96">
        <v>207</v>
      </c>
      <c r="C16" s="97" t="s">
        <v>80</v>
      </c>
      <c r="D16" s="19">
        <v>7</v>
      </c>
      <c r="E16" s="25">
        <v>41969</v>
      </c>
      <c r="F16" s="25">
        <v>41971</v>
      </c>
      <c r="G16" s="25">
        <v>41971</v>
      </c>
      <c r="H16" s="25">
        <v>41971</v>
      </c>
      <c r="I16" s="73" t="s">
        <v>117</v>
      </c>
      <c r="J16" s="25">
        <v>41981</v>
      </c>
      <c r="L16" s="25">
        <v>42040</v>
      </c>
      <c r="N16" s="25">
        <v>42089</v>
      </c>
      <c r="O16" s="25">
        <v>42010</v>
      </c>
      <c r="P16" s="25">
        <v>42150</v>
      </c>
      <c r="Q16" s="25">
        <v>42334</v>
      </c>
      <c r="R16" s="25">
        <v>42145</v>
      </c>
      <c r="S16" s="25">
        <v>42150</v>
      </c>
      <c r="T16" s="97" t="s">
        <v>79</v>
      </c>
      <c r="U16" s="12">
        <v>42306</v>
      </c>
    </row>
    <row r="17" spans="2:21" ht="25.5">
      <c r="B17" s="96">
        <v>207</v>
      </c>
      <c r="C17" s="97" t="s">
        <v>80</v>
      </c>
      <c r="D17" s="19">
        <v>8</v>
      </c>
      <c r="E17" s="25">
        <v>41970</v>
      </c>
      <c r="F17" s="25">
        <v>41974</v>
      </c>
      <c r="G17" s="25">
        <v>41974</v>
      </c>
      <c r="H17" s="25">
        <v>41974</v>
      </c>
      <c r="I17" s="73" t="s">
        <v>103</v>
      </c>
      <c r="J17" s="25">
        <v>41982</v>
      </c>
      <c r="K17" s="25">
        <v>42073</v>
      </c>
      <c r="L17" s="25">
        <v>42041</v>
      </c>
      <c r="M17" s="25">
        <v>42080</v>
      </c>
      <c r="N17" s="25">
        <v>42090</v>
      </c>
      <c r="O17" s="25">
        <v>42034</v>
      </c>
      <c r="P17" s="25">
        <v>42150</v>
      </c>
      <c r="Q17" s="25">
        <v>42335</v>
      </c>
      <c r="R17" s="25">
        <v>42124</v>
      </c>
      <c r="S17" s="25">
        <v>42150</v>
      </c>
      <c r="T17" s="97" t="s">
        <v>79</v>
      </c>
      <c r="U17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213</v>
      </c>
      <c r="N4" s="116" t="str">
        <f>$C$14</f>
        <v>MILLON-PAITEL Martine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213</v>
      </c>
      <c r="C10" s="42" t="s">
        <v>104</v>
      </c>
      <c r="D10" s="19">
        <v>1</v>
      </c>
      <c r="E10" s="25">
        <v>41754</v>
      </c>
      <c r="F10" s="25">
        <v>41758</v>
      </c>
      <c r="G10" s="25">
        <v>41758</v>
      </c>
      <c r="H10" s="25"/>
      <c r="I10" s="44" t="s">
        <v>57</v>
      </c>
      <c r="J10" s="25">
        <v>41766</v>
      </c>
      <c r="K10" s="25"/>
      <c r="L10" s="25">
        <v>41825</v>
      </c>
      <c r="M10" s="25"/>
      <c r="N10" s="25">
        <v>41874</v>
      </c>
      <c r="O10" s="25"/>
      <c r="P10" s="25"/>
      <c r="Q10" s="25">
        <v>42119</v>
      </c>
      <c r="R10" s="25"/>
      <c r="S10" s="25"/>
      <c r="T10" s="42" t="s">
        <v>81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9.5" customHeight="1">
      <c r="B11" s="68">
        <v>213</v>
      </c>
      <c r="C11" s="69" t="s">
        <v>104</v>
      </c>
      <c r="D11" s="19">
        <v>2</v>
      </c>
      <c r="E11" s="25">
        <v>41773</v>
      </c>
      <c r="F11" s="25">
        <v>41779</v>
      </c>
      <c r="G11" s="25">
        <v>41779</v>
      </c>
      <c r="H11" s="25">
        <v>41774</v>
      </c>
      <c r="I11" s="70" t="s">
        <v>98</v>
      </c>
      <c r="J11" s="25">
        <v>41785</v>
      </c>
      <c r="K11" s="25">
        <v>41792</v>
      </c>
      <c r="L11" s="25">
        <v>41844</v>
      </c>
      <c r="M11" s="25">
        <v>41842</v>
      </c>
      <c r="N11" s="25">
        <v>41893</v>
      </c>
      <c r="O11" s="25">
        <v>41827</v>
      </c>
      <c r="P11" s="25">
        <v>41870</v>
      </c>
      <c r="Q11" s="25">
        <v>42138</v>
      </c>
      <c r="T11" s="69" t="s">
        <v>81</v>
      </c>
      <c r="U11" s="12">
        <v>42306</v>
      </c>
    </row>
    <row r="12" spans="2:48" ht="16.5" customHeight="1">
      <c r="B12" s="68">
        <v>213</v>
      </c>
      <c r="C12" s="69" t="s">
        <v>104</v>
      </c>
      <c r="D12" s="19">
        <v>3</v>
      </c>
      <c r="E12" s="25">
        <v>41773</v>
      </c>
      <c r="F12" s="25">
        <v>41779</v>
      </c>
      <c r="G12" s="25">
        <v>41779</v>
      </c>
      <c r="I12" s="73" t="s">
        <v>57</v>
      </c>
      <c r="J12" s="25">
        <v>41785</v>
      </c>
      <c r="L12" s="25">
        <v>41844</v>
      </c>
      <c r="N12" s="25">
        <v>41893</v>
      </c>
      <c r="Q12" s="25">
        <v>42138</v>
      </c>
      <c r="T12" s="69" t="s">
        <v>81</v>
      </c>
      <c r="U12" s="12">
        <v>42306</v>
      </c>
    </row>
    <row r="13" spans="2:48" ht="25.5">
      <c r="B13" s="96">
        <v>213</v>
      </c>
      <c r="C13" s="97" t="s">
        <v>104</v>
      </c>
      <c r="D13" s="19">
        <v>4</v>
      </c>
      <c r="E13" s="25">
        <v>41831</v>
      </c>
      <c r="F13" s="25">
        <v>41914</v>
      </c>
      <c r="H13" s="25">
        <v>41914</v>
      </c>
      <c r="I13" s="73" t="s">
        <v>103</v>
      </c>
      <c r="J13" s="25">
        <v>41843</v>
      </c>
      <c r="L13" s="25">
        <v>41902</v>
      </c>
      <c r="N13" s="25">
        <v>41951</v>
      </c>
      <c r="O13" s="25">
        <v>41906</v>
      </c>
      <c r="P13" s="25">
        <v>41914</v>
      </c>
      <c r="Q13" s="25">
        <v>42196</v>
      </c>
      <c r="T13" s="97" t="s">
        <v>81</v>
      </c>
      <c r="U13" s="12">
        <v>42306</v>
      </c>
    </row>
    <row r="14" spans="2:48" ht="25.5">
      <c r="B14" s="96">
        <v>213</v>
      </c>
      <c r="C14" s="97" t="s">
        <v>104</v>
      </c>
      <c r="D14" s="19">
        <v>5</v>
      </c>
      <c r="I14" s="73" t="s">
        <v>57</v>
      </c>
      <c r="T14" s="97" t="s">
        <v>81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K22" sqref="K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7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$U$12</f>
        <v>42306</v>
      </c>
      <c r="G4" s="50"/>
      <c r="H4" s="50"/>
      <c r="I4" s="34"/>
      <c r="J4" s="50"/>
      <c r="K4" s="50"/>
      <c r="L4" s="75" t="s">
        <v>17</v>
      </c>
      <c r="M4" s="63">
        <f>$B$12</f>
        <v>336</v>
      </c>
      <c r="N4" s="116" t="str">
        <f>$C$12</f>
        <v>NALET Christiane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7" t="s">
        <v>32</v>
      </c>
      <c r="M8" s="77" t="s">
        <v>31</v>
      </c>
      <c r="N8" s="76" t="s">
        <v>33</v>
      </c>
      <c r="O8" s="76" t="s">
        <v>34</v>
      </c>
      <c r="P8" s="7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336</v>
      </c>
      <c r="C10" s="42" t="s">
        <v>87</v>
      </c>
      <c r="D10" s="19">
        <v>1</v>
      </c>
      <c r="E10" s="25"/>
      <c r="F10" s="25"/>
      <c r="G10" s="25"/>
      <c r="H10" s="25"/>
      <c r="I10" s="7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9.5" customHeight="1">
      <c r="B11" s="83">
        <v>336</v>
      </c>
      <c r="C11" s="84" t="s">
        <v>87</v>
      </c>
      <c r="D11" s="19">
        <v>2</v>
      </c>
      <c r="I11" s="73" t="s">
        <v>57</v>
      </c>
      <c r="T11" s="84" t="s">
        <v>86</v>
      </c>
      <c r="U11" s="12">
        <v>42306</v>
      </c>
    </row>
    <row r="12" spans="2:48" ht="16.5" customHeight="1">
      <c r="B12" s="83">
        <v>336</v>
      </c>
      <c r="C12" s="84" t="s">
        <v>87</v>
      </c>
      <c r="D12" s="19">
        <v>3</v>
      </c>
      <c r="I12" s="73" t="s">
        <v>57</v>
      </c>
      <c r="T12" s="84" t="s">
        <v>86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dimension ref="B1:AV13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$U$13</f>
        <v>42306</v>
      </c>
      <c r="G4" s="50"/>
      <c r="H4" s="50"/>
      <c r="I4" s="34"/>
      <c r="J4" s="50"/>
      <c r="K4" s="50"/>
      <c r="L4" s="65" t="s">
        <v>17</v>
      </c>
      <c r="M4" s="63">
        <f>$B$13</f>
        <v>205</v>
      </c>
      <c r="N4" s="116" t="str">
        <f>$C$13</f>
        <v>TRANCHAND Philippe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205</v>
      </c>
      <c r="C10" s="42" t="s">
        <v>83</v>
      </c>
      <c r="D10" s="19">
        <v>1</v>
      </c>
      <c r="E10" s="25">
        <v>41761</v>
      </c>
      <c r="F10" s="25">
        <v>41795</v>
      </c>
      <c r="G10" s="25">
        <v>41795</v>
      </c>
      <c r="H10" s="25"/>
      <c r="I10" s="70" t="s">
        <v>57</v>
      </c>
      <c r="J10" s="25">
        <v>41773</v>
      </c>
      <c r="K10" s="25">
        <v>41794</v>
      </c>
      <c r="L10" s="25">
        <v>41832</v>
      </c>
      <c r="M10" s="25">
        <v>41858</v>
      </c>
      <c r="N10" s="25">
        <v>41881</v>
      </c>
      <c r="O10" s="25">
        <v>41789</v>
      </c>
      <c r="P10" s="25">
        <v>41795</v>
      </c>
      <c r="Q10" s="25">
        <v>42126</v>
      </c>
      <c r="R10" s="25">
        <v>41947</v>
      </c>
      <c r="S10" s="25">
        <v>41949</v>
      </c>
      <c r="T10" s="42" t="s">
        <v>82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9.5" customHeight="1">
      <c r="B11" s="71">
        <v>205</v>
      </c>
      <c r="C11" s="72" t="s">
        <v>83</v>
      </c>
      <c r="D11" s="19">
        <v>2</v>
      </c>
      <c r="E11" s="25">
        <v>41806</v>
      </c>
      <c r="F11" s="25">
        <v>41810</v>
      </c>
      <c r="G11" s="25">
        <v>41810</v>
      </c>
      <c r="H11" s="25">
        <v>41809</v>
      </c>
      <c r="I11" s="70" t="s">
        <v>96</v>
      </c>
      <c r="J11" s="25">
        <v>41818</v>
      </c>
      <c r="K11" s="25">
        <v>41850</v>
      </c>
      <c r="L11" s="25">
        <v>41877</v>
      </c>
      <c r="M11" s="25">
        <v>41904</v>
      </c>
      <c r="N11" s="25">
        <v>41926</v>
      </c>
      <c r="O11" s="25">
        <v>41893</v>
      </c>
      <c r="P11" s="25">
        <v>41897</v>
      </c>
      <c r="Q11" s="25">
        <v>42171</v>
      </c>
      <c r="T11" s="72" t="s">
        <v>82</v>
      </c>
      <c r="U11" s="12">
        <v>42306</v>
      </c>
    </row>
    <row r="12" spans="2:48" ht="16.5" customHeight="1">
      <c r="B12" s="71">
        <v>205</v>
      </c>
      <c r="C12" s="72" t="s">
        <v>83</v>
      </c>
      <c r="D12" s="19">
        <v>3</v>
      </c>
      <c r="E12" s="25">
        <v>41831</v>
      </c>
      <c r="F12" s="25">
        <v>41837</v>
      </c>
      <c r="G12" s="25">
        <v>41837</v>
      </c>
      <c r="I12" s="73" t="s">
        <v>57</v>
      </c>
      <c r="J12" s="25">
        <v>41843</v>
      </c>
      <c r="L12" s="25">
        <v>41902</v>
      </c>
      <c r="N12" s="25">
        <v>41951</v>
      </c>
      <c r="O12" s="25">
        <v>41884</v>
      </c>
      <c r="P12" s="25">
        <v>41886</v>
      </c>
      <c r="Q12" s="25">
        <v>42196</v>
      </c>
      <c r="R12" s="25">
        <v>41992</v>
      </c>
      <c r="S12" s="25">
        <v>42110</v>
      </c>
      <c r="T12" s="72" t="s">
        <v>82</v>
      </c>
      <c r="U12" s="12">
        <v>42306</v>
      </c>
    </row>
    <row r="13" spans="2:48" ht="25.5">
      <c r="B13" s="96">
        <v>205</v>
      </c>
      <c r="C13" s="97" t="s">
        <v>83</v>
      </c>
      <c r="D13" s="19">
        <v>4</v>
      </c>
      <c r="E13" s="25">
        <v>41962</v>
      </c>
      <c r="F13" s="25">
        <v>41964</v>
      </c>
      <c r="G13" s="25">
        <v>41964</v>
      </c>
      <c r="I13" s="73" t="s">
        <v>57</v>
      </c>
      <c r="J13" s="25">
        <v>41974</v>
      </c>
      <c r="K13" s="25">
        <v>41984</v>
      </c>
      <c r="L13" s="25">
        <v>42033</v>
      </c>
      <c r="M13" s="25">
        <v>42053</v>
      </c>
      <c r="N13" s="25">
        <v>42082</v>
      </c>
      <c r="O13" s="25">
        <v>42039</v>
      </c>
      <c r="P13" s="25">
        <v>42041</v>
      </c>
      <c r="Q13" s="25">
        <v>42327</v>
      </c>
      <c r="T13" s="97" t="s">
        <v>82</v>
      </c>
      <c r="U13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3" t="s">
        <v>16</v>
      </c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5"/>
      <c r="M3" s="115"/>
      <c r="N3" s="11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8" t="s">
        <v>58</v>
      </c>
      <c r="E4" s="12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267</v>
      </c>
      <c r="N4" s="116" t="str">
        <f>$C$14</f>
        <v>VONDERWEIDT Patrick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267</v>
      </c>
      <c r="C10" s="42" t="s">
        <v>85</v>
      </c>
      <c r="D10" s="19">
        <v>1</v>
      </c>
      <c r="E10" s="25">
        <v>41786</v>
      </c>
      <c r="F10" s="25">
        <v>41792</v>
      </c>
      <c r="G10" s="25">
        <v>41950</v>
      </c>
      <c r="H10" s="25">
        <v>41800</v>
      </c>
      <c r="I10" s="44" t="s">
        <v>97</v>
      </c>
      <c r="J10" s="25">
        <v>41798</v>
      </c>
      <c r="K10" s="25">
        <v>41950</v>
      </c>
      <c r="L10" s="25">
        <v>41857</v>
      </c>
      <c r="M10" s="25">
        <v>41950</v>
      </c>
      <c r="N10" s="25">
        <v>41906</v>
      </c>
      <c r="O10" s="25">
        <v>41793</v>
      </c>
      <c r="P10" s="25">
        <v>41796</v>
      </c>
      <c r="Q10" s="25">
        <v>42151</v>
      </c>
      <c r="R10" s="25">
        <v>41992</v>
      </c>
      <c r="S10" s="25">
        <v>41995</v>
      </c>
      <c r="T10" s="42" t="s">
        <v>84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9.5" customHeight="1">
      <c r="B11" s="68">
        <v>267</v>
      </c>
      <c r="C11" s="69" t="s">
        <v>85</v>
      </c>
      <c r="D11" s="19">
        <v>2</v>
      </c>
      <c r="E11" s="25">
        <v>41801</v>
      </c>
      <c r="F11" s="25">
        <v>41808</v>
      </c>
      <c r="G11" s="25">
        <v>41810</v>
      </c>
      <c r="H11" s="25">
        <v>41803</v>
      </c>
      <c r="I11" s="70" t="s">
        <v>99</v>
      </c>
      <c r="J11" s="25">
        <v>41813</v>
      </c>
      <c r="K11" s="25">
        <v>41810</v>
      </c>
      <c r="L11" s="25">
        <v>41872</v>
      </c>
      <c r="M11" s="25">
        <v>41851</v>
      </c>
      <c r="N11" s="25">
        <v>41921</v>
      </c>
      <c r="O11" s="25">
        <v>41808</v>
      </c>
      <c r="P11" s="25">
        <v>41813</v>
      </c>
      <c r="Q11" s="25">
        <v>42166</v>
      </c>
      <c r="S11" s="25">
        <v>42048</v>
      </c>
      <c r="T11" s="69" t="s">
        <v>84</v>
      </c>
      <c r="U11" s="12">
        <v>42306</v>
      </c>
    </row>
    <row r="12" spans="2:48" ht="16.5" customHeight="1">
      <c r="B12" s="68">
        <v>267</v>
      </c>
      <c r="C12" s="69" t="s">
        <v>85</v>
      </c>
      <c r="D12" s="19">
        <v>3</v>
      </c>
      <c r="E12" s="25">
        <v>41801</v>
      </c>
      <c r="F12" s="25">
        <v>41808</v>
      </c>
      <c r="G12" s="25">
        <v>41813</v>
      </c>
      <c r="H12" s="25">
        <v>41813</v>
      </c>
      <c r="I12" s="73" t="s">
        <v>95</v>
      </c>
      <c r="J12" s="25">
        <v>41813</v>
      </c>
      <c r="K12" s="25">
        <v>41813</v>
      </c>
      <c r="L12" s="25">
        <v>41872</v>
      </c>
      <c r="M12" s="25">
        <v>41845</v>
      </c>
      <c r="N12" s="25">
        <v>41921</v>
      </c>
      <c r="O12" s="25">
        <v>41808</v>
      </c>
      <c r="P12" s="25">
        <v>41813</v>
      </c>
      <c r="Q12" s="25">
        <v>42166</v>
      </c>
      <c r="R12" s="25">
        <v>42017</v>
      </c>
      <c r="S12" s="25">
        <v>42048</v>
      </c>
      <c r="T12" s="69" t="s">
        <v>84</v>
      </c>
      <c r="U12" s="12">
        <v>42306</v>
      </c>
    </row>
    <row r="13" spans="2:48" ht="25.5">
      <c r="B13" s="83">
        <v>267</v>
      </c>
      <c r="C13" s="84" t="s">
        <v>85</v>
      </c>
      <c r="D13" s="19">
        <v>4</v>
      </c>
      <c r="E13" s="25">
        <v>41813</v>
      </c>
      <c r="F13" s="25">
        <v>41814</v>
      </c>
      <c r="G13" s="25">
        <v>41906</v>
      </c>
      <c r="H13" s="25">
        <v>41824</v>
      </c>
      <c r="I13" s="73" t="s">
        <v>100</v>
      </c>
      <c r="J13" s="25">
        <v>41825</v>
      </c>
      <c r="K13" s="25">
        <v>41824</v>
      </c>
      <c r="L13" s="25">
        <v>41884</v>
      </c>
      <c r="M13" s="25">
        <v>41887</v>
      </c>
      <c r="N13" s="25">
        <v>41933</v>
      </c>
      <c r="O13" s="25">
        <v>41836</v>
      </c>
      <c r="P13" s="25">
        <v>41906</v>
      </c>
      <c r="Q13" s="25">
        <v>42178</v>
      </c>
      <c r="R13" s="25">
        <v>41897</v>
      </c>
      <c r="S13" s="25">
        <v>41906</v>
      </c>
      <c r="T13" s="84" t="s">
        <v>84</v>
      </c>
      <c r="U13" s="12">
        <v>42306</v>
      </c>
    </row>
    <row r="14" spans="2:48" ht="25.5">
      <c r="B14" s="83">
        <v>267</v>
      </c>
      <c r="C14" s="84" t="s">
        <v>85</v>
      </c>
      <c r="D14" s="19">
        <v>5</v>
      </c>
      <c r="E14" s="25">
        <v>41814</v>
      </c>
      <c r="F14" s="25">
        <v>41815</v>
      </c>
      <c r="G14" s="25">
        <v>41815</v>
      </c>
      <c r="H14" s="25">
        <v>41815</v>
      </c>
      <c r="I14" s="73" t="s">
        <v>96</v>
      </c>
      <c r="J14" s="25">
        <v>41826</v>
      </c>
      <c r="K14" s="25">
        <v>41827</v>
      </c>
      <c r="L14" s="25">
        <v>41885</v>
      </c>
      <c r="N14" s="25">
        <v>41934</v>
      </c>
      <c r="O14" s="25">
        <v>41822</v>
      </c>
      <c r="P14" s="25">
        <v>41906</v>
      </c>
      <c r="Q14" s="25">
        <v>42179</v>
      </c>
      <c r="R14" s="25">
        <v>41905</v>
      </c>
      <c r="S14" s="25">
        <v>42048</v>
      </c>
      <c r="T14" s="84" t="s">
        <v>84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Secteur DE0401</vt:lpstr>
      <vt:lpstr>00490630</vt:lpstr>
      <vt:lpstr>02152796</vt:lpstr>
      <vt:lpstr>03038402</vt:lpstr>
      <vt:lpstr>03171280</vt:lpstr>
      <vt:lpstr>03426080</vt:lpstr>
      <vt:lpstr>03426601</vt:lpstr>
      <vt:lpstr>03618805</vt:lpstr>
      <vt:lpstr>04712850</vt:lpstr>
      <vt:lpstr>04844808</vt:lpstr>
      <vt:lpstr>06702430</vt:lpstr>
      <vt:lpstr>06434820</vt:lpstr>
      <vt:lpstr>06543707</vt:lpstr>
      <vt:lpstr>06508092</vt:lpstr>
      <vt:lpstr>06776545</vt:lpstr>
      <vt:lpstr>08923398</vt:lpstr>
      <vt:lpstr>09296870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2015-10-29T22:02:53Z</dcterms:modified>
</cp:coreProperties>
</file>