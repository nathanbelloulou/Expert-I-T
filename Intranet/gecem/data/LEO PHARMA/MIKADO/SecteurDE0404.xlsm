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404" sheetId="1" r:id="rId1"/>
    <sheet name="00213531" sheetId="2" r:id="rId2"/>
    <sheet name="04014993" sheetId="3" r:id="rId3"/>
    <sheet name="02565942" sheetId="4" r:id="rId4"/>
    <sheet name="03479122" sheetId="5" r:id="rId5"/>
    <sheet name="03787060" sheetId="8" r:id="rId6"/>
    <sheet name="07990588" sheetId="6" r:id="rId7"/>
    <sheet name="06391175" sheetId="7" r:id="rId8"/>
  </sheets>
  <definedNames>
    <definedName name="Lancer_la_requête_à_partir_de_MS_Access_Database" localSheetId="1" hidden="1">'00213531'!$B$9:$U$12</definedName>
    <definedName name="Lancer_la_requête_à_partir_de_MS_Access_Database" localSheetId="3" hidden="1">'02565942'!$B$9:$U$14</definedName>
    <definedName name="Lancer_la_requête_à_partir_de_MS_Access_Database" localSheetId="4" hidden="1">'03479122'!$B$9:$U$12</definedName>
    <definedName name="Lancer_la_requête_à_partir_de_MS_Access_Database" localSheetId="5" hidden="1">'03787060'!$B$9:$U$10</definedName>
    <definedName name="Lancer_la_requête_à_partir_de_MS_Access_Database" localSheetId="2" hidden="1">'04014993'!$B$9:$U$12</definedName>
    <definedName name="Lancer_la_requête_à_partir_de_MS_Access_Database" localSheetId="7" hidden="1">'06391175'!$B$9:$U$16</definedName>
    <definedName name="Lancer_la_requête_à_partir_de_MS_Access_Database" localSheetId="6" hidden="1">'07990588'!$B$9:$U$12</definedName>
    <definedName name="Lancer_la_requête_à_partir_de_MS_Access_Database_1" localSheetId="0" hidden="1">'Secteur DE0404'!$A$7:$K$14</definedName>
  </definedNames>
  <calcPr calcId="125725"/>
</workbook>
</file>

<file path=xl/calcChain.xml><?xml version="1.0" encoding="utf-8"?>
<calcChain xmlns="http://schemas.openxmlformats.org/spreadsheetml/2006/main">
  <c r="D15" i="1"/>
  <c r="E15"/>
  <c r="F15"/>
  <c r="G15"/>
  <c r="H15"/>
  <c r="I15"/>
  <c r="N4" i="8" l="1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G2" i="1"/>
  <c r="F2"/>
  <c r="D3"/>
  <c r="F4" i="2"/>
  <c r="N4"/>
  <c r="M4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404')_x000d__x000a_ORDER BY Req_REPORT_SECTEURS_GLOBAL.Medecin"/>
  </connection>
  <connection id="2" name="Lancer la requête à partir de MS Access Database002135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213531')"/>
  </connection>
  <connection id="3" name="Lancer la requête à partir de MS Access Database0256594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565942')"/>
  </connection>
  <connection id="4" name="Lancer la requête à partir de MS Access Database0347912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479122')"/>
  </connection>
  <connection id="5" name="Lancer la requête à partir de MS Access Database0378706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87060')"/>
  </connection>
  <connection id="6" name="Lancer la requête à partir de MS Access Database0401499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4014993')"/>
  </connection>
  <connection id="7" name="Lancer la requête à partir de MS Access Database0639117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391175')"/>
  </connection>
  <connection id="8" name="Lancer la requête à partir de MS Access Database0799058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990588')"/>
  </connection>
</connections>
</file>

<file path=xl/sharedStrings.xml><?xml version="1.0" encoding="utf-8"?>
<sst xmlns="http://schemas.openxmlformats.org/spreadsheetml/2006/main" count="445" uniqueCount="87">
  <si>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</si>
  <si>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</si>
  <si>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</si>
  <si>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</si>
  <si>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</si>
  <si>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</si>
  <si>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</si>
  <si>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</si>
  <si>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</si>
  <si>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</si>
  <si>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</si>
  <si>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</si>
  <si>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</si>
  <si>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</si>
  <si>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</si>
  <si>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</si>
  <si>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</si>
  <si>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</si>
  <si>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</si>
  <si>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</si>
  <si>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</si>
  <si>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</si>
  <si>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</si>
  <si>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</si>
  <si>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</si>
  <si>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</si>
  <si>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</si>
  <si>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</si>
  <si>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</si>
  <si>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</si>
  <si>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</si>
  <si>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</si>
  <si>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</si>
  <si>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</si>
  <si>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</si>
  <si>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</si>
  <si>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</si>
  <si>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</si>
  <si>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</si>
  <si>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</si>
  <si>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</si>
  <si>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</si>
  <si>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</si>
  <si>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</si>
  <si>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</si>
  <si>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</si>
  <si>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</si>
  <si>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</si>
  <si>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</si>
  <si>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</si>
  <si>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</si>
  <si>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</si>
  <si>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</si>
  <si>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</si>
  <si>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</si>
  <si>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</si>
  <si>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</si>
  <si>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</si>
  <si>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</si>
  <si>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DE0404</t>
  </si>
  <si>
    <t>FONTANEAU Françoise</t>
  </si>
  <si>
    <t>WFRM00213531</t>
  </si>
  <si>
    <t>ANDREANI Virginie</t>
  </si>
  <si>
    <t>WFRM04014993</t>
  </si>
  <si>
    <t>CHOUQUET Didier</t>
  </si>
  <si>
    <t>WFRM02565942</t>
  </si>
  <si>
    <t>DE MONTGOLFIER Anne-Isabelle</t>
  </si>
  <si>
    <t>WFRM03479122</t>
  </si>
  <si>
    <t>FERTIL Anne-Marie</t>
  </si>
  <si>
    <t>WFRM07990588</t>
  </si>
  <si>
    <t>ROMANO-ARNAL Marie-Hélène</t>
  </si>
  <si>
    <t>WFRM06391175</t>
  </si>
  <si>
    <t>WEILLER-MERLI Claude</t>
  </si>
  <si>
    <t>GANDOLFI PALENZUELA Carole</t>
  </si>
  <si>
    <t>WFRM03787060</t>
  </si>
  <si>
    <t>23juin: N' a pas inclus car vient de déménager . N' a pas oublier l'étude et va commencer maintenant</t>
  </si>
  <si>
    <t>Via médecin</t>
  </si>
  <si>
    <t>Téléphone</t>
  </si>
  <si>
    <t>SMS - Mail - Courrier - Téléphone - Via médecin</t>
  </si>
  <si>
    <t>Mail - Via médecin</t>
  </si>
  <si>
    <t>Mail</t>
  </si>
  <si>
    <t>Courrier</t>
  </si>
  <si>
    <t>24sept: Dr ne souhaite pas etre reappro.</t>
  </si>
  <si>
    <t>19sept: Dr souhaite etre reappro. 2 cahiers envoyés</t>
  </si>
  <si>
    <t>09oct: souhaite 2 cahiers supplémentaires</t>
  </si>
  <si>
    <t>SMS - Courrier</t>
  </si>
  <si>
    <t>SMS</t>
  </si>
</sst>
</file>

<file path=xl/styles.xml><?xml version="1.0" encoding="utf-8"?>
<styleSheet xmlns="http://schemas.openxmlformats.org/spreadsheetml/2006/main">
  <numFmts count="1">
    <numFmt numFmtId="164" formatCode="dd/mm/yy;@"/>
  </numFmts>
  <fonts count="24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164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14" fontId="7" fillId="3" borderId="0" xfId="1" applyNumberFormat="1" applyFont="1" applyFill="1" applyAlignment="1">
      <alignment horizont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162"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161"/>
      <tableStyleElement type="headerRow" dxfId="160"/>
      <tableStyleElement type="totalRow" dxfId="159"/>
      <tableStyleElement type="firstColumn" dxfId="158"/>
      <tableStyleElement type="lastColumn" dxfId="157"/>
      <tableStyleElement type="firstRowStripe" dxfId="156"/>
      <tableStyleElement type="secondRowStripe" dxfId="155"/>
      <tableStyleElement type="firstColumnStripe" dxfId="154"/>
      <tableStyleElement type="secondColumnStripe" dxfId="153"/>
    </tableStyle>
    <tableStyle name="TableStyleLight8 2" pivot="0" count="9">
      <tableStyleElement type="wholeTable" dxfId="152"/>
      <tableStyleElement type="headerRow" dxfId="151"/>
      <tableStyleElement type="totalRow" dxfId="150"/>
      <tableStyleElement type="firstColumn" dxfId="149"/>
      <tableStyleElement type="lastColumn" dxfId="148"/>
      <tableStyleElement type="firstRowStripe" dxfId="147"/>
      <tableStyleElement type="secondRowStripe" dxfId="146"/>
      <tableStyleElement type="firstColumnStripe" dxfId="145"/>
      <tableStyleElement type="secondColumnStripe" dxfId="14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15" tableType="queryTable" totalsRowCount="1" headerRowDxfId="143" dataDxfId="142">
  <tableColumns count="11">
    <tableColumn id="1" uniqueName="1" name="Code Secteur" queryTableFieldId="1" dataDxfId="130" totalsRowDxfId="131"/>
    <tableColumn id="2" uniqueName="2" name="VM" queryTableFieldId="2" dataDxfId="129" totalsRowDxfId="132"/>
    <tableColumn id="3" uniqueName="3" name="Code médecin" totalsRowLabel="TOTAL" queryTableFieldId="3" dataDxfId="128" totalsRowDxfId="133" dataCellStyle="Lien hypertexte"/>
    <tableColumn id="4" uniqueName="4" name="Medecin" totalsRowFunction="custom" queryTableFieldId="4" dataDxfId="127" totalsRowDxfId="134">
      <totalsRowFormula>SUBTOTAL(3,D8:D14)</totalsRowFormula>
    </tableColumn>
    <tableColumn id="5" uniqueName="5" name="Date de réception convention financière" totalsRowFunction="custom" queryTableFieldId="5" dataDxfId="126" totalsRowDxfId="135">
      <totalsRowFormula>SUBTOTAL(3,[Date de réception convention financière])</totalsRowFormula>
    </tableColumn>
    <tableColumn id="6" uniqueName="6" name="Date de réception AR kit" totalsRowFunction="custom" queryTableFieldId="6" dataDxfId="125" totalsRowDxfId="136">
      <totalsRowFormula>SUBTOTAL(3,[Date de réception AR kit])</totalsRowFormula>
    </tableColumn>
    <tableColumn id="7" uniqueName="7" name="Date de MEP" totalsRowFunction="custom" queryTableFieldId="7" dataDxfId="124" totalsRowDxfId="137">
      <totalsRowFormula>SUBTOTAL(3,[Date de MEP])</totalsRowFormula>
    </tableColumn>
    <tableColumn id="8" uniqueName="8" name="Desistement" totalsRowFunction="custom" queryTableFieldId="8" dataDxfId="123" totalsRowDxfId="138">
      <totalsRowFormula>SUBTOTAL(3,[Desistement])</totalsRowFormula>
    </tableColumn>
    <tableColumn id="9" uniqueName="9" name="Nb Total Patients inclus" totalsRowFunction="custom" queryTableFieldId="9" dataDxfId="122" totalsRowDxfId="139">
      <totalsRowFormula>SUBTOTAL(109,I8:I14)</totalsRowFormula>
    </tableColumn>
    <tableColumn id="10" uniqueName="10" name="Comptes-rendus contact médecin-GECEM" queryTableFieldId="10" dataDxfId="121" totalsRowDxfId="140"/>
    <tableColumn id="11" uniqueName="11" name="Date" queryTableFieldId="11" dataDxfId="120" totalsRowDxfId="14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" name="Tableau_Lancer_la_requête_à_partir_de_MS_Access_Database" displayName="Tableau_Lancer_la_requête_à_partir_de_MS_Access_Database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19"/>
    <tableColumn id="4" uniqueName="4" name="INCLUSION_Visite" queryTableFieldId="4" dataDxfId="118"/>
    <tableColumn id="5" uniqueName="5" name="INCLUSION_Reception" queryTableFieldId="5" dataDxfId="117"/>
    <tableColumn id="6" uniqueName="6" name="AQINCLUSION_Reception" queryTableFieldId="6" dataDxfId="116"/>
    <tableColumn id="7" uniqueName="7" name="CONTACT_Reception" queryTableFieldId="7" dataDxfId="115"/>
    <tableColumn id="8" uniqueName="8" name="TypeRappel" queryTableFieldId="8"/>
    <tableColumn id="9" uniqueName="9" name="AQ7Theo" queryTableFieldId="9" dataDxfId="114"/>
    <tableColumn id="10" uniqueName="10" name="AQJ7_Reception" queryTableFieldId="10" dataDxfId="113"/>
    <tableColumn id="11" uniqueName="11" name="AQ_M2_Theo" queryTableFieldId="11" dataDxfId="112"/>
    <tableColumn id="12" uniqueName="12" name="AQM2_Reception" queryTableFieldId="12" dataDxfId="111"/>
    <tableColumn id="13" uniqueName="13" name="VP_Theo" queryTableFieldId="13" dataDxfId="110"/>
    <tableColumn id="14" uniqueName="14" name="PRECOCE_Visite" queryTableFieldId="14" dataDxfId="109"/>
    <tableColumn id="15" uniqueName="15" name="PRECOCE_Reception" queryTableFieldId="15" dataDxfId="108"/>
    <tableColumn id="16" uniqueName="16" name="VT_Theo" queryTableFieldId="16" dataDxfId="107"/>
    <tableColumn id="17" uniqueName="17" name="TARDIF_Visite" queryTableFieldId="17" dataDxfId="106"/>
    <tableColumn id="18" uniqueName="18" name="TARDIF_Reception" queryTableFieldId="18" dataDxfId="105"/>
    <tableColumn id="19" uniqueName="19" name="Onekey" queryTableFieldId="19"/>
    <tableColumn id="20" uniqueName="20" name="Date" queryTableFieldId="20" dataDxfId="104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3" name="Tableau_Lancer_la_requête_à_partir_de_MS_Access_Database4" displayName="Tableau_Lancer_la_requête_à_partir_de_MS_Access_Database4" ref="B9:U12" tableType="queryTable" totalsRowShown="0">
  <autoFilter ref="B9:U12"/>
  <tableColumns count="20">
    <tableColumn id="1" uniqueName="1" name="Num_Centre" queryTableFieldId="1" dataDxfId="103"/>
    <tableColumn id="2" uniqueName="2" name="Investigateur" queryTableFieldId="2" dataDxfId="102"/>
    <tableColumn id="3" uniqueName="3" name="Num_Patient" queryTableFieldId="3" dataDxfId="101"/>
    <tableColumn id="4" uniqueName="4" name="INCLUSION_Visite" queryTableFieldId="4" dataDxfId="100"/>
    <tableColumn id="5" uniqueName="5" name="INCLUSION_Reception" queryTableFieldId="5" dataDxfId="99"/>
    <tableColumn id="6" uniqueName="6" name="AQINCLUSION_Reception" queryTableFieldId="6" dataDxfId="98"/>
    <tableColumn id="7" uniqueName="7" name="CONTACT_Reception" queryTableFieldId="7" dataDxfId="97"/>
    <tableColumn id="8" uniqueName="8" name="TypeRappel" queryTableFieldId="8" dataDxfId="96"/>
    <tableColumn id="9" uniqueName="9" name="AQ7Theo" queryTableFieldId="9" dataDxfId="95"/>
    <tableColumn id="10" uniqueName="10" name="AQJ7_Reception" queryTableFieldId="10" dataDxfId="94"/>
    <tableColumn id="11" uniqueName="11" name="AQ_M2_Theo" queryTableFieldId="11" dataDxfId="93"/>
    <tableColumn id="12" uniqueName="12" name="AQM2_Reception" queryTableFieldId="12" dataDxfId="92"/>
    <tableColumn id="13" uniqueName="13" name="VP_Theo" queryTableFieldId="13" dataDxfId="91"/>
    <tableColumn id="14" uniqueName="14" name="PRECOCE_Visite" queryTableFieldId="14" dataDxfId="90"/>
    <tableColumn id="15" uniqueName="15" name="PRECOCE_Reception" queryTableFieldId="15" dataDxfId="89"/>
    <tableColumn id="16" uniqueName="16" name="VT_Theo" queryTableFieldId="16" dataDxfId="88"/>
    <tableColumn id="17" uniqueName="17" name="TARDIF_Visite" queryTableFieldId="17" dataDxfId="87"/>
    <tableColumn id="18" uniqueName="18" name="TARDIF_Reception" queryTableFieldId="18" dataDxfId="86"/>
    <tableColumn id="19" uniqueName="19" name="Onekey" queryTableFieldId="19" dataDxfId="85"/>
    <tableColumn id="20" uniqueName="20" name="Date" queryTableFieldId="20" dataDxfId="84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4" name="Tableau_Lancer_la_requête_à_partir_de_MS_Access_Database5" displayName="Tableau_Lancer_la_requête_à_partir_de_MS_Access_Database5" ref="B9:U14" tableType="queryTable" totalsRowShown="0">
  <autoFilter ref="B9:U14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83"/>
    <tableColumn id="4" uniqueName="4" name="INCLUSION_Visite" queryTableFieldId="4" dataDxfId="82"/>
    <tableColumn id="5" uniqueName="5" name="INCLUSION_Reception" queryTableFieldId="5" dataDxfId="81"/>
    <tableColumn id="6" uniqueName="6" name="AQINCLUSION_Reception" queryTableFieldId="6" dataDxfId="80"/>
    <tableColumn id="7" uniqueName="7" name="CONTACT_Reception" queryTableFieldId="7" dataDxfId="79"/>
    <tableColumn id="8" uniqueName="8" name="TypeRappel" queryTableFieldId="8"/>
    <tableColumn id="9" uniqueName="9" name="AQ7Theo" queryTableFieldId="9" dataDxfId="78"/>
    <tableColumn id="10" uniqueName="10" name="AQJ7_Reception" queryTableFieldId="10" dataDxfId="77"/>
    <tableColumn id="11" uniqueName="11" name="AQ_M2_Theo" queryTableFieldId="11" dataDxfId="76"/>
    <tableColumn id="12" uniqueName="12" name="AQM2_Reception" queryTableFieldId="12" dataDxfId="75"/>
    <tableColumn id="13" uniqueName="13" name="VP_Theo" queryTableFieldId="13" dataDxfId="74"/>
    <tableColumn id="14" uniqueName="14" name="PRECOCE_Visite" queryTableFieldId="14" dataDxfId="73"/>
    <tableColumn id="15" uniqueName="15" name="PRECOCE_Reception" queryTableFieldId="15" dataDxfId="72"/>
    <tableColumn id="16" uniqueName="16" name="VT_Theo" queryTableFieldId="16" dataDxfId="71"/>
    <tableColumn id="17" uniqueName="17" name="TARDIF_Visite" queryTableFieldId="17" dataDxfId="70"/>
    <tableColumn id="18" uniqueName="18" name="TARDIF_Reception" queryTableFieldId="18" dataDxfId="69"/>
    <tableColumn id="19" uniqueName="19" name="Onekey" queryTableFieldId="19"/>
    <tableColumn id="20" uniqueName="20" name="Date" queryTableFieldId="20" dataDxfId="68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5" name="Tableau_Lancer_la_requête_à_partir_de_MS_Access_Database56" displayName="Tableau_Lancer_la_requête_à_partir_de_MS_Access_Database56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67"/>
    <tableColumn id="4" uniqueName="4" name="INCLUSION_Visite" queryTableFieldId="4" dataDxfId="66"/>
    <tableColumn id="5" uniqueName="5" name="INCLUSION_Reception" queryTableFieldId="5" dataDxfId="65"/>
    <tableColumn id="6" uniqueName="6" name="AQINCLUSION_Reception" queryTableFieldId="6" dataDxfId="64"/>
    <tableColumn id="7" uniqueName="7" name="CONTACT_Reception" queryTableFieldId="7" dataDxfId="63"/>
    <tableColumn id="8" uniqueName="8" name="TypeRappel" queryTableFieldId="8"/>
    <tableColumn id="9" uniqueName="9" name="AQ7Theo" queryTableFieldId="9" dataDxfId="62"/>
    <tableColumn id="10" uniqueName="10" name="AQJ7_Reception" queryTableFieldId="10" dataDxfId="61"/>
    <tableColumn id="11" uniqueName="11" name="AQ_M2_Theo" queryTableFieldId="11" dataDxfId="60"/>
    <tableColumn id="12" uniqueName="12" name="AQM2_Reception" queryTableFieldId="12" dataDxfId="59"/>
    <tableColumn id="13" uniqueName="13" name="VP_Theo" queryTableFieldId="13" dataDxfId="58"/>
    <tableColumn id="14" uniqueName="14" name="PRECOCE_Visite" queryTableFieldId="14" dataDxfId="57"/>
    <tableColumn id="15" uniqueName="15" name="PRECOCE_Reception" queryTableFieldId="15" dataDxfId="56"/>
    <tableColumn id="16" uniqueName="16" name="VT_Theo" queryTableFieldId="16" dataDxfId="55"/>
    <tableColumn id="17" uniqueName="17" name="TARDIF_Visite" queryTableFieldId="17" dataDxfId="54"/>
    <tableColumn id="18" uniqueName="18" name="TARDIF_Reception" queryTableFieldId="18" dataDxfId="53"/>
    <tableColumn id="19" uniqueName="19" name="Onekey" queryTableFieldId="19"/>
    <tableColumn id="20" uniqueName="20" name="Date" queryTableFieldId="20" dataDxfId="52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8" name="Tableau_Lancer_la_requête_à_partir_de_MS_Access_Database56789" displayName="Tableau_Lancer_la_requête_à_partir_de_MS_Access_Database56789" ref="B9:U10" tableType="queryTable" totalsRowShown="0">
  <autoFilter ref="B9:U10"/>
  <tableColumns count="20">
    <tableColumn id="1" uniqueName="1" name="Num_Centre" queryTableFieldId="1" dataDxfId="51"/>
    <tableColumn id="2" uniqueName="2" name="Investigateur" queryTableFieldId="2" dataDxfId="50"/>
    <tableColumn id="3" uniqueName="3" name="Num_Patient" queryTableFieldId="3" dataDxfId="49"/>
    <tableColumn id="4" uniqueName="4" name="INCLUSION_Visite" queryTableFieldId="4" dataDxfId="48"/>
    <tableColumn id="5" uniqueName="5" name="INCLUSION_Reception" queryTableFieldId="5" dataDxfId="47"/>
    <tableColumn id="6" uniqueName="6" name="AQINCLUSION_Reception" queryTableFieldId="6" dataDxfId="46"/>
    <tableColumn id="7" uniqueName="7" name="CONTACT_Reception" queryTableFieldId="7" dataDxfId="45"/>
    <tableColumn id="8" uniqueName="8" name="TypeRappel" queryTableFieldId="8" dataDxfId="44"/>
    <tableColumn id="9" uniqueName="9" name="AQ7Theo" queryTableFieldId="9" dataDxfId="43"/>
    <tableColumn id="10" uniqueName="10" name="AQJ7_Reception" queryTableFieldId="10" dataDxfId="42"/>
    <tableColumn id="11" uniqueName="11" name="AQ_M2_Theo" queryTableFieldId="11" dataDxfId="41"/>
    <tableColumn id="12" uniqueName="12" name="AQM2_Reception" queryTableFieldId="12" dataDxfId="40"/>
    <tableColumn id="13" uniqueName="13" name="VP_Theo" queryTableFieldId="13" dataDxfId="39"/>
    <tableColumn id="14" uniqueName="14" name="PRECOCE_Visite" queryTableFieldId="14" dataDxfId="38"/>
    <tableColumn id="15" uniqueName="15" name="PRECOCE_Reception" queryTableFieldId="15" dataDxfId="37"/>
    <tableColumn id="16" uniqueName="16" name="VT_Theo" queryTableFieldId="16" dataDxfId="36"/>
    <tableColumn id="17" uniqueName="17" name="TARDIF_Visite" queryTableFieldId="17" dataDxfId="35"/>
    <tableColumn id="18" uniqueName="18" name="TARDIF_Reception" queryTableFieldId="18" dataDxfId="34"/>
    <tableColumn id="19" uniqueName="19" name="Onekey" queryTableFieldId="19" dataDxfId="33"/>
    <tableColumn id="20" uniqueName="20" name="Date" queryTableFieldId="20" dataDxfId="32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6" name="Tableau_Lancer_la_requête_à_partir_de_MS_Access_Database567" displayName="Tableau_Lancer_la_requête_à_partir_de_MS_Access_Database567" ref="B9:U12" tableType="queryTable" totalsRowShown="0">
  <autoFilter ref="B9:U12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31"/>
    <tableColumn id="4" uniqueName="4" name="INCLUSION_Visite" queryTableFieldId="4" dataDxfId="30"/>
    <tableColumn id="5" uniqueName="5" name="INCLUSION_Reception" queryTableFieldId="5" dataDxfId="29"/>
    <tableColumn id="6" uniqueName="6" name="AQINCLUSION_Reception" queryTableFieldId="6" dataDxfId="28"/>
    <tableColumn id="7" uniqueName="7" name="CONTACT_Reception" queryTableFieldId="7" dataDxfId="27"/>
    <tableColumn id="8" uniqueName="8" name="TypeRappel" queryTableFieldId="8"/>
    <tableColumn id="9" uniqueName="9" name="AQ7Theo" queryTableFieldId="9" dataDxfId="26"/>
    <tableColumn id="10" uniqueName="10" name="AQJ7_Reception" queryTableFieldId="10" dataDxfId="25"/>
    <tableColumn id="11" uniqueName="11" name="AQ_M2_Theo" queryTableFieldId="11" dataDxfId="24"/>
    <tableColumn id="12" uniqueName="12" name="AQM2_Reception" queryTableFieldId="12" dataDxfId="23"/>
    <tableColumn id="13" uniqueName="13" name="VP_Theo" queryTableFieldId="13" dataDxfId="22"/>
    <tableColumn id="14" uniqueName="14" name="PRECOCE_Visite" queryTableFieldId="14" dataDxfId="21"/>
    <tableColumn id="15" uniqueName="15" name="PRECOCE_Reception" queryTableFieldId="15" dataDxfId="20"/>
    <tableColumn id="16" uniqueName="16" name="VT_Theo" queryTableFieldId="16" dataDxfId="19"/>
    <tableColumn id="17" uniqueName="17" name="TARDIF_Visite" queryTableFieldId="17" dataDxfId="18"/>
    <tableColumn id="18" uniqueName="18" name="TARDIF_Reception" queryTableFieldId="18" dataDxfId="17"/>
    <tableColumn id="19" uniqueName="19" name="Onekey" queryTableFieldId="19"/>
    <tableColumn id="20" uniqueName="20" name="Date" queryTableFieldId="20" dataDxfId="16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7" name="Tableau_Lancer_la_requête_à_partir_de_MS_Access_Database5678" displayName="Tableau_Lancer_la_requête_à_partir_de_MS_Access_Database5678" ref="B9:U16" tableType="queryTable" totalsRowShown="0">
  <autoFilter ref="B9:U16"/>
  <tableColumns count="20">
    <tableColumn id="1" uniqueName="1" name="Num_Centre" queryTableFieldId="1"/>
    <tableColumn id="2" uniqueName="2" name="Investigateur" queryTableFieldId="2"/>
    <tableColumn id="3" uniqueName="3" name="Num_Patient" queryTableFieldId="3" dataDxfId="15"/>
    <tableColumn id="4" uniqueName="4" name="INCLUSION_Visite" queryTableFieldId="4" dataDxfId="14"/>
    <tableColumn id="5" uniqueName="5" name="INCLUSION_Reception" queryTableFieldId="5" dataDxfId="13"/>
    <tableColumn id="6" uniqueName="6" name="AQINCLUSION_Reception" queryTableFieldId="6" dataDxfId="12"/>
    <tableColumn id="7" uniqueName="7" name="CONTACT_Reception" queryTableFieldId="7" dataDxfId="11"/>
    <tableColumn id="8" uniqueName="8" name="TypeRappel" queryTableFieldId="8"/>
    <tableColumn id="9" uniqueName="9" name="AQ7Theo" queryTableFieldId="9" dataDxfId="10"/>
    <tableColumn id="10" uniqueName="10" name="AQJ7_Reception" queryTableFieldId="10" dataDxfId="9"/>
    <tableColumn id="11" uniqueName="11" name="AQ_M2_Theo" queryTableFieldId="11" dataDxfId="8"/>
    <tableColumn id="12" uniqueName="12" name="AQM2_Reception" queryTableFieldId="12" dataDxfId="7"/>
    <tableColumn id="13" uniqueName="13" name="VP_Theo" queryTableFieldId="13" dataDxfId="6"/>
    <tableColumn id="14" uniqueName="14" name="PRECOCE_Visite" queryTableFieldId="14" dataDxfId="5"/>
    <tableColumn id="15" uniqueName="15" name="PRECOCE_Reception" queryTableFieldId="15" dataDxfId="4"/>
    <tableColumn id="16" uniqueName="16" name="VT_Theo" queryTableFieldId="16" dataDxfId="3"/>
    <tableColumn id="17" uniqueName="17" name="TARDIF_Visite" queryTableFieldId="17" dataDxfId="2"/>
    <tableColumn id="18" uniqueName="18" name="TARDIF_Reception" queryTableFieldId="18" dataDxfId="1"/>
    <tableColumn id="19" uniqueName="19" name="Onekey" queryTableFieldId="19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Q17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$A$14</f>
        <v>DE0404</v>
      </c>
      <c r="G2" s="80" t="str">
        <f>$B$14</f>
        <v>FONTANEAU Françoise</v>
      </c>
      <c r="H2" s="80"/>
      <c r="I2" s="80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$K$14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27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75" customFormat="1">
      <c r="A8" s="75" t="s">
        <v>59</v>
      </c>
      <c r="B8" s="75" t="s">
        <v>60</v>
      </c>
      <c r="C8" s="76" t="s">
        <v>61</v>
      </c>
      <c r="D8" s="74" t="s">
        <v>62</v>
      </c>
      <c r="E8" s="16">
        <v>41697</v>
      </c>
      <c r="F8" s="16">
        <v>41739</v>
      </c>
      <c r="G8" s="16">
        <v>41738</v>
      </c>
      <c r="H8" s="16"/>
      <c r="I8" s="15">
        <v>3</v>
      </c>
      <c r="J8" s="74" t="s">
        <v>82</v>
      </c>
      <c r="K8" s="77">
        <v>42306</v>
      </c>
    </row>
    <row r="9" spans="1:17" s="75" customFormat="1">
      <c r="A9" s="75" t="s">
        <v>59</v>
      </c>
      <c r="B9" s="75" t="s">
        <v>60</v>
      </c>
      <c r="C9" s="76" t="s">
        <v>63</v>
      </c>
      <c r="D9" s="74" t="s">
        <v>64</v>
      </c>
      <c r="E9" s="16">
        <v>41719</v>
      </c>
      <c r="F9" s="16">
        <v>41774</v>
      </c>
      <c r="G9" s="16">
        <v>41771</v>
      </c>
      <c r="H9" s="16"/>
      <c r="I9" s="15">
        <v>3</v>
      </c>
      <c r="J9" s="74"/>
      <c r="K9" s="77">
        <v>42306</v>
      </c>
    </row>
    <row r="10" spans="1:17" s="75" customFormat="1">
      <c r="A10" s="75" t="s">
        <v>59</v>
      </c>
      <c r="B10" s="75" t="s">
        <v>60</v>
      </c>
      <c r="C10" s="76" t="s">
        <v>65</v>
      </c>
      <c r="D10" s="74" t="s">
        <v>66</v>
      </c>
      <c r="E10" s="16">
        <v>41708</v>
      </c>
      <c r="F10" s="16">
        <v>41743</v>
      </c>
      <c r="G10" s="16">
        <v>41740</v>
      </c>
      <c r="H10" s="16"/>
      <c r="I10" s="15">
        <v>5</v>
      </c>
      <c r="J10" s="74" t="s">
        <v>84</v>
      </c>
      <c r="K10" s="77">
        <v>42306</v>
      </c>
    </row>
    <row r="11" spans="1:17" s="75" customFormat="1">
      <c r="A11" s="75" t="s">
        <v>59</v>
      </c>
      <c r="B11" s="75" t="s">
        <v>60</v>
      </c>
      <c r="C11" s="76" t="s">
        <v>67</v>
      </c>
      <c r="D11" s="74" t="s">
        <v>68</v>
      </c>
      <c r="E11" s="16">
        <v>41733</v>
      </c>
      <c r="F11" s="16">
        <v>41745</v>
      </c>
      <c r="G11" s="16">
        <v>41743</v>
      </c>
      <c r="H11" s="16"/>
      <c r="I11" s="15">
        <v>3</v>
      </c>
      <c r="J11" s="74"/>
      <c r="K11" s="77">
        <v>42306</v>
      </c>
    </row>
    <row r="12" spans="1:17" s="75" customFormat="1">
      <c r="A12" s="75" t="s">
        <v>59</v>
      </c>
      <c r="B12" s="75" t="s">
        <v>60</v>
      </c>
      <c r="C12" s="76" t="s">
        <v>74</v>
      </c>
      <c r="D12" s="74" t="s">
        <v>73</v>
      </c>
      <c r="E12" s="16">
        <v>41761</v>
      </c>
      <c r="F12" s="16"/>
      <c r="G12" s="16"/>
      <c r="H12" s="16">
        <v>41796</v>
      </c>
      <c r="I12" s="15"/>
      <c r="J12" s="74"/>
      <c r="K12" s="77">
        <v>42306</v>
      </c>
    </row>
    <row r="13" spans="1:17" s="75" customFormat="1" ht="30">
      <c r="A13" s="75" t="s">
        <v>59</v>
      </c>
      <c r="B13" s="75" t="s">
        <v>60</v>
      </c>
      <c r="C13" s="76" t="s">
        <v>69</v>
      </c>
      <c r="D13" s="74" t="s">
        <v>70</v>
      </c>
      <c r="E13" s="16">
        <v>41697</v>
      </c>
      <c r="F13" s="16">
        <v>41743</v>
      </c>
      <c r="G13" s="16">
        <v>41739</v>
      </c>
      <c r="H13" s="16"/>
      <c r="I13" s="15">
        <v>3</v>
      </c>
      <c r="J13" s="74" t="s">
        <v>75</v>
      </c>
      <c r="K13" s="77">
        <v>42306</v>
      </c>
    </row>
    <row r="14" spans="1:17" s="75" customFormat="1">
      <c r="A14" s="75" t="s">
        <v>59</v>
      </c>
      <c r="B14" s="75" t="s">
        <v>60</v>
      </c>
      <c r="C14" s="76" t="s">
        <v>71</v>
      </c>
      <c r="D14" s="78" t="s">
        <v>72</v>
      </c>
      <c r="E14" s="16">
        <v>41696</v>
      </c>
      <c r="F14" s="16">
        <v>41743</v>
      </c>
      <c r="G14" s="16">
        <v>41739</v>
      </c>
      <c r="H14" s="16"/>
      <c r="I14" s="15">
        <v>6</v>
      </c>
      <c r="J14" s="78" t="s">
        <v>83</v>
      </c>
      <c r="K14" s="77">
        <v>42306</v>
      </c>
    </row>
    <row r="15" spans="1:17">
      <c r="A15" s="28"/>
      <c r="B15" s="28"/>
      <c r="C15" s="27" t="s">
        <v>15</v>
      </c>
      <c r="D15" s="33">
        <f>SUBTOTAL(3,D8:D14)</f>
        <v>7</v>
      </c>
      <c r="E15" s="33">
        <f>SUBTOTAL(3,[Date de réception convention financière])</f>
        <v>7</v>
      </c>
      <c r="F15" s="33">
        <f>SUBTOTAL(3,[Date de réception AR kit])</f>
        <v>6</v>
      </c>
      <c r="G15" s="33">
        <f>SUBTOTAL(3,[Date de MEP])</f>
        <v>6</v>
      </c>
      <c r="H15" s="79">
        <f>SUBTOTAL(3,[Desistement])</f>
        <v>1</v>
      </c>
      <c r="I15" s="27">
        <f>SUBTOTAL(109,I8:I14)</f>
        <v>23</v>
      </c>
      <c r="J15" s="31"/>
      <c r="K15" s="32"/>
    </row>
    <row r="16" spans="1:17">
      <c r="D16" s="10"/>
      <c r="J16" s="10"/>
    </row>
    <row r="17" spans="3:3">
      <c r="C17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57" t="s">
        <v>17</v>
      </c>
      <c r="M4" s="63">
        <f>$B$10</f>
        <v>223</v>
      </c>
      <c r="N4" s="84" t="str">
        <f>$C$10</f>
        <v>ANDREANI Virginie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223</v>
      </c>
      <c r="C10" s="42" t="s">
        <v>62</v>
      </c>
      <c r="D10" s="19">
        <v>1</v>
      </c>
      <c r="E10" s="25">
        <v>41757</v>
      </c>
      <c r="F10" s="25">
        <v>41785</v>
      </c>
      <c r="G10" s="25"/>
      <c r="H10" s="25">
        <v>41773</v>
      </c>
      <c r="I10" s="44" t="s">
        <v>76</v>
      </c>
      <c r="J10" s="25">
        <v>41769</v>
      </c>
      <c r="K10" s="25">
        <v>41773</v>
      </c>
      <c r="L10" s="25">
        <v>41828</v>
      </c>
      <c r="M10" s="25">
        <v>41850</v>
      </c>
      <c r="N10" s="25">
        <v>41877</v>
      </c>
      <c r="O10" s="25">
        <v>41771</v>
      </c>
      <c r="P10" s="25">
        <v>41786</v>
      </c>
      <c r="Q10" s="25">
        <v>42122</v>
      </c>
      <c r="R10" s="25">
        <v>41800</v>
      </c>
      <c r="S10" s="25">
        <v>41850</v>
      </c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223</v>
      </c>
      <c r="C11" t="s">
        <v>62</v>
      </c>
      <c r="D11" s="19">
        <v>2</v>
      </c>
      <c r="E11" s="25">
        <v>41764</v>
      </c>
      <c r="F11" s="25">
        <v>41785</v>
      </c>
      <c r="H11" s="25">
        <v>41787</v>
      </c>
      <c r="I11" t="s">
        <v>76</v>
      </c>
      <c r="J11" s="25">
        <v>41776</v>
      </c>
      <c r="L11" s="25">
        <v>41835</v>
      </c>
      <c r="M11" s="25">
        <v>41880</v>
      </c>
      <c r="N11" s="25">
        <v>41884</v>
      </c>
      <c r="O11" s="25">
        <v>41771</v>
      </c>
      <c r="P11" s="25">
        <v>41787</v>
      </c>
      <c r="Q11" s="25">
        <v>42129</v>
      </c>
      <c r="R11" s="25">
        <v>41800</v>
      </c>
      <c r="S11" s="25">
        <v>41803</v>
      </c>
      <c r="T11" t="s">
        <v>61</v>
      </c>
      <c r="U11" s="12">
        <v>42306</v>
      </c>
    </row>
    <row r="12" spans="2:48">
      <c r="B12">
        <v>223</v>
      </c>
      <c r="C12" t="s">
        <v>62</v>
      </c>
      <c r="D12" s="19">
        <v>3</v>
      </c>
      <c r="E12" s="25">
        <v>41766</v>
      </c>
      <c r="F12" s="25">
        <v>41785</v>
      </c>
      <c r="I12" t="s">
        <v>57</v>
      </c>
      <c r="J12" s="25">
        <v>41778</v>
      </c>
      <c r="K12" s="25">
        <v>41850</v>
      </c>
      <c r="L12" s="25">
        <v>41837</v>
      </c>
      <c r="N12" s="25">
        <v>41886</v>
      </c>
      <c r="O12" s="25">
        <v>41800</v>
      </c>
      <c r="P12" s="25">
        <v>41803</v>
      </c>
      <c r="Q12" s="25">
        <v>42131</v>
      </c>
      <c r="T12" t="s">
        <v>61</v>
      </c>
      <c r="U12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M5" sqref="M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227</v>
      </c>
      <c r="N4" s="84" t="str">
        <f>$C$12</f>
        <v>CHOUQUET Didier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227</v>
      </c>
      <c r="C10" s="42" t="s">
        <v>64</v>
      </c>
      <c r="D10" s="19">
        <v>1</v>
      </c>
      <c r="E10" s="25">
        <v>41779</v>
      </c>
      <c r="F10" s="25">
        <v>41841</v>
      </c>
      <c r="G10" s="25">
        <v>41841</v>
      </c>
      <c r="H10" s="25">
        <v>41781</v>
      </c>
      <c r="I10" s="44" t="s">
        <v>77</v>
      </c>
      <c r="J10" s="25">
        <v>41791</v>
      </c>
      <c r="K10" s="25">
        <v>41841</v>
      </c>
      <c r="L10" s="25">
        <v>41850</v>
      </c>
      <c r="M10" s="25">
        <v>41841</v>
      </c>
      <c r="N10" s="25">
        <v>41899</v>
      </c>
      <c r="O10" s="25">
        <v>41838</v>
      </c>
      <c r="P10" s="25">
        <v>41841</v>
      </c>
      <c r="Q10" s="25">
        <v>42144</v>
      </c>
      <c r="R10" s="25"/>
      <c r="S10" s="25"/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2">
        <v>227</v>
      </c>
      <c r="C11" s="73" t="s">
        <v>64</v>
      </c>
      <c r="D11" s="19">
        <v>2</v>
      </c>
      <c r="E11" s="25">
        <v>41890</v>
      </c>
      <c r="F11" s="25">
        <v>41898</v>
      </c>
      <c r="G11" s="25">
        <v>41899</v>
      </c>
      <c r="H11" s="25">
        <v>41897</v>
      </c>
      <c r="I11" s="44" t="s">
        <v>76</v>
      </c>
      <c r="J11" s="25">
        <v>41902</v>
      </c>
      <c r="K11" s="25">
        <v>41918</v>
      </c>
      <c r="L11" s="25">
        <v>41961</v>
      </c>
      <c r="M11" s="25">
        <v>41976</v>
      </c>
      <c r="N11" s="25">
        <v>42010</v>
      </c>
      <c r="O11" s="25">
        <v>41900</v>
      </c>
      <c r="P11" s="25">
        <v>41976</v>
      </c>
      <c r="Q11" s="25">
        <v>42255</v>
      </c>
      <c r="R11" s="25">
        <v>41974</v>
      </c>
      <c r="S11" s="25">
        <v>41976</v>
      </c>
      <c r="T11" s="73" t="s">
        <v>63</v>
      </c>
      <c r="U11" s="12">
        <v>42306</v>
      </c>
    </row>
    <row r="12" spans="2:48" ht="25.5">
      <c r="B12" s="72">
        <v>227</v>
      </c>
      <c r="C12" s="73" t="s">
        <v>64</v>
      </c>
      <c r="D12" s="19">
        <v>3</v>
      </c>
      <c r="E12" s="25">
        <v>41907</v>
      </c>
      <c r="F12" s="25">
        <v>41911</v>
      </c>
      <c r="G12" s="25">
        <v>41911</v>
      </c>
      <c r="I12" s="44" t="s">
        <v>57</v>
      </c>
      <c r="J12" s="25">
        <v>41919</v>
      </c>
      <c r="K12" s="25">
        <v>41970</v>
      </c>
      <c r="L12" s="25">
        <v>41978</v>
      </c>
      <c r="M12" s="25">
        <v>41969</v>
      </c>
      <c r="N12" s="25">
        <v>42027</v>
      </c>
      <c r="Q12" s="25">
        <v>42272</v>
      </c>
      <c r="T12" s="73" t="s">
        <v>63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dimension ref="B1:AV14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225</v>
      </c>
      <c r="N4" s="84" t="str">
        <f>$C$10</f>
        <v>DE MONTGOLFIER Anne-Isabelle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225</v>
      </c>
      <c r="C10" s="42" t="s">
        <v>66</v>
      </c>
      <c r="D10" s="19">
        <v>1</v>
      </c>
      <c r="E10" s="25">
        <v>41800</v>
      </c>
      <c r="F10" s="25">
        <v>41892</v>
      </c>
      <c r="G10" s="25">
        <v>41892</v>
      </c>
      <c r="H10" s="25">
        <v>41892</v>
      </c>
      <c r="I10" s="44" t="s">
        <v>76</v>
      </c>
      <c r="J10" s="25">
        <v>41812</v>
      </c>
      <c r="K10" s="25">
        <v>41892</v>
      </c>
      <c r="L10" s="25">
        <v>41871</v>
      </c>
      <c r="M10" s="25">
        <v>41995</v>
      </c>
      <c r="N10" s="25">
        <v>41920</v>
      </c>
      <c r="O10" s="25">
        <v>41842</v>
      </c>
      <c r="P10" s="25">
        <v>41892</v>
      </c>
      <c r="Q10" s="25">
        <v>42165</v>
      </c>
      <c r="R10" s="25">
        <v>41955</v>
      </c>
      <c r="S10" s="25">
        <v>41956</v>
      </c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225</v>
      </c>
      <c r="C11" t="s">
        <v>66</v>
      </c>
      <c r="D11" s="19">
        <v>2</v>
      </c>
      <c r="E11" s="25">
        <v>41794</v>
      </c>
      <c r="F11" s="25">
        <v>41892</v>
      </c>
      <c r="G11" s="25">
        <v>41892</v>
      </c>
      <c r="H11" s="25">
        <v>41892</v>
      </c>
      <c r="I11" t="s">
        <v>76</v>
      </c>
      <c r="J11" s="25">
        <v>41806</v>
      </c>
      <c r="K11" s="25">
        <v>41892</v>
      </c>
      <c r="L11" s="25">
        <v>41865</v>
      </c>
      <c r="M11" s="25">
        <v>41995</v>
      </c>
      <c r="N11" s="25">
        <v>41914</v>
      </c>
      <c r="O11" s="25">
        <v>41885</v>
      </c>
      <c r="P11" s="25">
        <v>41956</v>
      </c>
      <c r="Q11" s="25">
        <v>42159</v>
      </c>
      <c r="R11" s="25">
        <v>41949</v>
      </c>
      <c r="S11" s="25">
        <v>41956</v>
      </c>
      <c r="T11" t="s">
        <v>65</v>
      </c>
      <c r="U11" s="12">
        <v>42306</v>
      </c>
    </row>
    <row r="12" spans="2:48">
      <c r="B12">
        <v>225</v>
      </c>
      <c r="C12" t="s">
        <v>66</v>
      </c>
      <c r="D12" s="19">
        <v>3</v>
      </c>
      <c r="E12" s="25">
        <v>41752</v>
      </c>
      <c r="F12" s="25">
        <v>41892</v>
      </c>
      <c r="G12" s="25">
        <v>41892</v>
      </c>
      <c r="H12" s="25">
        <v>41892</v>
      </c>
      <c r="I12" t="s">
        <v>76</v>
      </c>
      <c r="J12" s="25">
        <v>41764</v>
      </c>
      <c r="K12" s="25">
        <v>41893</v>
      </c>
      <c r="L12" s="25">
        <v>41823</v>
      </c>
      <c r="M12" s="25">
        <v>41995</v>
      </c>
      <c r="N12" s="25">
        <v>41872</v>
      </c>
      <c r="O12" s="25">
        <v>41764</v>
      </c>
      <c r="P12" s="25">
        <v>41899</v>
      </c>
      <c r="Q12" s="25">
        <v>42117</v>
      </c>
      <c r="R12" s="25">
        <v>41926</v>
      </c>
      <c r="S12" s="25">
        <v>41956</v>
      </c>
      <c r="T12" t="s">
        <v>65</v>
      </c>
      <c r="U12" s="12">
        <v>42306</v>
      </c>
    </row>
    <row r="13" spans="2:48">
      <c r="B13">
        <v>225</v>
      </c>
      <c r="C13" t="s">
        <v>66</v>
      </c>
      <c r="D13" s="19">
        <v>4</v>
      </c>
      <c r="E13" s="25">
        <v>41926</v>
      </c>
      <c r="F13" s="25">
        <v>41957</v>
      </c>
      <c r="H13" s="25">
        <v>41957</v>
      </c>
      <c r="I13" t="s">
        <v>76</v>
      </c>
      <c r="J13" s="25">
        <v>41938</v>
      </c>
      <c r="K13" s="25">
        <v>41956</v>
      </c>
      <c r="L13" s="25">
        <v>41997</v>
      </c>
      <c r="M13" s="25">
        <v>41995</v>
      </c>
      <c r="N13" s="25">
        <v>42046</v>
      </c>
      <c r="O13" s="25">
        <v>41989</v>
      </c>
      <c r="P13" s="25">
        <v>41995</v>
      </c>
      <c r="Q13" s="25">
        <v>42291</v>
      </c>
      <c r="T13" t="s">
        <v>65</v>
      </c>
      <c r="U13" s="12">
        <v>42306</v>
      </c>
    </row>
    <row r="14" spans="2:48">
      <c r="B14">
        <v>225</v>
      </c>
      <c r="C14" t="s">
        <v>66</v>
      </c>
      <c r="D14" s="19">
        <v>5</v>
      </c>
      <c r="E14" s="25">
        <v>41929</v>
      </c>
      <c r="F14" s="25">
        <v>41956</v>
      </c>
      <c r="G14" s="25">
        <v>41956</v>
      </c>
      <c r="H14" s="25">
        <v>41956</v>
      </c>
      <c r="I14" t="s">
        <v>76</v>
      </c>
      <c r="J14" s="25">
        <v>41941</v>
      </c>
      <c r="K14" s="25">
        <v>41956</v>
      </c>
      <c r="L14" s="25">
        <v>42000</v>
      </c>
      <c r="M14" s="25">
        <v>41995</v>
      </c>
      <c r="N14" s="25">
        <v>42049</v>
      </c>
      <c r="O14" s="25">
        <v>41975</v>
      </c>
      <c r="P14" s="25">
        <v>41995</v>
      </c>
      <c r="Q14" s="25">
        <v>42294</v>
      </c>
      <c r="T14" t="s">
        <v>65</v>
      </c>
      <c r="U14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226</v>
      </c>
      <c r="N4" s="84" t="str">
        <f>$C$10</f>
        <v>FERTIL Anne-Marie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226</v>
      </c>
      <c r="C10" s="42" t="s">
        <v>68</v>
      </c>
      <c r="D10" s="19">
        <v>1</v>
      </c>
      <c r="E10" s="25">
        <v>41792</v>
      </c>
      <c r="F10" s="25">
        <v>41794</v>
      </c>
      <c r="G10" s="25">
        <v>41794</v>
      </c>
      <c r="H10" s="25">
        <v>41815</v>
      </c>
      <c r="I10" s="44" t="s">
        <v>78</v>
      </c>
      <c r="J10" s="25">
        <v>41804</v>
      </c>
      <c r="K10" s="25">
        <v>41835</v>
      </c>
      <c r="L10" s="25">
        <v>41863</v>
      </c>
      <c r="M10" s="25">
        <v>41911</v>
      </c>
      <c r="N10" s="25">
        <v>41912</v>
      </c>
      <c r="O10" s="25">
        <v>41908</v>
      </c>
      <c r="P10" s="25">
        <v>41911</v>
      </c>
      <c r="Q10" s="25">
        <v>42157</v>
      </c>
      <c r="R10" s="25">
        <v>42079</v>
      </c>
      <c r="S10" s="25">
        <v>42083</v>
      </c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226</v>
      </c>
      <c r="C11" t="s">
        <v>68</v>
      </c>
      <c r="D11" s="19">
        <v>2</v>
      </c>
      <c r="E11" s="25">
        <v>41796</v>
      </c>
      <c r="F11" s="25">
        <v>41800</v>
      </c>
      <c r="G11" s="25">
        <v>41800</v>
      </c>
      <c r="H11" s="25">
        <v>41807</v>
      </c>
      <c r="I11" t="s">
        <v>79</v>
      </c>
      <c r="J11" s="25">
        <v>41808</v>
      </c>
      <c r="K11" s="25">
        <v>41921</v>
      </c>
      <c r="L11" s="25">
        <v>41867</v>
      </c>
      <c r="M11" s="25">
        <v>41921</v>
      </c>
      <c r="N11" s="25">
        <v>41916</v>
      </c>
      <c r="O11" s="25">
        <v>41921</v>
      </c>
      <c r="P11" s="25">
        <v>41921</v>
      </c>
      <c r="Q11" s="25">
        <v>42161</v>
      </c>
      <c r="R11" s="25">
        <v>42117</v>
      </c>
      <c r="S11" s="25">
        <v>42121</v>
      </c>
      <c r="T11" t="s">
        <v>67</v>
      </c>
      <c r="U11" s="12">
        <v>42306</v>
      </c>
    </row>
    <row r="12" spans="2:48">
      <c r="B12">
        <v>226</v>
      </c>
      <c r="C12" t="s">
        <v>68</v>
      </c>
      <c r="D12" s="19">
        <v>3</v>
      </c>
      <c r="E12" s="25">
        <v>41801</v>
      </c>
      <c r="F12" s="25">
        <v>41806</v>
      </c>
      <c r="G12" s="25">
        <v>41806</v>
      </c>
      <c r="H12" s="25">
        <v>41806</v>
      </c>
      <c r="I12" t="s">
        <v>80</v>
      </c>
      <c r="J12" s="25">
        <v>41813</v>
      </c>
      <c r="K12" s="25">
        <v>41823</v>
      </c>
      <c r="L12" s="25">
        <v>41872</v>
      </c>
      <c r="M12" s="25">
        <v>41869</v>
      </c>
      <c r="N12" s="25">
        <v>41921</v>
      </c>
      <c r="O12" s="25">
        <v>41877</v>
      </c>
      <c r="P12" s="25">
        <v>41879</v>
      </c>
      <c r="Q12" s="25">
        <v>42166</v>
      </c>
      <c r="R12" s="25">
        <v>42037</v>
      </c>
      <c r="S12" s="25">
        <v>42083</v>
      </c>
      <c r="T12" t="s">
        <v>67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dimension ref="B1:AV10"/>
  <sheetViews>
    <sheetView workbookViewId="0">
      <selection activeCell="N5" sqref="N5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69" t="s">
        <v>17</v>
      </c>
      <c r="M4" s="63">
        <f>$B$10</f>
        <v>0</v>
      </c>
      <c r="N4" s="84" t="str">
        <f>$C$10</f>
        <v>GANDOLFI PALENZUELA Carole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C10" s="42" t="s">
        <v>73</v>
      </c>
      <c r="D10" s="19"/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74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222</v>
      </c>
      <c r="N4" s="84" t="str">
        <f>$C$10</f>
        <v>ROMANO-ARNAL Marie-Hélène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222</v>
      </c>
      <c r="C10" s="42" t="s">
        <v>70</v>
      </c>
      <c r="D10" s="19">
        <v>1</v>
      </c>
      <c r="E10" s="25">
        <v>41817</v>
      </c>
      <c r="F10" s="25">
        <v>41843</v>
      </c>
      <c r="G10" s="25">
        <v>41843</v>
      </c>
      <c r="H10" s="25">
        <v>41843</v>
      </c>
      <c r="I10" s="44" t="s">
        <v>76</v>
      </c>
      <c r="J10" s="25">
        <v>41829</v>
      </c>
      <c r="K10" s="25">
        <v>41844</v>
      </c>
      <c r="L10" s="25">
        <v>41888</v>
      </c>
      <c r="M10" s="25"/>
      <c r="N10" s="25">
        <v>41937</v>
      </c>
      <c r="O10" s="25">
        <v>41841</v>
      </c>
      <c r="P10" s="25">
        <v>41843</v>
      </c>
      <c r="Q10" s="25">
        <v>42182</v>
      </c>
      <c r="R10" s="25">
        <v>41971</v>
      </c>
      <c r="S10" s="25">
        <v>41981</v>
      </c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222</v>
      </c>
      <c r="C11" t="s">
        <v>70</v>
      </c>
      <c r="D11" s="19">
        <v>2</v>
      </c>
      <c r="E11" s="25">
        <v>41905</v>
      </c>
      <c r="F11" s="25">
        <v>41911</v>
      </c>
      <c r="G11" s="25">
        <v>41911</v>
      </c>
      <c r="I11" t="s">
        <v>57</v>
      </c>
      <c r="J11" s="25">
        <v>41917</v>
      </c>
      <c r="L11" s="25">
        <v>41976</v>
      </c>
      <c r="N11" s="25">
        <v>42025</v>
      </c>
      <c r="Q11" s="25">
        <v>42270</v>
      </c>
      <c r="T11" t="s">
        <v>69</v>
      </c>
      <c r="U11" s="12">
        <v>42306</v>
      </c>
    </row>
    <row r="12" spans="2:48">
      <c r="B12">
        <v>222</v>
      </c>
      <c r="C12" t="s">
        <v>70</v>
      </c>
      <c r="D12" s="19">
        <v>3</v>
      </c>
      <c r="E12" s="25">
        <v>41914</v>
      </c>
      <c r="F12" s="25">
        <v>41922</v>
      </c>
      <c r="G12" s="25">
        <v>41922</v>
      </c>
      <c r="H12" s="25">
        <v>41918</v>
      </c>
      <c r="I12" t="s">
        <v>80</v>
      </c>
      <c r="J12" s="25">
        <v>41926</v>
      </c>
      <c r="K12" s="25">
        <v>41926</v>
      </c>
      <c r="L12" s="25">
        <v>41985</v>
      </c>
      <c r="M12" s="25">
        <v>42012</v>
      </c>
      <c r="N12" s="25">
        <v>42034</v>
      </c>
      <c r="O12" s="25">
        <v>41946</v>
      </c>
      <c r="P12" s="25">
        <v>41955</v>
      </c>
      <c r="Q12" s="25">
        <v>42279</v>
      </c>
      <c r="T12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B1:AV16"/>
  <sheetViews>
    <sheetView workbookViewId="0">
      <selection activeCell="M4" sqref="M4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81" t="s">
        <v>16</v>
      </c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83"/>
      <c r="M3" s="83"/>
      <c r="N3" s="83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96" t="s">
        <v>58</v>
      </c>
      <c r="E4" s="96"/>
      <c r="F4" s="53">
        <f>$U$10</f>
        <v>42306</v>
      </c>
      <c r="G4" s="50"/>
      <c r="H4" s="50"/>
      <c r="I4" s="34"/>
      <c r="J4" s="50"/>
      <c r="K4" s="50"/>
      <c r="L4" s="65" t="s">
        <v>17</v>
      </c>
      <c r="M4" s="63">
        <f>$B$10</f>
        <v>224</v>
      </c>
      <c r="N4" s="84" t="str">
        <f>$C$10</f>
        <v>WEILLER-MERLI Claude</v>
      </c>
      <c r="O4" s="84"/>
      <c r="P4" s="84"/>
      <c r="Q4" s="84"/>
      <c r="R4" s="8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85"/>
      <c r="E6" s="86"/>
      <c r="F6" s="86"/>
      <c r="G6" s="86"/>
      <c r="H6" s="86"/>
      <c r="I6" s="86"/>
      <c r="J6" s="86"/>
      <c r="K6" s="86"/>
      <c r="L6" s="86"/>
      <c r="M6" s="86"/>
      <c r="N6" s="86"/>
      <c r="O6" s="86"/>
      <c r="P6" s="86"/>
      <c r="Q6" s="86"/>
      <c r="R6" s="86"/>
      <c r="S6" s="8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87" t="s">
        <v>19</v>
      </c>
      <c r="F7" s="88"/>
      <c r="G7" s="88"/>
      <c r="H7" s="88"/>
      <c r="I7" s="88"/>
      <c r="J7" s="89" t="s">
        <v>20</v>
      </c>
      <c r="K7" s="90"/>
      <c r="L7" s="91" t="s">
        <v>21</v>
      </c>
      <c r="M7" s="91"/>
      <c r="N7" s="92" t="s">
        <v>22</v>
      </c>
      <c r="O7" s="93"/>
      <c r="P7" s="94"/>
      <c r="Q7" s="95" t="s">
        <v>23</v>
      </c>
      <c r="R7" s="93"/>
      <c r="S7" s="94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224</v>
      </c>
      <c r="C10" s="42" t="s">
        <v>72</v>
      </c>
      <c r="D10" s="19">
        <v>1</v>
      </c>
      <c r="E10" s="25">
        <v>41773</v>
      </c>
      <c r="F10" s="25">
        <v>41774</v>
      </c>
      <c r="G10" s="25">
        <v>41890</v>
      </c>
      <c r="H10" s="25">
        <v>41775</v>
      </c>
      <c r="I10" s="44" t="s">
        <v>81</v>
      </c>
      <c r="J10" s="25">
        <v>41785</v>
      </c>
      <c r="K10" s="25">
        <v>41781</v>
      </c>
      <c r="L10" s="25">
        <v>41844</v>
      </c>
      <c r="M10" s="25">
        <v>41897</v>
      </c>
      <c r="N10" s="25">
        <v>41893</v>
      </c>
      <c r="O10" s="25">
        <v>41795</v>
      </c>
      <c r="P10" s="25">
        <v>41890</v>
      </c>
      <c r="Q10" s="25">
        <v>42138</v>
      </c>
      <c r="R10" s="25">
        <v>42033</v>
      </c>
      <c r="S10" s="25">
        <v>42038</v>
      </c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>
      <c r="B11">
        <v>224</v>
      </c>
      <c r="C11" t="s">
        <v>72</v>
      </c>
      <c r="D11" s="19">
        <v>2</v>
      </c>
      <c r="E11" s="25">
        <v>41781</v>
      </c>
      <c r="F11" s="25">
        <v>41785</v>
      </c>
      <c r="I11" t="s">
        <v>57</v>
      </c>
      <c r="J11" s="25">
        <v>41793</v>
      </c>
      <c r="L11" s="25">
        <v>41852</v>
      </c>
      <c r="N11" s="25">
        <v>41901</v>
      </c>
      <c r="O11" s="25">
        <v>41879</v>
      </c>
      <c r="P11" s="25">
        <v>41890</v>
      </c>
      <c r="Q11" s="25">
        <v>42146</v>
      </c>
      <c r="T11" t="s">
        <v>71</v>
      </c>
      <c r="U11" s="12">
        <v>42306</v>
      </c>
    </row>
    <row r="12" spans="2:48">
      <c r="B12">
        <v>224</v>
      </c>
      <c r="C12" t="s">
        <v>72</v>
      </c>
      <c r="D12" s="19">
        <v>3</v>
      </c>
      <c r="E12" s="25">
        <v>41794</v>
      </c>
      <c r="F12" s="25">
        <v>41796</v>
      </c>
      <c r="I12" t="s">
        <v>57</v>
      </c>
      <c r="J12" s="25">
        <v>41806</v>
      </c>
      <c r="L12" s="25">
        <v>41865</v>
      </c>
      <c r="N12" s="25">
        <v>41914</v>
      </c>
      <c r="O12" s="25">
        <v>41963</v>
      </c>
      <c r="P12" s="25">
        <v>41982</v>
      </c>
      <c r="Q12" s="25">
        <v>42159</v>
      </c>
      <c r="R12" s="25">
        <v>41963</v>
      </c>
      <c r="S12" s="25">
        <v>41967</v>
      </c>
      <c r="T12" t="s">
        <v>71</v>
      </c>
      <c r="U12" s="12">
        <v>42306</v>
      </c>
    </row>
    <row r="13" spans="2:48">
      <c r="B13">
        <v>224</v>
      </c>
      <c r="C13" t="s">
        <v>72</v>
      </c>
      <c r="D13" s="19">
        <v>4</v>
      </c>
      <c r="E13" s="25">
        <v>41921</v>
      </c>
      <c r="F13" s="25">
        <v>41925</v>
      </c>
      <c r="G13" s="25">
        <v>41933</v>
      </c>
      <c r="H13" s="25">
        <v>41926</v>
      </c>
      <c r="I13" t="s">
        <v>85</v>
      </c>
      <c r="J13" s="25">
        <v>41933</v>
      </c>
      <c r="K13" s="25">
        <v>41933</v>
      </c>
      <c r="L13" s="25">
        <v>41992</v>
      </c>
      <c r="M13" s="25">
        <v>41970</v>
      </c>
      <c r="N13" s="25">
        <v>42041</v>
      </c>
      <c r="O13" s="25">
        <v>41975</v>
      </c>
      <c r="P13" s="25">
        <v>41982</v>
      </c>
      <c r="Q13" s="25">
        <v>42286</v>
      </c>
      <c r="T13" t="s">
        <v>71</v>
      </c>
      <c r="U13" s="12">
        <v>42306</v>
      </c>
    </row>
    <row r="14" spans="2:48">
      <c r="B14">
        <v>224</v>
      </c>
      <c r="C14" t="s">
        <v>72</v>
      </c>
      <c r="D14" s="19">
        <v>5</v>
      </c>
      <c r="E14" s="25">
        <v>41925</v>
      </c>
      <c r="F14" s="25">
        <v>41929</v>
      </c>
      <c r="G14" s="25">
        <v>41929</v>
      </c>
      <c r="H14" s="25">
        <v>41929</v>
      </c>
      <c r="I14" t="s">
        <v>80</v>
      </c>
      <c r="J14" s="25">
        <v>41937</v>
      </c>
      <c r="K14" s="25">
        <v>42051</v>
      </c>
      <c r="L14" s="25">
        <v>41996</v>
      </c>
      <c r="M14" s="25">
        <v>42081</v>
      </c>
      <c r="N14" s="25">
        <v>42045</v>
      </c>
      <c r="Q14" s="25">
        <v>42290</v>
      </c>
      <c r="T14" t="s">
        <v>71</v>
      </c>
      <c r="U14" s="12">
        <v>42306</v>
      </c>
    </row>
    <row r="15" spans="2:48">
      <c r="B15">
        <v>224</v>
      </c>
      <c r="C15" t="s">
        <v>72</v>
      </c>
      <c r="D15" s="19">
        <v>6</v>
      </c>
      <c r="I15" t="s">
        <v>57</v>
      </c>
      <c r="T15" t="s">
        <v>71</v>
      </c>
      <c r="U15" s="12">
        <v>42306</v>
      </c>
    </row>
    <row r="16" spans="2:48">
      <c r="B16">
        <v>224</v>
      </c>
      <c r="C16" t="s">
        <v>72</v>
      </c>
      <c r="D16" s="19">
        <v>7</v>
      </c>
      <c r="E16" s="25">
        <v>41977</v>
      </c>
      <c r="F16" s="25">
        <v>41982</v>
      </c>
      <c r="G16" s="25">
        <v>41984</v>
      </c>
      <c r="H16" s="25">
        <v>41984</v>
      </c>
      <c r="I16" t="s">
        <v>86</v>
      </c>
      <c r="J16" s="25">
        <v>41989</v>
      </c>
      <c r="K16" s="25">
        <v>42011</v>
      </c>
      <c r="L16" s="25">
        <v>42048</v>
      </c>
      <c r="M16" s="25">
        <v>42054</v>
      </c>
      <c r="N16" s="25">
        <v>42097</v>
      </c>
      <c r="O16" s="25">
        <v>42065</v>
      </c>
      <c r="P16" s="25">
        <v>42072</v>
      </c>
      <c r="Q16" s="25">
        <v>42342</v>
      </c>
      <c r="T16" t="s">
        <v>71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Secteur DE0404</vt:lpstr>
      <vt:lpstr>00213531</vt:lpstr>
      <vt:lpstr>04014993</vt:lpstr>
      <vt:lpstr>02565942</vt:lpstr>
      <vt:lpstr>03479122</vt:lpstr>
      <vt:lpstr>03787060</vt:lpstr>
      <vt:lpstr>07990588</vt:lpstr>
      <vt:lpstr>06391175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2015-10-29T22:03:06Z</dcterms:modified>
</cp:coreProperties>
</file>