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207" sheetId="1" r:id="rId1"/>
    <sheet name="04373313" sheetId="4" r:id="rId2"/>
    <sheet name="05064115" sheetId="5" r:id="rId3"/>
    <sheet name="07412685" sheetId="2" r:id="rId4"/>
    <sheet name="09310360" sheetId="3" r:id="rId5"/>
  </sheets>
  <definedNames>
    <definedName name="Lancer_la_requête_à_partir_de_MS_Access_Database" localSheetId="1" hidden="1">'04373313'!$B$9:$U$12</definedName>
    <definedName name="Lancer_la_requête_à_partir_de_MS_Access_Database" localSheetId="2" hidden="1">'05064115'!$B$9:$U$12</definedName>
    <definedName name="Lancer_la_requête_à_partir_de_MS_Access_Database" localSheetId="3" hidden="1">'07412685'!$B$9:$U$12</definedName>
    <definedName name="Lancer_la_requête_à_partir_de_MS_Access_Database" localSheetId="4" hidden="1">'09310360'!$B$9:$U$12</definedName>
    <definedName name="Lancer_la_requête_à_partir_de_MS_Access_Database_1" localSheetId="0" hidden="1">'Secteur DE0207'!$A$7:$K$11</definedName>
  </definedNames>
  <calcPr calcId="125725"/>
</workbook>
</file>

<file path=xl/calcChain.xml><?xml version="1.0" encoding="utf-8"?>
<calcChain xmlns="http://schemas.openxmlformats.org/spreadsheetml/2006/main">
  <c r="D12" i="1"/>
  <c r="E12"/>
  <c r="F12"/>
  <c r="G12"/>
  <c r="H12"/>
  <c r="I12"/>
  <c r="N4" i="5"/>
  <c r="M4"/>
  <c r="F4"/>
  <c r="N4" i="4"/>
  <c r="M4"/>
  <c r="F4"/>
  <c r="N4" i="3" l="1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7')_x000d__x000a_ORDER BY Req_REPORT_SECTEURS_GLOBAL.Medecin"/>
  </connection>
  <connection id="2" name="Lancer la requête à partir de MS Access Database0437331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73313')"/>
  </connection>
  <connection id="3" name="Lancer la requête à partir de MS Access Database0506411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064115')"/>
  </connection>
  <connection id="4" name="Lancer la requête à partir de MS Access Database074126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412685')"/>
  </connection>
  <connection id="5" name="Lancer la requête à partir de MS Access Database0931036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310360')"/>
  </connection>
</connections>
</file>

<file path=xl/sharedStrings.xml><?xml version="1.0" encoding="utf-8"?>
<sst xmlns="http://schemas.openxmlformats.org/spreadsheetml/2006/main" count="253" uniqueCount="72">
  <si>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</si>
  <si>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</si>
  <si>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</si>
  <si>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</si>
  <si>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</si>
  <si>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</si>
  <si>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</si>
  <si>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</si>
  <si>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</si>
  <si>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</si>
  <si>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</si>
  <si>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</si>
  <si>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</si>
  <si>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</si>
  <si>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</si>
  <si>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</si>
  <si>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</si>
  <si>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</si>
  <si>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</si>
  <si>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</si>
  <si>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</si>
  <si>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</si>
  <si>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</si>
  <si>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</si>
  <si>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</si>
  <si>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</si>
  <si>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</si>
  <si>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</si>
  <si>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</si>
  <si>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</si>
  <si>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</si>
  <si>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</si>
  <si>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</si>
  <si>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</si>
  <si>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</si>
  <si>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</si>
  <si>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</si>
  <si>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</si>
  <si>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</si>
  <si>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</si>
  <si>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</si>
  <si>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</si>
  <si>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</si>
  <si>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</si>
  <si>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</si>
  <si>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</si>
  <si>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</si>
  <si>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</si>
  <si>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</si>
  <si>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</si>
  <si>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</si>
  <si>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</si>
  <si>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</si>
  <si>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</si>
  <si>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</si>
  <si>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</si>
  <si>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</si>
  <si>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</si>
  <si>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</si>
  <si>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DE0207</t>
  </si>
  <si>
    <t>MAURICE Marc</t>
  </si>
  <si>
    <t>WFRM07412685</t>
  </si>
  <si>
    <t>POENSIN Dominique</t>
  </si>
  <si>
    <t>WFRM09310360</t>
  </si>
  <si>
    <t>VULLIET Jean</t>
  </si>
  <si>
    <t>WFRM04373313</t>
  </si>
  <si>
    <t>GUILLOT Bernard</t>
  </si>
  <si>
    <t>20juin: Abandonne car trop lourd pour les patients + surcharge de travail.En a informé  Mr Platini directeur regionnal</t>
  </si>
  <si>
    <t>Courrier - Téléphone</t>
  </si>
  <si>
    <t>Via médecin</t>
  </si>
  <si>
    <t>WFRM05064115</t>
  </si>
  <si>
    <t>KUENTZ Philippe</t>
  </si>
</sst>
</file>

<file path=xl/styles.xml><?xml version="1.0" encoding="utf-8"?>
<styleSheet xmlns="http://schemas.openxmlformats.org/spreadsheetml/2006/main">
  <numFmts count="1">
    <numFmt numFmtId="164" formatCode="dd/mm/yy;@"/>
  </numFmts>
  <fonts count="25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1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NumberFormat="1" applyBorder="1" applyAlignment="1">
      <alignment horizontal="center"/>
    </xf>
    <xf numFmtId="0" fontId="18" fillId="2" borderId="0" xfId="0" applyFont="1" applyFill="1" applyAlignment="1">
      <alignment horizontal="center" vertical="center" wrapText="1"/>
    </xf>
    <xf numFmtId="0" fontId="5" fillId="2" borderId="0" xfId="1" applyFont="1" applyFill="1" applyAlignment="1">
      <alignment horizontal="left" vertical="center" wrapText="1"/>
    </xf>
    <xf numFmtId="0" fontId="5" fillId="2" borderId="0" xfId="1" applyFont="1" applyFill="1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22" fontId="0" fillId="0" borderId="0" xfId="0" applyNumberFormat="1" applyAlignment="1">
      <alignment vertical="center" wrapText="1"/>
    </xf>
    <xf numFmtId="22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22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alignment horizontal="general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0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RowStripe" dxfId="116"/>
      <tableStyleElement type="secondRowStripe" dxfId="115"/>
      <tableStyleElement type="firstColumnStripe" dxfId="114"/>
      <tableStyleElement type="secondColumnStripe" dxfId="113"/>
    </tableStyle>
    <tableStyle name="TableStyleLight8 2" pivot="0" count="9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2" tableType="queryTable" totalsRowCount="1" headerRowDxfId="103" dataDxfId="102">
  <tableColumns count="11">
    <tableColumn id="1" uniqueName="1" name="Code Secteur" queryTableFieldId="1" dataDxfId="90" totalsRowDxfId="91"/>
    <tableColumn id="2" uniqueName="2" name="VM" queryTableFieldId="2" dataDxfId="89" totalsRowDxfId="92"/>
    <tableColumn id="3" uniqueName="3" name="Code médecin" totalsRowLabel="TOTAL" queryTableFieldId="3" dataDxfId="88" totalsRowDxfId="93" dataCellStyle="Lien hypertexte"/>
    <tableColumn id="4" uniqueName="4" name="Medecin" totalsRowFunction="custom" queryTableFieldId="4" dataDxfId="87" totalsRowDxfId="94">
      <totalsRowFormula>SUBTOTAL(3,D8:D11)</totalsRowFormula>
    </tableColumn>
    <tableColumn id="5" uniqueName="5" name="Date de réception convention financière" totalsRowFunction="custom" queryTableFieldId="5" dataDxfId="86" totalsRowDxfId="95">
      <totalsRowFormula>SUBTOTAL(3,[Date de réception convention financière])</totalsRowFormula>
    </tableColumn>
    <tableColumn id="6" uniqueName="6" name="Date de réception AR kit" totalsRowFunction="custom" queryTableFieldId="6" dataDxfId="85" totalsRowDxfId="96">
      <totalsRowFormula>SUBTOTAL(3,[Date de réception AR kit])</totalsRowFormula>
    </tableColumn>
    <tableColumn id="7" uniqueName="7" name="Date de MEP" totalsRowFunction="custom" queryTableFieldId="7" dataDxfId="84" totalsRowDxfId="97">
      <totalsRowFormula>SUBTOTAL(3,[Date de MEP])</totalsRowFormula>
    </tableColumn>
    <tableColumn id="8" uniqueName="8" name="Desistement" totalsRowFunction="custom" queryTableFieldId="8" dataDxfId="83" totalsRowDxfId="98">
      <totalsRowFormula>SUBTOTAL(3,[Desistement])</totalsRowFormula>
    </tableColumn>
    <tableColumn id="9" uniqueName="9" name="Nb Total Patients inclus" totalsRowFunction="custom" queryTableFieldId="9" dataDxfId="82" totalsRowDxfId="99">
      <totalsRowFormula>SUBTOTAL(109,I8:I11)</totalsRowFormula>
    </tableColumn>
    <tableColumn id="10" uniqueName="10" name="Comptes-rendus contact médecin-GECEM" queryTableFieldId="10" dataDxfId="81" totalsRowDxfId="100"/>
    <tableColumn id="11" uniqueName="11" name="Date" queryTableFieldId="11" dataDxfId="80" totalsRowDxfId="10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4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style="87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J1" s="82"/>
      <c r="K1" s="2"/>
    </row>
    <row r="2" spans="1:17" s="3" customFormat="1" ht="15.75">
      <c r="C2" s="17"/>
      <c r="D2" s="4"/>
      <c r="E2" s="11" t="s">
        <v>13</v>
      </c>
      <c r="F2" s="30" t="str">
        <f>$A$11</f>
        <v>DE0207</v>
      </c>
      <c r="G2" s="94" t="str">
        <f>$B$11</f>
        <v>MAURICE Marc</v>
      </c>
      <c r="H2" s="94"/>
      <c r="I2" s="94"/>
      <c r="J2" s="8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$K$11</f>
        <v>42306</v>
      </c>
      <c r="E3" s="22"/>
      <c r="F3" s="22"/>
      <c r="G3" s="22"/>
      <c r="H3" s="22"/>
      <c r="I3" s="17"/>
      <c r="J3" s="82"/>
      <c r="K3" s="2"/>
    </row>
    <row r="4" spans="1:17" s="3" customFormat="1">
      <c r="C4" s="17"/>
      <c r="D4" s="4"/>
      <c r="E4" s="22"/>
      <c r="F4" s="22"/>
      <c r="G4" s="22"/>
      <c r="H4" s="22"/>
      <c r="I4" s="17"/>
      <c r="J4" s="82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83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84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74" customFormat="1">
      <c r="A8" s="74" t="s">
        <v>59</v>
      </c>
      <c r="B8" s="74" t="s">
        <v>60</v>
      </c>
      <c r="C8" s="75" t="s">
        <v>65</v>
      </c>
      <c r="D8" s="76" t="s">
        <v>66</v>
      </c>
      <c r="E8" s="77">
        <v>41787</v>
      </c>
      <c r="F8" s="77">
        <v>41824</v>
      </c>
      <c r="G8" s="77">
        <v>41821</v>
      </c>
      <c r="H8" s="77"/>
      <c r="I8" s="78">
        <v>3</v>
      </c>
      <c r="J8" s="85"/>
      <c r="K8" s="79">
        <v>42306</v>
      </c>
    </row>
    <row r="9" spans="1:17" s="74" customFormat="1">
      <c r="A9" s="74" t="s">
        <v>59</v>
      </c>
      <c r="B9" s="74" t="s">
        <v>60</v>
      </c>
      <c r="C9" s="75" t="s">
        <v>70</v>
      </c>
      <c r="D9" s="76" t="s">
        <v>71</v>
      </c>
      <c r="E9" s="77">
        <v>41942</v>
      </c>
      <c r="F9" s="77">
        <v>41967</v>
      </c>
      <c r="G9" s="77">
        <v>41962</v>
      </c>
      <c r="H9" s="77"/>
      <c r="I9" s="78"/>
      <c r="J9" s="85"/>
      <c r="K9" s="79">
        <v>42306</v>
      </c>
    </row>
    <row r="10" spans="1:17" s="74" customFormat="1">
      <c r="A10" s="74" t="s">
        <v>59</v>
      </c>
      <c r="B10" s="74" t="s">
        <v>60</v>
      </c>
      <c r="C10" s="75" t="s">
        <v>61</v>
      </c>
      <c r="D10" s="76" t="s">
        <v>62</v>
      </c>
      <c r="E10" s="77">
        <v>41698</v>
      </c>
      <c r="F10" s="77">
        <v>41747</v>
      </c>
      <c r="G10" s="77">
        <v>41744</v>
      </c>
      <c r="H10" s="77"/>
      <c r="I10" s="78">
        <v>2</v>
      </c>
      <c r="J10" s="85"/>
      <c r="K10" s="79">
        <v>42306</v>
      </c>
    </row>
    <row r="11" spans="1:17" ht="30">
      <c r="A11" s="74" t="s">
        <v>59</v>
      </c>
      <c r="B11" s="74" t="s">
        <v>60</v>
      </c>
      <c r="C11" s="75" t="s">
        <v>63</v>
      </c>
      <c r="D11" s="76" t="s">
        <v>64</v>
      </c>
      <c r="E11" s="77">
        <v>41696</v>
      </c>
      <c r="F11" s="77">
        <v>41759</v>
      </c>
      <c r="G11" s="77">
        <v>41757</v>
      </c>
      <c r="H11" s="77">
        <v>41810</v>
      </c>
      <c r="I11" s="78"/>
      <c r="J11" s="85" t="s">
        <v>67</v>
      </c>
      <c r="K11" s="79">
        <v>42306</v>
      </c>
    </row>
    <row r="12" spans="1:17">
      <c r="A12" s="28"/>
      <c r="B12" s="28"/>
      <c r="C12" s="27" t="s">
        <v>15</v>
      </c>
      <c r="D12" s="32">
        <f>SUBTOTAL(3,D8:D11)</f>
        <v>4</v>
      </c>
      <c r="E12" s="32">
        <f>SUBTOTAL(3,[Date de réception convention financière])</f>
        <v>4</v>
      </c>
      <c r="F12" s="32">
        <f>SUBTOTAL(3,[Date de réception AR kit])</f>
        <v>4</v>
      </c>
      <c r="G12" s="32">
        <f>SUBTOTAL(3,[Date de MEP])</f>
        <v>4</v>
      </c>
      <c r="H12" s="80">
        <f>SUBTOTAL(3,[Desistement])</f>
        <v>1</v>
      </c>
      <c r="I12" s="27">
        <f>SUBTOTAL(109,I8:I11)</f>
        <v>5</v>
      </c>
      <c r="J12" s="86"/>
      <c r="K12" s="31"/>
    </row>
    <row r="13" spans="1:17">
      <c r="D13" s="10"/>
      <c r="J13" s="85"/>
    </row>
    <row r="14" spans="1:17">
      <c r="C14" s="26" t="s">
        <v>14</v>
      </c>
    </row>
  </sheetData>
  <mergeCells count="1">
    <mergeCell ref="G2:I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97"/>
      <c r="M3" s="97"/>
      <c r="N3" s="97"/>
      <c r="O3" s="70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98" t="s">
        <v>58</v>
      </c>
      <c r="E4" s="98"/>
      <c r="F4" s="52">
        <f>$U$12</f>
        <v>42306</v>
      </c>
      <c r="G4" s="49"/>
      <c r="H4" s="49"/>
      <c r="I4" s="33"/>
      <c r="J4" s="49"/>
      <c r="K4" s="49"/>
      <c r="L4" s="71" t="s">
        <v>17</v>
      </c>
      <c r="M4" s="62">
        <f>$B$12</f>
        <v>358</v>
      </c>
      <c r="N4" s="99" t="str">
        <f>$C$12</f>
        <v>GUILLOT Bernard</v>
      </c>
      <c r="O4" s="99"/>
      <c r="P4" s="99"/>
      <c r="Q4" s="99"/>
      <c r="R4" s="99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00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02" t="s">
        <v>19</v>
      </c>
      <c r="F7" s="103"/>
      <c r="G7" s="103"/>
      <c r="H7" s="103"/>
      <c r="I7" s="103"/>
      <c r="J7" s="104" t="s">
        <v>20</v>
      </c>
      <c r="K7" s="105"/>
      <c r="L7" s="106" t="s">
        <v>21</v>
      </c>
      <c r="M7" s="106"/>
      <c r="N7" s="107" t="s">
        <v>22</v>
      </c>
      <c r="O7" s="108"/>
      <c r="P7" s="109"/>
      <c r="Q7" s="110" t="s">
        <v>23</v>
      </c>
      <c r="R7" s="108"/>
      <c r="S7" s="109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73" t="s">
        <v>32</v>
      </c>
      <c r="M8" s="73" t="s">
        <v>31</v>
      </c>
      <c r="N8" s="72" t="s">
        <v>33</v>
      </c>
      <c r="O8" s="72" t="s">
        <v>34</v>
      </c>
      <c r="P8" s="72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358</v>
      </c>
      <c r="C10" s="41" t="s">
        <v>66</v>
      </c>
      <c r="D10" s="19">
        <v>1</v>
      </c>
      <c r="E10" s="25">
        <v>41843</v>
      </c>
      <c r="F10" s="25">
        <v>41848</v>
      </c>
      <c r="G10" s="25">
        <v>41967</v>
      </c>
      <c r="H10" s="25">
        <v>41845</v>
      </c>
      <c r="I10" s="69" t="s">
        <v>69</v>
      </c>
      <c r="J10" s="25">
        <v>41855</v>
      </c>
      <c r="K10" s="25">
        <v>41855</v>
      </c>
      <c r="L10" s="25">
        <v>41914</v>
      </c>
      <c r="M10" s="25">
        <v>41906</v>
      </c>
      <c r="N10" s="25">
        <v>41963</v>
      </c>
      <c r="O10" s="25">
        <v>41904</v>
      </c>
      <c r="P10" s="25">
        <v>41906</v>
      </c>
      <c r="Q10" s="25">
        <v>42208</v>
      </c>
      <c r="R10" s="25"/>
      <c r="S10" s="25"/>
      <c r="T10" s="41" t="s">
        <v>65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42">
        <v>358</v>
      </c>
      <c r="C11" s="81" t="s">
        <v>66</v>
      </c>
      <c r="D11" s="19">
        <v>2</v>
      </c>
      <c r="E11" s="25">
        <v>41857</v>
      </c>
      <c r="F11" s="25">
        <v>41859</v>
      </c>
      <c r="G11" s="25">
        <v>41943</v>
      </c>
      <c r="H11" s="25">
        <v>41859</v>
      </c>
      <c r="I11" s="69" t="s">
        <v>69</v>
      </c>
      <c r="J11" s="25">
        <v>41869</v>
      </c>
      <c r="K11" s="25">
        <v>41869</v>
      </c>
      <c r="L11" s="25">
        <v>41928</v>
      </c>
      <c r="M11" s="25">
        <v>41943</v>
      </c>
      <c r="N11" s="25">
        <v>41977</v>
      </c>
      <c r="O11" s="25">
        <v>41940</v>
      </c>
      <c r="P11" s="25">
        <v>41943</v>
      </c>
      <c r="Q11" s="25">
        <v>42222</v>
      </c>
      <c r="T11" s="81" t="s">
        <v>65</v>
      </c>
      <c r="U11" s="12">
        <v>42306</v>
      </c>
    </row>
    <row r="12" spans="2:48" ht="25.5">
      <c r="B12" s="42">
        <v>358</v>
      </c>
      <c r="C12" s="81" t="s">
        <v>66</v>
      </c>
      <c r="D12" s="19">
        <v>3</v>
      </c>
      <c r="E12" s="25">
        <v>41905</v>
      </c>
      <c r="F12" s="25">
        <v>41906</v>
      </c>
      <c r="G12" s="25">
        <v>41967</v>
      </c>
      <c r="H12" s="25">
        <v>41906</v>
      </c>
      <c r="I12" s="69" t="s">
        <v>69</v>
      </c>
      <c r="J12" s="25">
        <v>41917</v>
      </c>
      <c r="K12" s="25">
        <v>41913</v>
      </c>
      <c r="L12" s="25">
        <v>41976</v>
      </c>
      <c r="M12" s="25">
        <v>41967</v>
      </c>
      <c r="N12" s="25">
        <v>42025</v>
      </c>
      <c r="O12" s="25">
        <v>41963</v>
      </c>
      <c r="P12" s="25">
        <v>41967</v>
      </c>
      <c r="Q12" s="25">
        <v>42270</v>
      </c>
      <c r="T12" s="81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>
      <selection activeCell="G21" sqref="G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97"/>
      <c r="M3" s="97"/>
      <c r="N3" s="97"/>
      <c r="O3" s="88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98" t="s">
        <v>58</v>
      </c>
      <c r="E4" s="98"/>
      <c r="F4" s="52">
        <f>$U$12</f>
        <v>42306</v>
      </c>
      <c r="G4" s="49"/>
      <c r="H4" s="49"/>
      <c r="I4" s="33"/>
      <c r="J4" s="49"/>
      <c r="K4" s="49"/>
      <c r="L4" s="89" t="s">
        <v>17</v>
      </c>
      <c r="M4" s="62">
        <f>$B$12</f>
        <v>433</v>
      </c>
      <c r="N4" s="99" t="str">
        <f>$C$12</f>
        <v>KUENTZ Philippe</v>
      </c>
      <c r="O4" s="99"/>
      <c r="P4" s="99"/>
      <c r="Q4" s="99"/>
      <c r="R4" s="99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00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02" t="s">
        <v>19</v>
      </c>
      <c r="F7" s="103"/>
      <c r="G7" s="103"/>
      <c r="H7" s="103"/>
      <c r="I7" s="103"/>
      <c r="J7" s="104" t="s">
        <v>20</v>
      </c>
      <c r="K7" s="105"/>
      <c r="L7" s="106" t="s">
        <v>21</v>
      </c>
      <c r="M7" s="106"/>
      <c r="N7" s="107" t="s">
        <v>22</v>
      </c>
      <c r="O7" s="108"/>
      <c r="P7" s="109"/>
      <c r="Q7" s="110" t="s">
        <v>23</v>
      </c>
      <c r="R7" s="108"/>
      <c r="S7" s="109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91" t="s">
        <v>32</v>
      </c>
      <c r="M8" s="91" t="s">
        <v>31</v>
      </c>
      <c r="N8" s="90" t="s">
        <v>33</v>
      </c>
      <c r="O8" s="90" t="s">
        <v>34</v>
      </c>
      <c r="P8" s="9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433</v>
      </c>
      <c r="C10" s="41" t="s">
        <v>71</v>
      </c>
      <c r="D10" s="19">
        <v>1</v>
      </c>
      <c r="E10" s="25"/>
      <c r="F10" s="25"/>
      <c r="G10" s="25"/>
      <c r="H10" s="25"/>
      <c r="I10" s="69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70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92">
        <v>433</v>
      </c>
      <c r="C11" s="93" t="s">
        <v>71</v>
      </c>
      <c r="D11" s="19">
        <v>2</v>
      </c>
      <c r="I11" s="69" t="s">
        <v>57</v>
      </c>
      <c r="T11" s="93" t="s">
        <v>70</v>
      </c>
      <c r="U11" s="12">
        <v>42306</v>
      </c>
    </row>
    <row r="12" spans="2:48" ht="25.5">
      <c r="B12" s="92">
        <v>433</v>
      </c>
      <c r="C12" s="93" t="s">
        <v>71</v>
      </c>
      <c r="D12" s="19">
        <v>3</v>
      </c>
      <c r="I12" s="69" t="s">
        <v>57</v>
      </c>
      <c r="T12" s="93" t="s">
        <v>70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97"/>
      <c r="M3" s="97"/>
      <c r="N3" s="97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98" t="s">
        <v>58</v>
      </c>
      <c r="E4" s="98"/>
      <c r="F4" s="52">
        <f>$U$12</f>
        <v>42306</v>
      </c>
      <c r="G4" s="49"/>
      <c r="H4" s="49"/>
      <c r="I4" s="33"/>
      <c r="J4" s="49"/>
      <c r="K4" s="49"/>
      <c r="L4" s="56" t="s">
        <v>17</v>
      </c>
      <c r="M4" s="62">
        <f>$B$12</f>
        <v>137</v>
      </c>
      <c r="N4" s="99" t="str">
        <f>$C$12</f>
        <v>POENSIN Dominique</v>
      </c>
      <c r="O4" s="99"/>
      <c r="P4" s="99"/>
      <c r="Q4" s="99"/>
      <c r="R4" s="99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00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02" t="s">
        <v>19</v>
      </c>
      <c r="F7" s="103"/>
      <c r="G7" s="103"/>
      <c r="H7" s="103"/>
      <c r="I7" s="103"/>
      <c r="J7" s="104" t="s">
        <v>20</v>
      </c>
      <c r="K7" s="105"/>
      <c r="L7" s="106" t="s">
        <v>21</v>
      </c>
      <c r="M7" s="106"/>
      <c r="N7" s="107" t="s">
        <v>22</v>
      </c>
      <c r="O7" s="108"/>
      <c r="P7" s="109"/>
      <c r="Q7" s="110" t="s">
        <v>23</v>
      </c>
      <c r="R7" s="108"/>
      <c r="S7" s="109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59" t="s">
        <v>32</v>
      </c>
      <c r="M8" s="59" t="s">
        <v>31</v>
      </c>
      <c r="N8" s="60" t="s">
        <v>33</v>
      </c>
      <c r="O8" s="60" t="s">
        <v>34</v>
      </c>
      <c r="P8" s="6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137</v>
      </c>
      <c r="C10" s="41" t="s">
        <v>62</v>
      </c>
      <c r="D10" s="19">
        <v>1</v>
      </c>
      <c r="E10" s="25">
        <v>41774</v>
      </c>
      <c r="F10" s="25">
        <v>41781</v>
      </c>
      <c r="G10" s="25">
        <v>41781</v>
      </c>
      <c r="H10" s="25">
        <v>41796</v>
      </c>
      <c r="I10" s="43" t="s">
        <v>68</v>
      </c>
      <c r="J10" s="25">
        <v>41786</v>
      </c>
      <c r="K10" s="25">
        <v>41803</v>
      </c>
      <c r="L10" s="25">
        <v>41845</v>
      </c>
      <c r="M10" s="25">
        <v>41857</v>
      </c>
      <c r="N10" s="25">
        <v>41894</v>
      </c>
      <c r="O10" s="25"/>
      <c r="P10" s="25"/>
      <c r="Q10" s="25">
        <v>42139</v>
      </c>
      <c r="R10" s="25"/>
      <c r="S10" s="25"/>
      <c r="T10" s="41" t="s">
        <v>61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67">
        <v>137</v>
      </c>
      <c r="C11" s="68" t="s">
        <v>62</v>
      </c>
      <c r="D11" s="19">
        <v>2</v>
      </c>
      <c r="E11" s="25">
        <v>41829</v>
      </c>
      <c r="F11" s="25">
        <v>41831</v>
      </c>
      <c r="G11" s="25">
        <v>41831</v>
      </c>
      <c r="I11" s="69" t="s">
        <v>57</v>
      </c>
      <c r="J11" s="25">
        <v>41841</v>
      </c>
      <c r="L11" s="25">
        <v>41900</v>
      </c>
      <c r="N11" s="25">
        <v>41949</v>
      </c>
      <c r="Q11" s="25">
        <v>42194</v>
      </c>
      <c r="T11" s="68" t="s">
        <v>61</v>
      </c>
      <c r="U11" s="12">
        <v>42306</v>
      </c>
    </row>
    <row r="12" spans="2:48" ht="25.5">
      <c r="B12" s="67">
        <v>137</v>
      </c>
      <c r="C12" s="68" t="s">
        <v>62</v>
      </c>
      <c r="D12" s="19">
        <v>3</v>
      </c>
      <c r="I12" s="69" t="s">
        <v>57</v>
      </c>
      <c r="T12" s="68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95" t="s">
        <v>16</v>
      </c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97"/>
      <c r="M3" s="97"/>
      <c r="N3" s="97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98" t="s">
        <v>58</v>
      </c>
      <c r="E4" s="98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138</v>
      </c>
      <c r="N4" s="99" t="str">
        <f>$C$12</f>
        <v>VULLIET Jean</v>
      </c>
      <c r="O4" s="99"/>
      <c r="P4" s="99"/>
      <c r="Q4" s="99"/>
      <c r="R4" s="99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00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02" t="s">
        <v>19</v>
      </c>
      <c r="F7" s="103"/>
      <c r="G7" s="103"/>
      <c r="H7" s="103"/>
      <c r="I7" s="103"/>
      <c r="J7" s="104" t="s">
        <v>20</v>
      </c>
      <c r="K7" s="105"/>
      <c r="L7" s="106" t="s">
        <v>21</v>
      </c>
      <c r="M7" s="106"/>
      <c r="N7" s="107" t="s">
        <v>22</v>
      </c>
      <c r="O7" s="108"/>
      <c r="P7" s="109"/>
      <c r="Q7" s="110" t="s">
        <v>23</v>
      </c>
      <c r="R7" s="108"/>
      <c r="S7" s="109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138</v>
      </c>
      <c r="C10" s="41" t="s">
        <v>64</v>
      </c>
      <c r="D10" s="19">
        <v>1</v>
      </c>
      <c r="E10" s="25"/>
      <c r="F10" s="25"/>
      <c r="G10" s="25"/>
      <c r="H10" s="25"/>
      <c r="I10" s="4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63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67">
        <v>138</v>
      </c>
      <c r="C11" s="68" t="s">
        <v>64</v>
      </c>
      <c r="D11" s="19">
        <v>2</v>
      </c>
      <c r="I11" s="43" t="s">
        <v>57</v>
      </c>
      <c r="T11" s="68" t="s">
        <v>63</v>
      </c>
      <c r="U11" s="12">
        <v>42306</v>
      </c>
    </row>
    <row r="12" spans="2:48" ht="25.5">
      <c r="B12" s="67">
        <v>138</v>
      </c>
      <c r="C12" s="68" t="s">
        <v>64</v>
      </c>
      <c r="D12" s="19">
        <v>3</v>
      </c>
      <c r="I12" s="43" t="s">
        <v>57</v>
      </c>
      <c r="T12" s="68" t="s">
        <v>63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Secteur DE0207</vt:lpstr>
      <vt:lpstr>04373313</vt:lpstr>
      <vt:lpstr>05064115</vt:lpstr>
      <vt:lpstr>07412685</vt:lpstr>
      <vt:lpstr>09310360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2015-10-29T22:02:09Z</dcterms:modified>
</cp:coreProperties>
</file>