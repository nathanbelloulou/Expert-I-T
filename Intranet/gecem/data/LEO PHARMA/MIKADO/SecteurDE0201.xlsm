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6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833"/>
  </bookViews>
  <sheets>
    <sheet name="Secteur DE0201" sheetId="1" r:id="rId1"/>
    <sheet name="01637126" sheetId="15" r:id="rId2"/>
    <sheet name="02142586" sheetId="12" r:id="rId3"/>
    <sheet name="02743020" sheetId="11" r:id="rId4"/>
    <sheet name="03148652" sheetId="2" r:id="rId5"/>
    <sheet name="03294372" sheetId="10" r:id="rId6"/>
    <sheet name="03970575" sheetId="3" r:id="rId7"/>
    <sheet name="03185224" sheetId="16" r:id="rId8"/>
    <sheet name="09681711" sheetId="9" r:id="rId9"/>
    <sheet name="03607514" sheetId="4" r:id="rId10"/>
    <sheet name="04199643" sheetId="14" r:id="rId11"/>
    <sheet name="05757566" sheetId="5" r:id="rId12"/>
    <sheet name="05617096" sheetId="13" r:id="rId13"/>
    <sheet name="06542950" sheetId="6" r:id="rId14"/>
    <sheet name="06624975" sheetId="7" r:id="rId15"/>
    <sheet name="04685808" sheetId="8" r:id="rId16"/>
  </sheets>
  <definedNames>
    <definedName name="Lancer_la_requête_à_partir_de_MS_Access_Database" localSheetId="1" hidden="1">'01637126'!$B$9:$U$16</definedName>
    <definedName name="Lancer_la_requête_à_partir_de_MS_Access_Database" localSheetId="2" hidden="1">'02142586'!$B$9:$U$12</definedName>
    <definedName name="Lancer_la_requête_à_partir_de_MS_Access_Database" localSheetId="3" hidden="1">'02743020'!$B$9:$U$14</definedName>
    <definedName name="Lancer_la_requête_à_partir_de_MS_Access_Database" localSheetId="4" hidden="1">'03148652'!$B$9:$U$14</definedName>
    <definedName name="Lancer_la_requête_à_partir_de_MS_Access_Database" localSheetId="7" hidden="1">'03185224'!$B$9:$U$14</definedName>
    <definedName name="Lancer_la_requête_à_partir_de_MS_Access_Database" localSheetId="5" hidden="1">'03294372'!$B$9:$U$12</definedName>
    <definedName name="Lancer_la_requête_à_partir_de_MS_Access_Database" localSheetId="9" hidden="1">'03607514'!$B$9:$U$14</definedName>
    <definedName name="Lancer_la_requête_à_partir_de_MS_Access_Database" localSheetId="6" hidden="1">'03970575'!$B$9:$U$10</definedName>
    <definedName name="Lancer_la_requête_à_partir_de_MS_Access_Database" localSheetId="10" hidden="1">'04199643'!$B$9:$U$12</definedName>
    <definedName name="Lancer_la_requête_à_partir_de_MS_Access_Database" localSheetId="15" hidden="1">'04685808'!$B$9:$U$12</definedName>
    <definedName name="Lancer_la_requête_à_partir_de_MS_Access_Database" localSheetId="12" hidden="1">'05617096'!$B$9:$U$12</definedName>
    <definedName name="Lancer_la_requête_à_partir_de_MS_Access_Database" localSheetId="11" hidden="1">'05757566'!$B$9:$U$14</definedName>
    <definedName name="Lancer_la_requête_à_partir_de_MS_Access_Database" localSheetId="13" hidden="1">'06542950'!$B$9:$U$14</definedName>
    <definedName name="Lancer_la_requête_à_partir_de_MS_Access_Database" localSheetId="14" hidden="1">'06624975'!$B$9:$U$12</definedName>
    <definedName name="Lancer_la_requête_à_partir_de_MS_Access_Database" localSheetId="8" hidden="1">'09681711'!$B$9:$U$14</definedName>
    <definedName name="Lancer_la_requête_à_partir_de_MS_Access_Database_1" localSheetId="0" hidden="1">'Secteur DE0201'!$A$7:$K$22</definedName>
  </definedNames>
  <calcPr calcId="125725"/>
</workbook>
</file>

<file path=xl/calcChain.xml><?xml version="1.0" encoding="utf-8"?>
<calcChain xmlns="http://schemas.openxmlformats.org/spreadsheetml/2006/main">
  <c r="D23" i="1"/>
  <c r="E23"/>
  <c r="F23"/>
  <c r="G23"/>
  <c r="H23"/>
  <c r="I23"/>
  <c r="N4" i="16"/>
  <c r="M4"/>
  <c r="F4"/>
  <c r="N4" i="15"/>
  <c r="M4"/>
  <c r="F4"/>
  <c r="N4" i="14"/>
  <c r="M4"/>
  <c r="F4"/>
  <c r="N4" i="13"/>
  <c r="M4"/>
  <c r="F4"/>
  <c r="N4" i="12" l="1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201')_x000d__x000a_ORDER BY Req_REPORT_SECTEURS_GLOBAL.Medecin"/>
  </connection>
  <connection id="2" name="Lancer la requête à partir de MS Access Database0163712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637126')"/>
  </connection>
  <connection id="3" name="Lancer la requête à partir de MS Access Database0214258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142586')"/>
  </connection>
  <connection id="4" name="Lancer la requête à partir de MS Access Database027430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743020')"/>
  </connection>
  <connection id="5" name="Lancer la requête à partir de MS Access Database0314865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148652')"/>
  </connection>
  <connection id="6" name="Lancer la requête à partir de MS Access Database0318522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185224')"/>
  </connection>
  <connection id="7" name="Lancer la requête à partir de MS Access Database0329437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294372')"/>
  </connection>
  <connection id="8" name="Lancer la requête à partir de MS Access Database0360751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607514')"/>
  </connection>
  <connection id="9" name="Lancer la requête à partir de MS Access Database039705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970575')"/>
  </connection>
  <connection id="10" name="Lancer la requête à partir de MS Access Database0419964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199643')"/>
  </connection>
  <connection id="11" name="Lancer la requête à partir de MS Access Database0468580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685808')"/>
  </connection>
  <connection id="12" name="Lancer la requête à partir de MS Access Database0561709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17096')"/>
  </connection>
  <connection id="13" name="Lancer la requête à partir de MS Access Database0575756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757566')"/>
  </connection>
  <connection id="14" name="Lancer la requête à partir de MS Access Database065429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542950')"/>
  </connection>
  <connection id="15" name="Lancer la requête à partir de MS Access Database066249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624975')"/>
  </connection>
  <connection id="16" name="Lancer la requête à partir de MS Access Database0968171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681711')"/>
  </connection>
</connections>
</file>

<file path=xl/sharedStrings.xml><?xml version="1.0" encoding="utf-8"?>
<sst xmlns="http://schemas.openxmlformats.org/spreadsheetml/2006/main" count="967" uniqueCount="111">
  <si>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</si>
  <si>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</si>
  <si>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</si>
  <si>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</si>
  <si>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</si>
  <si>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</si>
  <si>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</si>
  <si>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</si>
  <si>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</si>
  <si>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</si>
  <si>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</si>
  <si>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</si>
  <si>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</si>
  <si>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</si>
  <si>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</si>
  <si>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</si>
  <si>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</si>
  <si>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</si>
  <si>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</si>
  <si>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</si>
  <si>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</si>
  <si>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</si>
  <si>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</si>
  <si>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</si>
  <si>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</si>
  <si>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</si>
  <si>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</si>
  <si>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</si>
  <si>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</si>
  <si>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</si>
  <si>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</si>
  <si>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</si>
  <si>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</si>
  <si>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</si>
  <si>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</si>
  <si>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</si>
  <si>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</si>
  <si>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</si>
  <si>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</si>
  <si>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</si>
  <si>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</si>
  <si>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</si>
  <si>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</si>
  <si>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</si>
  <si>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</si>
  <si>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</si>
  <si>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</si>
  <si>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</si>
  <si>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</si>
  <si>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</si>
  <si>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</si>
  <si>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</si>
  <si>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</si>
  <si>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</si>
  <si>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</si>
  <si>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</si>
  <si>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</si>
  <si>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</si>
  <si>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</si>
  <si>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DE0201</t>
  </si>
  <si>
    <t>BERKANE Mourad</t>
  </si>
  <si>
    <t>WFRM03148652</t>
  </si>
  <si>
    <t>DUPIN Emmanuel</t>
  </si>
  <si>
    <t>WFRM03970575</t>
  </si>
  <si>
    <t>GHNASSIA Anne-Martine</t>
  </si>
  <si>
    <t>WFRM03607514</t>
  </si>
  <si>
    <t>GROSIEUX-DAUGER Cécile</t>
  </si>
  <si>
    <t>WFRM05757566</t>
  </si>
  <si>
    <t>LAMI Marie-Christine</t>
  </si>
  <si>
    <t>WFRM06542950</t>
  </si>
  <si>
    <t>MOHN Catherine</t>
  </si>
  <si>
    <t>WFRM06624975</t>
  </si>
  <si>
    <t>MOREAU Eric</t>
  </si>
  <si>
    <t>WFRM04685808</t>
  </si>
  <si>
    <t>SAVIN Laurence</t>
  </si>
  <si>
    <t>WFRM09681711</t>
  </si>
  <si>
    <t>GOUTORBE Céline</t>
  </si>
  <si>
    <t>WFRM03294372</t>
  </si>
  <si>
    <t>ERNOUF Ennemond</t>
  </si>
  <si>
    <t>DELVINCOURT Christian</t>
  </si>
  <si>
    <t>WFRM02743020</t>
  </si>
  <si>
    <t>COLOMB Michel</t>
  </si>
  <si>
    <t>WFRM02142586</t>
  </si>
  <si>
    <t>WFRM05617096</t>
  </si>
  <si>
    <t>LANDRIEUX Christine</t>
  </si>
  <si>
    <t>JANISSON Delphine</t>
  </si>
  <si>
    <t>WFRM04199643</t>
  </si>
  <si>
    <t>28mai: message laissé à la secrétaire: demande envoi pages visite inclusion pour le patient 1 seul formulaire de contact reçu</t>
  </si>
  <si>
    <t>WFRM01637126</t>
  </si>
  <si>
    <t>BUTNARU Cristina</t>
  </si>
  <si>
    <t>20juin: n'a pas encore commencé les inclusions par manque de temps .Va s'y mettre.</t>
  </si>
  <si>
    <t>WFRM03185224</t>
  </si>
  <si>
    <t>GOELDEL-BRICHET Anne-Laure</t>
  </si>
  <si>
    <t>26juin: souhaite avoir 2 nouveaux cahiers=&gt;Ok envoi prévu le 27 juin.</t>
  </si>
  <si>
    <t>Téléphone</t>
  </si>
  <si>
    <t>Via médecin</t>
  </si>
  <si>
    <t>Mail</t>
  </si>
  <si>
    <t>SMS - Mail</t>
  </si>
  <si>
    <t>Courrier</t>
  </si>
  <si>
    <t>04sept: Rentre de vacances, va s'en occuper prochainement</t>
  </si>
  <si>
    <t>05sept: Va nous renvoyer le questionnaire d'inclusion du patient 1.  pense pouvoir inclure un ou plusieurs autres patients d'ici fin octobre.</t>
  </si>
  <si>
    <t>10sept: N'a pas commencé à inclure mais y pense serieusement</t>
  </si>
  <si>
    <t>11sept: va bientôt inclure.</t>
  </si>
  <si>
    <t>11sept: Le Dr va continuer à inclure jusqu'à fin octobre. Elle avait arreté car pensait que la durée d'inclusion était passé.</t>
  </si>
  <si>
    <t>23sept:Dr d'accord pour reappro. 2 cahiers envoyés.</t>
  </si>
  <si>
    <t>19sept:Dr souhaite etre reappro. 2 cahiers envoyé.</t>
  </si>
  <si>
    <t>Mail - Téléphone - Via médecin</t>
  </si>
  <si>
    <t>13nov: ne peut inclure plus de patient, part en congés maternité, ne reviendra qu'en Février. Va recontacter le patient 3 pour l'AQ 2 mois</t>
  </si>
  <si>
    <t>04nov:Souhaite recevoir 2 nv cahiers=&gt; envoi le 12nov</t>
  </si>
  <si>
    <t>Reste 2 patients à inclure</t>
  </si>
  <si>
    <t>Colonne1</t>
  </si>
</sst>
</file>

<file path=xl/styles.xml><?xml version="1.0" encoding="utf-8"?>
<styleSheet xmlns="http://schemas.openxmlformats.org/spreadsheetml/2006/main">
  <numFmts count="1">
    <numFmt numFmtId="164" formatCode="dd/mm/yy;@"/>
  </numFmts>
  <fonts count="29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4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8" fillId="12" borderId="5" xfId="0" applyFont="1" applyFill="1" applyBorder="1" applyAlignment="1">
      <alignment wrapText="1"/>
    </xf>
    <xf numFmtId="0" fontId="28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4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42"/>
      <tableStyleElement type="headerRow" dxfId="341"/>
      <tableStyleElement type="totalRow" dxfId="340"/>
      <tableStyleElement type="firstColumn" dxfId="339"/>
      <tableStyleElement type="lastColumn" dxfId="338"/>
      <tableStyleElement type="firstRowStripe" dxfId="337"/>
      <tableStyleElement type="secondRowStripe" dxfId="336"/>
      <tableStyleElement type="firstColumnStripe" dxfId="335"/>
      <tableStyleElement type="secondColumnStripe" dxfId="334"/>
    </tableStyle>
    <tableStyle name="TableStyleLight8 2" pivot="0" count="9">
      <tableStyleElement type="wholeTable" dxfId="333"/>
      <tableStyleElement type="headerRow" dxfId="332"/>
      <tableStyleElement type="totalRow" dxfId="331"/>
      <tableStyleElement type="firstColumn" dxfId="330"/>
      <tableStyleElement type="lastColumn" dxfId="329"/>
      <tableStyleElement type="firstRowStripe" dxfId="328"/>
      <tableStyleElement type="secondRowStripe" dxfId="327"/>
      <tableStyleElement type="firstColumnStripe" dxfId="326"/>
      <tableStyleElement type="secondColumnStripe" dxfId="32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3" tableType="queryTable" totalsRowCount="1" headerRowDxfId="324" dataDxfId="323">
  <tableColumns count="12">
    <tableColumn id="1" uniqueName="1" name="Code Secteur" queryTableFieldId="1" dataDxfId="311" totalsRowDxfId="312"/>
    <tableColumn id="2" uniqueName="2" name="VM" queryTableFieldId="2" dataDxfId="310" totalsRowDxfId="313"/>
    <tableColumn id="3" uniqueName="3" name="Code médecin" totalsRowLabel="TOTAL" queryTableFieldId="3" dataDxfId="309" totalsRowDxfId="314" dataCellStyle="Lien hypertexte"/>
    <tableColumn id="4" uniqueName="4" name="Medecin" totalsRowFunction="custom" queryTableFieldId="4" dataDxfId="308" totalsRowDxfId="315">
      <totalsRowFormula>SUBTOTAL(3,D8:D22)</totalsRowFormula>
    </tableColumn>
    <tableColumn id="5" uniqueName="5" name="Date de réception convention financière" totalsRowFunction="custom" queryTableFieldId="5" dataDxfId="307" totalsRowDxfId="316">
      <totalsRowFormula>SUBTOTAL(3,[Date de réception convention financière])</totalsRowFormula>
    </tableColumn>
    <tableColumn id="6" uniqueName="6" name="Date de réception AR kit" totalsRowFunction="custom" queryTableFieldId="6" dataDxfId="306" totalsRowDxfId="317">
      <totalsRowFormula>SUBTOTAL(3,[Date de réception AR kit])</totalsRowFormula>
    </tableColumn>
    <tableColumn id="7" uniqueName="7" name="Date de MEP" totalsRowFunction="custom" queryTableFieldId="7" dataDxfId="305" totalsRowDxfId="318">
      <totalsRowFormula>SUBTOTAL(3,[Date de MEP])</totalsRowFormula>
    </tableColumn>
    <tableColumn id="8" uniqueName="8" name="Desistement" totalsRowFunction="custom" queryTableFieldId="8" dataDxfId="304" totalsRowDxfId="319">
      <totalsRowFormula>SUBTOTAL(3,[Desistement])</totalsRowFormula>
    </tableColumn>
    <tableColumn id="9" uniqueName="9" name="Nb Total Patients inclus" totalsRowFunction="custom" queryTableFieldId="9" dataDxfId="303" totalsRowDxfId="320">
      <totalsRowFormula>SUBTOTAL(109,I8:I22)</totalsRowFormula>
    </tableColumn>
    <tableColumn id="10" uniqueName="10" name="Comptes-rendus contact médecin-GECEM" queryTableFieldId="10" dataDxfId="302" totalsRowDxfId="321"/>
    <tableColumn id="11" uniqueName="11" name="Date" queryTableFieldId="11" dataDxfId="301" totalsRowDxfId="322"/>
    <tableColumn id="12" uniqueName="12" name="Colonne1" queryTableFieldId="12" dataDxfId="30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5" name="Tableau_Lancer_la_requête_à_partir_de_MS_Access_Database45678916" displayName="Tableau_Lancer_la_requête_à_partir_de_MS_Access_Database45678916" ref="B9:U16" tableType="queryTable" totalsRowShown="0">
  <autoFilter ref="B9:U16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2" name="Tableau_Lancer_la_requête_à_partir_de_MS_Access_Database45678913" displayName="Tableau_Lancer_la_requête_à_partir_de_MS_Access_Database45678913" ref="B9:U12" tableType="queryTable" totalsRowShown="0">
  <autoFilter ref="B9:U12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1" name="Tableau_Lancer_la_requête_à_partir_de_MS_Access_Database45678912" displayName="Tableau_Lancer_la_requête_à_partir_de_MS_Access_Database45678912" ref="B9:U14" tableType="queryTable" totalsRowShown="0">
  <autoFilter ref="B9:U14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0" name="Tableau_Lancer_la_requête_à_partir_de_MS_Access_Database45678911" displayName="Tableau_Lancer_la_requête_à_partir_de_MS_Access_Database45678911" ref="B9:U12" tableType="queryTable" totalsRowShown="0">
  <autoFilter ref="B9:U12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3" name="Tableau_Lancer_la_requête_à_partir_de_MS_Access_Database4" displayName="Tableau_Lancer_la_requête_à_partir_de_MS_Access_Database4" ref="B9:U10" tableType="queryTable" totalsRowShown="0">
  <autoFilter ref="B9:U10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16" name="Tableau_Lancer_la_requête_à_partir_de_MS_Access_Database417" displayName="Tableau_Lancer_la_requête_à_partir_de_MS_Access_Database417" ref="B9:U14" tableType="queryTable" totalsRowShown="0">
  <autoFilter ref="B9:U14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4" tableType="queryTable" totalsRowShown="0">
  <autoFilter ref="B9:U14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autoFilter ref="B9:U14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14" name="Tableau_Lancer_la_requête_à_partir_de_MS_Access_Database45678915" displayName="Tableau_Lancer_la_requête_à_partir_de_MS_Access_Database45678915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5" name="Tableau_Lancer_la_requête_à_partir_de_MS_Access_Database456" displayName="Tableau_Lancer_la_requête_à_partir_de_MS_Access_Database456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3" name="Tableau_Lancer_la_requête_à_partir_de_MS_Access_Database45678914" displayName="Tableau_Lancer_la_requête_à_partir_de_MS_Access_Database45678914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autoFilter ref="B9:U14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5"/>
  <sheetViews>
    <sheetView tabSelected="1" topLeftCell="C13" workbookViewId="0">
      <selection activeCell="C22" sqref="C22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$A$22</f>
        <v>DE0201</v>
      </c>
      <c r="G2" s="126" t="str">
        <f>$B$22</f>
        <v>BERKANE Mourad</v>
      </c>
      <c r="H2" s="126"/>
      <c r="I2" s="126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$K$22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110</v>
      </c>
    </row>
    <row r="8" spans="1:17" s="118" customFormat="1" ht="45">
      <c r="A8" s="118" t="s">
        <v>59</v>
      </c>
      <c r="B8" s="118" t="s">
        <v>60</v>
      </c>
      <c r="C8" s="119" t="s">
        <v>88</v>
      </c>
      <c r="D8" s="120" t="s">
        <v>89</v>
      </c>
      <c r="E8" s="121">
        <v>41794</v>
      </c>
      <c r="F8" s="121">
        <v>41806</v>
      </c>
      <c r="G8" s="121">
        <v>41801</v>
      </c>
      <c r="H8" s="121"/>
      <c r="I8" s="122">
        <v>5</v>
      </c>
      <c r="J8" s="120" t="s">
        <v>108</v>
      </c>
      <c r="K8" s="123">
        <v>42306</v>
      </c>
      <c r="L8" s="125" t="s">
        <v>109</v>
      </c>
    </row>
    <row r="9" spans="1:17" s="103" customFormat="1">
      <c r="A9" s="103" t="s">
        <v>59</v>
      </c>
      <c r="B9" s="103" t="s">
        <v>60</v>
      </c>
      <c r="C9" s="104" t="s">
        <v>82</v>
      </c>
      <c r="D9" s="102" t="s">
        <v>81</v>
      </c>
      <c r="E9" s="16">
        <v>41766</v>
      </c>
      <c r="F9" s="16">
        <v>41786</v>
      </c>
      <c r="G9" s="16">
        <v>41780</v>
      </c>
      <c r="H9" s="16"/>
      <c r="I9" s="15">
        <v>2</v>
      </c>
      <c r="J9" s="102" t="s">
        <v>101</v>
      </c>
      <c r="K9" s="105">
        <v>42306</v>
      </c>
    </row>
    <row r="10" spans="1:17" s="103" customFormat="1">
      <c r="A10" s="103" t="s">
        <v>59</v>
      </c>
      <c r="B10" s="103" t="s">
        <v>60</v>
      </c>
      <c r="C10" s="104" t="s">
        <v>80</v>
      </c>
      <c r="D10" s="102" t="s">
        <v>79</v>
      </c>
      <c r="E10" s="16">
        <v>41761</v>
      </c>
      <c r="F10" s="16">
        <v>41773</v>
      </c>
      <c r="G10" s="16">
        <v>41771</v>
      </c>
      <c r="H10" s="16"/>
      <c r="I10" s="15">
        <v>4</v>
      </c>
      <c r="J10" s="102" t="s">
        <v>104</v>
      </c>
      <c r="K10" s="105">
        <v>42306</v>
      </c>
    </row>
    <row r="11" spans="1:17" s="103" customFormat="1" ht="30">
      <c r="A11" s="103" t="s">
        <v>59</v>
      </c>
      <c r="B11" s="103" t="s">
        <v>60</v>
      </c>
      <c r="C11" s="104" t="s">
        <v>61</v>
      </c>
      <c r="D11" s="102" t="s">
        <v>62</v>
      </c>
      <c r="E11" s="16">
        <v>41695</v>
      </c>
      <c r="F11" s="16">
        <v>41773</v>
      </c>
      <c r="G11" s="16">
        <v>41771</v>
      </c>
      <c r="H11" s="16"/>
      <c r="I11" s="15">
        <v>5</v>
      </c>
      <c r="J11" s="102" t="s">
        <v>93</v>
      </c>
      <c r="K11" s="105">
        <v>42306</v>
      </c>
    </row>
    <row r="12" spans="1:17" s="103" customFormat="1">
      <c r="A12" s="103" t="s">
        <v>59</v>
      </c>
      <c r="B12" s="103" t="s">
        <v>60</v>
      </c>
      <c r="C12" s="104" t="s">
        <v>77</v>
      </c>
      <c r="D12" s="102" t="s">
        <v>78</v>
      </c>
      <c r="E12" s="16">
        <v>41759</v>
      </c>
      <c r="F12" s="16">
        <v>41796</v>
      </c>
      <c r="G12" s="16">
        <v>41795</v>
      </c>
      <c r="H12" s="16"/>
      <c r="I12" s="15"/>
      <c r="J12" s="102" t="s">
        <v>99</v>
      </c>
      <c r="K12" s="105">
        <v>42306</v>
      </c>
    </row>
    <row r="13" spans="1:17" s="103" customFormat="1">
      <c r="A13" s="103" t="s">
        <v>59</v>
      </c>
      <c r="B13" s="103" t="s">
        <v>60</v>
      </c>
      <c r="C13" s="104" t="s">
        <v>63</v>
      </c>
      <c r="D13" s="102" t="s">
        <v>64</v>
      </c>
      <c r="E13" s="16">
        <v>41702</v>
      </c>
      <c r="F13" s="16"/>
      <c r="G13" s="16"/>
      <c r="H13" s="16">
        <v>41786</v>
      </c>
      <c r="I13" s="15"/>
      <c r="J13" s="102"/>
      <c r="K13" s="105">
        <v>42306</v>
      </c>
    </row>
    <row r="14" spans="1:17" s="103" customFormat="1" ht="45">
      <c r="A14" s="103" t="s">
        <v>59</v>
      </c>
      <c r="B14" s="103" t="s">
        <v>60</v>
      </c>
      <c r="C14" s="104" t="s">
        <v>91</v>
      </c>
      <c r="D14" s="102" t="s">
        <v>92</v>
      </c>
      <c r="E14" s="16">
        <v>41816</v>
      </c>
      <c r="F14" s="16">
        <v>41830</v>
      </c>
      <c r="G14" s="16">
        <v>41828</v>
      </c>
      <c r="H14" s="16"/>
      <c r="I14" s="15">
        <v>5</v>
      </c>
      <c r="J14" s="102" t="s">
        <v>107</v>
      </c>
      <c r="K14" s="105">
        <v>42306</v>
      </c>
    </row>
    <row r="15" spans="1:17" s="118" customFormat="1" ht="45">
      <c r="A15" s="118" t="s">
        <v>59</v>
      </c>
      <c r="B15" s="118" t="s">
        <v>60</v>
      </c>
      <c r="C15" s="119" t="s">
        <v>75</v>
      </c>
      <c r="D15" s="120" t="s">
        <v>76</v>
      </c>
      <c r="E15" s="121">
        <v>41753</v>
      </c>
      <c r="F15" s="121">
        <v>41795</v>
      </c>
      <c r="G15" s="121">
        <v>41794</v>
      </c>
      <c r="H15" s="121"/>
      <c r="I15" s="122">
        <v>3</v>
      </c>
      <c r="J15" s="120"/>
      <c r="K15" s="123">
        <v>42306</v>
      </c>
      <c r="L15" s="125" t="s">
        <v>109</v>
      </c>
    </row>
    <row r="16" spans="1:17" s="103" customFormat="1">
      <c r="A16" s="103" t="s">
        <v>59</v>
      </c>
      <c r="B16" s="103" t="s">
        <v>60</v>
      </c>
      <c r="C16" s="104" t="s">
        <v>65</v>
      </c>
      <c r="D16" s="102" t="s">
        <v>66</v>
      </c>
      <c r="E16" s="16">
        <v>41709</v>
      </c>
      <c r="F16" s="16">
        <v>41751</v>
      </c>
      <c r="G16" s="16">
        <v>41747</v>
      </c>
      <c r="H16" s="16"/>
      <c r="I16" s="15">
        <v>4</v>
      </c>
      <c r="J16" s="102" t="s">
        <v>104</v>
      </c>
      <c r="K16" s="105">
        <v>42306</v>
      </c>
    </row>
    <row r="17" spans="1:12" s="103" customFormat="1">
      <c r="A17" s="103" t="s">
        <v>59</v>
      </c>
      <c r="B17" s="103" t="s">
        <v>60</v>
      </c>
      <c r="C17" s="104" t="s">
        <v>86</v>
      </c>
      <c r="D17" s="102" t="s">
        <v>85</v>
      </c>
      <c r="E17" s="16">
        <v>41792</v>
      </c>
      <c r="F17" s="16">
        <v>41795</v>
      </c>
      <c r="G17" s="16">
        <v>41794</v>
      </c>
      <c r="H17" s="16"/>
      <c r="I17" s="15">
        <v>2</v>
      </c>
      <c r="J17" s="102" t="s">
        <v>102</v>
      </c>
      <c r="K17" s="105">
        <v>42306</v>
      </c>
    </row>
    <row r="18" spans="1:12" s="118" customFormat="1" ht="45">
      <c r="A18" s="118" t="s">
        <v>59</v>
      </c>
      <c r="B18" s="118" t="s">
        <v>60</v>
      </c>
      <c r="C18" s="119" t="s">
        <v>67</v>
      </c>
      <c r="D18" s="120" t="s">
        <v>68</v>
      </c>
      <c r="E18" s="121">
        <v>41711</v>
      </c>
      <c r="F18" s="121">
        <v>41751</v>
      </c>
      <c r="G18" s="121">
        <v>41747</v>
      </c>
      <c r="H18" s="121"/>
      <c r="I18" s="122">
        <v>3</v>
      </c>
      <c r="J18" s="120" t="s">
        <v>105</v>
      </c>
      <c r="K18" s="123">
        <v>42306</v>
      </c>
      <c r="L18" s="125" t="s">
        <v>109</v>
      </c>
    </row>
    <row r="19" spans="1:12" s="103" customFormat="1" ht="45">
      <c r="A19" s="103" t="s">
        <v>59</v>
      </c>
      <c r="B19" s="103" t="s">
        <v>60</v>
      </c>
      <c r="C19" s="104" t="s">
        <v>83</v>
      </c>
      <c r="D19" s="102" t="s">
        <v>84</v>
      </c>
      <c r="E19" s="16">
        <v>41785</v>
      </c>
      <c r="F19" s="16">
        <v>41796</v>
      </c>
      <c r="G19" s="16">
        <v>41794</v>
      </c>
      <c r="H19" s="16"/>
      <c r="I19" s="15">
        <v>3</v>
      </c>
      <c r="J19" s="102" t="s">
        <v>100</v>
      </c>
      <c r="K19" s="105">
        <v>42306</v>
      </c>
    </row>
    <row r="20" spans="1:12" s="118" customFormat="1" ht="45">
      <c r="A20" s="118" t="s">
        <v>59</v>
      </c>
      <c r="B20" s="118" t="s">
        <v>60</v>
      </c>
      <c r="C20" s="119" t="s">
        <v>69</v>
      </c>
      <c r="D20" s="120" t="s">
        <v>70</v>
      </c>
      <c r="E20" s="121">
        <v>41704</v>
      </c>
      <c r="F20" s="121">
        <v>41751</v>
      </c>
      <c r="G20" s="121">
        <v>41747</v>
      </c>
      <c r="H20" s="121"/>
      <c r="I20" s="122">
        <v>3</v>
      </c>
      <c r="J20" s="120" t="s">
        <v>90</v>
      </c>
      <c r="K20" s="123">
        <v>42306</v>
      </c>
      <c r="L20" s="124" t="s">
        <v>109</v>
      </c>
    </row>
    <row r="21" spans="1:12" s="103" customFormat="1" ht="30">
      <c r="A21" s="103" t="s">
        <v>59</v>
      </c>
      <c r="B21" s="103" t="s">
        <v>60</v>
      </c>
      <c r="C21" s="104" t="s">
        <v>71</v>
      </c>
      <c r="D21" s="102" t="s">
        <v>72</v>
      </c>
      <c r="E21" s="16">
        <v>41705</v>
      </c>
      <c r="F21" s="16">
        <v>41751</v>
      </c>
      <c r="G21" s="16">
        <v>41747</v>
      </c>
      <c r="H21" s="16"/>
      <c r="I21" s="15">
        <v>2</v>
      </c>
      <c r="J21" s="102" t="s">
        <v>87</v>
      </c>
      <c r="K21" s="105">
        <v>42306</v>
      </c>
    </row>
    <row r="22" spans="1:12" ht="30">
      <c r="A22" s="103" t="s">
        <v>59</v>
      </c>
      <c r="B22" s="103" t="s">
        <v>60</v>
      </c>
      <c r="C22" s="104" t="s">
        <v>73</v>
      </c>
      <c r="D22" s="102" t="s">
        <v>74</v>
      </c>
      <c r="E22" s="16">
        <v>41702</v>
      </c>
      <c r="F22" s="16">
        <v>41751</v>
      </c>
      <c r="G22" s="16">
        <v>41747</v>
      </c>
      <c r="H22" s="16"/>
      <c r="I22" s="15">
        <v>1</v>
      </c>
      <c r="J22" s="102" t="s">
        <v>103</v>
      </c>
      <c r="K22" s="105">
        <v>42306</v>
      </c>
      <c r="L22" s="103"/>
    </row>
    <row r="23" spans="1:12">
      <c r="A23" s="28"/>
      <c r="B23" s="28"/>
      <c r="C23" s="27" t="s">
        <v>15</v>
      </c>
      <c r="D23" s="33">
        <f>SUBTOTAL(3,D8:D22)</f>
        <v>15</v>
      </c>
      <c r="E23" s="33">
        <f>SUBTOTAL(3,[Date de réception convention financière])</f>
        <v>15</v>
      </c>
      <c r="F23" s="33">
        <f>SUBTOTAL(3,[Date de réception AR kit])</f>
        <v>14</v>
      </c>
      <c r="G23" s="33">
        <f>SUBTOTAL(3,[Date de MEP])</f>
        <v>14</v>
      </c>
      <c r="H23" s="106">
        <f>SUBTOTAL(3,[Desistement])</f>
        <v>1</v>
      </c>
      <c r="I23" s="27">
        <f>SUBTOTAL(109,I8:I22)</f>
        <v>42</v>
      </c>
      <c r="J23" s="31"/>
      <c r="K23" s="32"/>
    </row>
    <row r="24" spans="1:12">
      <c r="D24" s="10"/>
      <c r="J24" s="10"/>
    </row>
    <row r="25" spans="1:12">
      <c r="C25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1:AV16"/>
  <sheetViews>
    <sheetView workbookViewId="0">
      <selection activeCell="G2" sqref="G2:S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9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$U$16</f>
        <v>42306</v>
      </c>
      <c r="G4" s="50"/>
      <c r="H4" s="50"/>
      <c r="I4" s="34"/>
      <c r="J4" s="50"/>
      <c r="K4" s="50"/>
      <c r="L4" s="100" t="s">
        <v>17</v>
      </c>
      <c r="M4" s="63">
        <f>$B$16</f>
        <v>341</v>
      </c>
      <c r="N4" s="140" t="str">
        <f>$C$16</f>
        <v>BUTNARU Cristina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8" t="s">
        <v>32</v>
      </c>
      <c r="M8" s="98" t="s">
        <v>31</v>
      </c>
      <c r="N8" s="97" t="s">
        <v>33</v>
      </c>
      <c r="O8" s="97" t="s">
        <v>34</v>
      </c>
      <c r="P8" s="9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341</v>
      </c>
      <c r="C10" s="42" t="s">
        <v>89</v>
      </c>
      <c r="D10" s="19">
        <v>1</v>
      </c>
      <c r="E10" s="25">
        <v>41803</v>
      </c>
      <c r="F10" s="25">
        <v>41806</v>
      </c>
      <c r="G10" s="25"/>
      <c r="H10" s="25">
        <v>41814</v>
      </c>
      <c r="I10" s="78" t="s">
        <v>94</v>
      </c>
      <c r="J10" s="25">
        <v>41815</v>
      </c>
      <c r="K10" s="25">
        <v>41814</v>
      </c>
      <c r="L10" s="25">
        <v>41874</v>
      </c>
      <c r="M10" s="25">
        <v>41864</v>
      </c>
      <c r="N10" s="25">
        <v>41923</v>
      </c>
      <c r="O10" s="25">
        <v>41810</v>
      </c>
      <c r="P10" s="25">
        <v>41813</v>
      </c>
      <c r="Q10" s="25">
        <v>42168</v>
      </c>
      <c r="R10" s="25">
        <v>41862</v>
      </c>
      <c r="S10" s="25">
        <v>41864</v>
      </c>
      <c r="T10" s="42" t="s">
        <v>88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7">
        <v>341</v>
      </c>
      <c r="C11" s="108" t="s">
        <v>89</v>
      </c>
      <c r="D11" s="19">
        <v>2</v>
      </c>
      <c r="E11" s="25">
        <v>41705</v>
      </c>
      <c r="F11" s="25">
        <v>41806</v>
      </c>
      <c r="H11" s="25">
        <v>41807</v>
      </c>
      <c r="I11" s="78" t="s">
        <v>94</v>
      </c>
      <c r="J11" s="25">
        <v>41717</v>
      </c>
      <c r="K11" s="25">
        <v>41807</v>
      </c>
      <c r="L11" s="25">
        <v>41776</v>
      </c>
      <c r="M11" s="25">
        <v>41807</v>
      </c>
      <c r="N11" s="25">
        <v>41825</v>
      </c>
      <c r="O11" s="25">
        <v>41712</v>
      </c>
      <c r="P11" s="25">
        <v>41806</v>
      </c>
      <c r="Q11" s="25">
        <v>42070</v>
      </c>
      <c r="R11" s="25">
        <v>41785</v>
      </c>
      <c r="S11" s="25">
        <v>41806</v>
      </c>
      <c r="T11" s="108" t="s">
        <v>88</v>
      </c>
      <c r="U11" s="12">
        <v>42306</v>
      </c>
    </row>
    <row r="12" spans="2:48" ht="25.5">
      <c r="B12" s="107">
        <v>341</v>
      </c>
      <c r="C12" s="108" t="s">
        <v>89</v>
      </c>
      <c r="D12" s="19">
        <v>3</v>
      </c>
      <c r="E12" s="25">
        <v>41703</v>
      </c>
      <c r="F12" s="25">
        <v>41806</v>
      </c>
      <c r="H12" s="25">
        <v>41808</v>
      </c>
      <c r="I12" s="78" t="s">
        <v>95</v>
      </c>
      <c r="J12" s="25">
        <v>41715</v>
      </c>
      <c r="K12" s="25">
        <v>41808</v>
      </c>
      <c r="L12" s="25">
        <v>41774</v>
      </c>
      <c r="M12" s="25">
        <v>41808</v>
      </c>
      <c r="N12" s="25">
        <v>41823</v>
      </c>
      <c r="O12" s="25">
        <v>41717</v>
      </c>
      <c r="P12" s="25">
        <v>41806</v>
      </c>
      <c r="Q12" s="25">
        <v>42068</v>
      </c>
      <c r="R12" s="25">
        <v>41782</v>
      </c>
      <c r="S12" s="25">
        <v>41806</v>
      </c>
      <c r="T12" s="108" t="s">
        <v>88</v>
      </c>
      <c r="U12" s="12">
        <v>42306</v>
      </c>
    </row>
    <row r="13" spans="2:48" ht="25.5">
      <c r="B13" s="107">
        <v>341</v>
      </c>
      <c r="C13" s="108" t="s">
        <v>89</v>
      </c>
      <c r="D13" s="19">
        <v>4</v>
      </c>
      <c r="E13" s="25">
        <v>41806</v>
      </c>
      <c r="F13" s="25">
        <v>41813</v>
      </c>
      <c r="H13" s="25">
        <v>41836</v>
      </c>
      <c r="I13" s="78" t="s">
        <v>97</v>
      </c>
      <c r="J13" s="25">
        <v>41818</v>
      </c>
      <c r="K13" s="25">
        <v>41891</v>
      </c>
      <c r="L13" s="25">
        <v>41877</v>
      </c>
      <c r="M13" s="25">
        <v>41891</v>
      </c>
      <c r="N13" s="25">
        <v>41926</v>
      </c>
      <c r="O13" s="25">
        <v>41829</v>
      </c>
      <c r="P13" s="25">
        <v>41835</v>
      </c>
      <c r="Q13" s="25">
        <v>42171</v>
      </c>
      <c r="R13" s="25">
        <v>41888</v>
      </c>
      <c r="S13" s="25">
        <v>41891</v>
      </c>
      <c r="T13" s="108" t="s">
        <v>88</v>
      </c>
      <c r="U13" s="12">
        <v>42306</v>
      </c>
    </row>
    <row r="14" spans="2:48" ht="25.5">
      <c r="B14" s="107">
        <v>341</v>
      </c>
      <c r="C14" s="108" t="s">
        <v>89</v>
      </c>
      <c r="D14" s="19">
        <v>5</v>
      </c>
      <c r="E14" s="25">
        <v>41800</v>
      </c>
      <c r="F14" s="25">
        <v>41813</v>
      </c>
      <c r="H14" s="25">
        <v>41815</v>
      </c>
      <c r="I14" s="115" t="s">
        <v>95</v>
      </c>
      <c r="J14" s="25">
        <v>41812</v>
      </c>
      <c r="K14" s="25">
        <v>41815</v>
      </c>
      <c r="L14" s="25">
        <v>41871</v>
      </c>
      <c r="M14" s="25">
        <v>41865</v>
      </c>
      <c r="N14" s="25">
        <v>41920</v>
      </c>
      <c r="O14" s="25">
        <v>41810</v>
      </c>
      <c r="P14" s="25">
        <v>41813</v>
      </c>
      <c r="Q14" s="25">
        <v>42165</v>
      </c>
      <c r="R14" s="25">
        <v>41862</v>
      </c>
      <c r="S14" s="25">
        <v>41865</v>
      </c>
      <c r="T14" s="108" t="s">
        <v>88</v>
      </c>
      <c r="U14" s="12">
        <v>42306</v>
      </c>
    </row>
    <row r="15" spans="2:48" ht="25.5">
      <c r="B15" s="116">
        <v>341</v>
      </c>
      <c r="C15" s="117" t="s">
        <v>89</v>
      </c>
      <c r="D15" s="19">
        <v>6</v>
      </c>
      <c r="I15" s="115" t="s">
        <v>57</v>
      </c>
      <c r="T15" s="117" t="s">
        <v>88</v>
      </c>
      <c r="U15" s="12">
        <v>42306</v>
      </c>
    </row>
    <row r="16" spans="2:48" ht="25.5">
      <c r="B16" s="116">
        <v>341</v>
      </c>
      <c r="C16" s="117" t="s">
        <v>89</v>
      </c>
      <c r="D16" s="19">
        <v>7</v>
      </c>
      <c r="I16" s="115" t="s">
        <v>57</v>
      </c>
      <c r="T16" s="117" t="s">
        <v>88</v>
      </c>
      <c r="U16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8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$U$12</f>
        <v>42306</v>
      </c>
      <c r="G4" s="50"/>
      <c r="H4" s="50"/>
      <c r="I4" s="34"/>
      <c r="J4" s="50"/>
      <c r="K4" s="50"/>
      <c r="L4" s="84" t="s">
        <v>17</v>
      </c>
      <c r="M4" s="63">
        <f>$B$12</f>
        <v>286</v>
      </c>
      <c r="N4" s="140" t="str">
        <f>$C$12</f>
        <v>COLOMB Michel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6" t="s">
        <v>32</v>
      </c>
      <c r="M8" s="86" t="s">
        <v>31</v>
      </c>
      <c r="N8" s="85" t="s">
        <v>33</v>
      </c>
      <c r="O8" s="85" t="s">
        <v>34</v>
      </c>
      <c r="P8" s="8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21.75" customHeight="1">
      <c r="B10" s="43">
        <v>286</v>
      </c>
      <c r="C10" s="42" t="s">
        <v>81</v>
      </c>
      <c r="D10" s="19">
        <v>1</v>
      </c>
      <c r="E10" s="25">
        <v>41921</v>
      </c>
      <c r="F10" s="25">
        <v>41933</v>
      </c>
      <c r="G10" s="25"/>
      <c r="H10" s="25">
        <v>41933</v>
      </c>
      <c r="I10" s="78" t="s">
        <v>94</v>
      </c>
      <c r="J10" s="25">
        <v>41933</v>
      </c>
      <c r="K10" s="25">
        <v>41939</v>
      </c>
      <c r="L10" s="25">
        <v>41992</v>
      </c>
      <c r="M10" s="25">
        <v>42117</v>
      </c>
      <c r="N10" s="25">
        <v>42041</v>
      </c>
      <c r="O10" s="25"/>
      <c r="P10" s="25"/>
      <c r="Q10" s="25">
        <v>42286</v>
      </c>
      <c r="R10" s="25"/>
      <c r="S10" s="25"/>
      <c r="T10" s="42" t="s">
        <v>82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7">
        <v>286</v>
      </c>
      <c r="C11" s="88" t="s">
        <v>81</v>
      </c>
      <c r="D11" s="19">
        <v>2</v>
      </c>
      <c r="I11" s="78" t="s">
        <v>57</v>
      </c>
      <c r="T11" s="88" t="s">
        <v>82</v>
      </c>
      <c r="U11" s="12">
        <v>42306</v>
      </c>
    </row>
    <row r="12" spans="2:48" ht="18" customHeight="1">
      <c r="B12" s="87">
        <v>286</v>
      </c>
      <c r="C12" s="88" t="s">
        <v>81</v>
      </c>
      <c r="D12" s="19">
        <v>3</v>
      </c>
      <c r="E12" s="25">
        <v>41958</v>
      </c>
      <c r="F12" s="25">
        <v>42090</v>
      </c>
      <c r="G12" s="25">
        <v>42090</v>
      </c>
      <c r="H12" s="25">
        <v>41961</v>
      </c>
      <c r="I12" s="78" t="s">
        <v>96</v>
      </c>
      <c r="J12" s="25">
        <v>41970</v>
      </c>
      <c r="L12" s="25">
        <v>42029</v>
      </c>
      <c r="M12" s="25">
        <v>42158</v>
      </c>
      <c r="N12" s="25">
        <v>42078</v>
      </c>
      <c r="Q12" s="25">
        <v>42323</v>
      </c>
      <c r="T12" s="88" t="s">
        <v>82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J26" sqref="J26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7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$U$14</f>
        <v>42306</v>
      </c>
      <c r="G4" s="50"/>
      <c r="H4" s="50"/>
      <c r="I4" s="34"/>
      <c r="J4" s="50"/>
      <c r="K4" s="50"/>
      <c r="L4" s="80" t="s">
        <v>17</v>
      </c>
      <c r="M4" s="63">
        <f>$B$14</f>
        <v>281</v>
      </c>
      <c r="N4" s="140" t="str">
        <f>$C$14</f>
        <v>DELVINCOURT Christian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2" t="s">
        <v>32</v>
      </c>
      <c r="M8" s="82" t="s">
        <v>31</v>
      </c>
      <c r="N8" s="81" t="s">
        <v>33</v>
      </c>
      <c r="O8" s="81" t="s">
        <v>34</v>
      </c>
      <c r="P8" s="8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281</v>
      </c>
      <c r="C10" s="42" t="s">
        <v>79</v>
      </c>
      <c r="D10" s="19">
        <v>1</v>
      </c>
      <c r="E10" s="25">
        <v>41785</v>
      </c>
      <c r="F10" s="25">
        <v>41817</v>
      </c>
      <c r="G10" s="25">
        <v>41817</v>
      </c>
      <c r="H10" s="25">
        <v>41817</v>
      </c>
      <c r="I10" s="78" t="s">
        <v>94</v>
      </c>
      <c r="J10" s="25">
        <v>41797</v>
      </c>
      <c r="K10" s="25">
        <v>41793</v>
      </c>
      <c r="L10" s="25">
        <v>41856</v>
      </c>
      <c r="M10" s="25">
        <v>41838</v>
      </c>
      <c r="N10" s="25">
        <v>41905</v>
      </c>
      <c r="O10" s="25">
        <v>41815</v>
      </c>
      <c r="P10" s="25">
        <v>41817</v>
      </c>
      <c r="Q10" s="25">
        <v>42150</v>
      </c>
      <c r="R10" s="25"/>
      <c r="S10" s="25">
        <v>41992</v>
      </c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7">
        <v>281</v>
      </c>
      <c r="C11" s="88" t="s">
        <v>79</v>
      </c>
      <c r="D11" s="19">
        <v>2</v>
      </c>
      <c r="E11" s="25">
        <v>41785</v>
      </c>
      <c r="F11" s="25">
        <v>41863</v>
      </c>
      <c r="H11" s="25">
        <v>41792</v>
      </c>
      <c r="I11" s="78" t="s">
        <v>96</v>
      </c>
      <c r="J11" s="25">
        <v>41797</v>
      </c>
      <c r="K11" s="25">
        <v>41794</v>
      </c>
      <c r="L11" s="25">
        <v>41856</v>
      </c>
      <c r="M11" s="25">
        <v>41850</v>
      </c>
      <c r="N11" s="25">
        <v>41905</v>
      </c>
      <c r="Q11" s="25">
        <v>42150</v>
      </c>
      <c r="T11" s="88" t="s">
        <v>80</v>
      </c>
      <c r="U11" s="12">
        <v>42306</v>
      </c>
    </row>
    <row r="12" spans="2:48" ht="25.5">
      <c r="B12" s="87">
        <v>281</v>
      </c>
      <c r="C12" s="88" t="s">
        <v>79</v>
      </c>
      <c r="D12" s="19">
        <v>3</v>
      </c>
      <c r="E12" s="25">
        <v>41796</v>
      </c>
      <c r="F12" s="25">
        <v>41863</v>
      </c>
      <c r="H12" s="25">
        <v>41887</v>
      </c>
      <c r="I12" s="115" t="s">
        <v>94</v>
      </c>
      <c r="J12" s="25">
        <v>41808</v>
      </c>
      <c r="K12" s="25">
        <v>41815</v>
      </c>
      <c r="L12" s="25">
        <v>41867</v>
      </c>
      <c r="M12" s="25">
        <v>41887</v>
      </c>
      <c r="N12" s="25">
        <v>41916</v>
      </c>
      <c r="O12" s="25">
        <v>41835</v>
      </c>
      <c r="P12" s="25">
        <v>41897</v>
      </c>
      <c r="Q12" s="25">
        <v>42161</v>
      </c>
      <c r="S12" s="25">
        <v>41897</v>
      </c>
      <c r="T12" s="88" t="s">
        <v>80</v>
      </c>
      <c r="U12" s="12">
        <v>42306</v>
      </c>
    </row>
    <row r="13" spans="2:48" ht="25.5">
      <c r="B13" s="116">
        <v>281</v>
      </c>
      <c r="C13" s="117" t="s">
        <v>79</v>
      </c>
      <c r="D13" s="19">
        <v>4</v>
      </c>
      <c r="E13" s="25">
        <v>41911</v>
      </c>
      <c r="F13" s="25">
        <v>41918</v>
      </c>
      <c r="G13" s="25">
        <v>41974</v>
      </c>
      <c r="H13" s="25">
        <v>41913</v>
      </c>
      <c r="I13" s="115" t="s">
        <v>106</v>
      </c>
      <c r="J13" s="25">
        <v>41923</v>
      </c>
      <c r="K13" s="25">
        <v>41925</v>
      </c>
      <c r="L13" s="25">
        <v>41982</v>
      </c>
      <c r="M13" s="25">
        <v>41974</v>
      </c>
      <c r="N13" s="25">
        <v>42031</v>
      </c>
      <c r="O13" s="25">
        <v>41971</v>
      </c>
      <c r="P13" s="25">
        <v>41974</v>
      </c>
      <c r="Q13" s="25">
        <v>42276</v>
      </c>
      <c r="T13" s="117" t="s">
        <v>80</v>
      </c>
      <c r="U13" s="12">
        <v>42306</v>
      </c>
    </row>
    <row r="14" spans="2:48" ht="25.5">
      <c r="B14" s="116">
        <v>281</v>
      </c>
      <c r="C14" s="117" t="s">
        <v>79</v>
      </c>
      <c r="D14" s="19">
        <v>5</v>
      </c>
      <c r="I14" s="115" t="s">
        <v>57</v>
      </c>
      <c r="T14" s="117" t="s">
        <v>80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N5" sqref="N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$U$14</f>
        <v>42306</v>
      </c>
      <c r="G4" s="50"/>
      <c r="H4" s="50"/>
      <c r="I4" s="34"/>
      <c r="J4" s="50"/>
      <c r="K4" s="50"/>
      <c r="L4" s="57" t="s">
        <v>17</v>
      </c>
      <c r="M4" s="63">
        <f>$B$14</f>
        <v>99</v>
      </c>
      <c r="N4" s="140" t="str">
        <f>$C$14</f>
        <v>DUPIN Emmanuel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99</v>
      </c>
      <c r="C10" s="42" t="s">
        <v>62</v>
      </c>
      <c r="D10" s="19">
        <v>1</v>
      </c>
      <c r="E10" s="25">
        <v>41794</v>
      </c>
      <c r="F10" s="25">
        <v>41800</v>
      </c>
      <c r="G10" s="25">
        <v>41800</v>
      </c>
      <c r="H10" s="25">
        <v>41800</v>
      </c>
      <c r="I10" s="78" t="s">
        <v>95</v>
      </c>
      <c r="J10" s="25">
        <v>41806</v>
      </c>
      <c r="K10" s="25">
        <v>41806</v>
      </c>
      <c r="L10" s="25">
        <v>41865</v>
      </c>
      <c r="M10" s="25">
        <v>41863</v>
      </c>
      <c r="N10" s="25">
        <v>41914</v>
      </c>
      <c r="O10" s="25">
        <v>41842</v>
      </c>
      <c r="P10" s="25">
        <v>41848</v>
      </c>
      <c r="Q10" s="25">
        <v>42159</v>
      </c>
      <c r="R10" s="25">
        <v>41979</v>
      </c>
      <c r="S10" s="25">
        <v>41982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7">
        <v>99</v>
      </c>
      <c r="C11" s="88" t="s">
        <v>62</v>
      </c>
      <c r="D11" s="19">
        <v>2</v>
      </c>
      <c r="E11" s="25">
        <v>41794</v>
      </c>
      <c r="F11" s="25">
        <v>41800</v>
      </c>
      <c r="G11" s="25">
        <v>41800</v>
      </c>
      <c r="H11" s="25">
        <v>41800</v>
      </c>
      <c r="I11" s="78" t="s">
        <v>95</v>
      </c>
      <c r="J11" s="25">
        <v>41806</v>
      </c>
      <c r="K11" s="25">
        <v>41806</v>
      </c>
      <c r="L11" s="25">
        <v>41865</v>
      </c>
      <c r="M11" s="25">
        <v>41863</v>
      </c>
      <c r="N11" s="25">
        <v>41914</v>
      </c>
      <c r="O11" s="25">
        <v>41842</v>
      </c>
      <c r="P11" s="25">
        <v>41848</v>
      </c>
      <c r="Q11" s="25">
        <v>42159</v>
      </c>
      <c r="R11" s="25">
        <v>41979</v>
      </c>
      <c r="S11" s="25">
        <v>41982</v>
      </c>
      <c r="T11" s="88" t="s">
        <v>61</v>
      </c>
      <c r="U11" s="12">
        <v>42306</v>
      </c>
    </row>
    <row r="12" spans="2:48" ht="25.5">
      <c r="B12" s="87">
        <v>99</v>
      </c>
      <c r="C12" s="88" t="s">
        <v>62</v>
      </c>
      <c r="D12" s="19">
        <v>3</v>
      </c>
      <c r="E12" s="25">
        <v>41796</v>
      </c>
      <c r="F12" s="25">
        <v>41800</v>
      </c>
      <c r="G12" s="25">
        <v>41800</v>
      </c>
      <c r="H12" s="25">
        <v>41800</v>
      </c>
      <c r="I12" s="78" t="s">
        <v>95</v>
      </c>
      <c r="J12" s="25">
        <v>41808</v>
      </c>
      <c r="K12" s="25">
        <v>41806</v>
      </c>
      <c r="L12" s="25">
        <v>41867</v>
      </c>
      <c r="M12" s="25">
        <v>41863</v>
      </c>
      <c r="N12" s="25">
        <v>41916</v>
      </c>
      <c r="O12" s="25">
        <v>41843</v>
      </c>
      <c r="P12" s="25">
        <v>41848</v>
      </c>
      <c r="Q12" s="25">
        <v>42161</v>
      </c>
      <c r="R12" s="25">
        <v>41979</v>
      </c>
      <c r="S12" s="25">
        <v>41982</v>
      </c>
      <c r="T12" s="88" t="s">
        <v>61</v>
      </c>
      <c r="U12" s="12">
        <v>42306</v>
      </c>
    </row>
    <row r="13" spans="2:48" ht="25.5">
      <c r="B13" s="107">
        <v>99</v>
      </c>
      <c r="C13" s="108" t="s">
        <v>62</v>
      </c>
      <c r="D13" s="19">
        <v>4</v>
      </c>
      <c r="E13" s="25">
        <v>41845</v>
      </c>
      <c r="F13" s="25">
        <v>41848</v>
      </c>
      <c r="H13" s="25">
        <v>41848</v>
      </c>
      <c r="I13" s="78" t="s">
        <v>95</v>
      </c>
      <c r="J13" s="25">
        <v>41857</v>
      </c>
      <c r="K13" s="25">
        <v>41857</v>
      </c>
      <c r="L13" s="25">
        <v>41916</v>
      </c>
      <c r="M13" s="25">
        <v>41911</v>
      </c>
      <c r="N13" s="25">
        <v>41965</v>
      </c>
      <c r="O13" s="25">
        <v>41949</v>
      </c>
      <c r="P13" s="25">
        <v>41982</v>
      </c>
      <c r="Q13" s="25">
        <v>42210</v>
      </c>
      <c r="R13" s="25">
        <v>41979</v>
      </c>
      <c r="S13" s="25">
        <v>41982</v>
      </c>
      <c r="T13" s="108" t="s">
        <v>61</v>
      </c>
      <c r="U13" s="12">
        <v>42306</v>
      </c>
    </row>
    <row r="14" spans="2:48" ht="25.5">
      <c r="B14" s="107">
        <v>99</v>
      </c>
      <c r="C14" s="108" t="s">
        <v>62</v>
      </c>
      <c r="D14" s="19">
        <v>5</v>
      </c>
      <c r="E14" s="25">
        <v>41845</v>
      </c>
      <c r="F14" s="25">
        <v>41848</v>
      </c>
      <c r="H14" s="25">
        <v>41848</v>
      </c>
      <c r="I14" s="78" t="s">
        <v>95</v>
      </c>
      <c r="J14" s="25">
        <v>41857</v>
      </c>
      <c r="K14" s="25">
        <v>41856</v>
      </c>
      <c r="L14" s="25">
        <v>41916</v>
      </c>
      <c r="M14" s="25">
        <v>41911</v>
      </c>
      <c r="N14" s="25">
        <v>41965</v>
      </c>
      <c r="O14" s="25">
        <v>41949</v>
      </c>
      <c r="P14" s="25">
        <v>41982</v>
      </c>
      <c r="Q14" s="25">
        <v>42210</v>
      </c>
      <c r="S14" s="25">
        <v>41982</v>
      </c>
      <c r="T14" s="108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J15" sqref="J1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72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$U$12</f>
        <v>42306</v>
      </c>
      <c r="G4" s="50"/>
      <c r="H4" s="50"/>
      <c r="I4" s="34"/>
      <c r="J4" s="50"/>
      <c r="K4" s="50"/>
      <c r="L4" s="73" t="s">
        <v>17</v>
      </c>
      <c r="M4" s="63">
        <f>$B$12</f>
        <v>103</v>
      </c>
      <c r="N4" s="140" t="str">
        <f>$C$12</f>
        <v>ERNOUF Ennemond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5" t="s">
        <v>32</v>
      </c>
      <c r="M8" s="75" t="s">
        <v>31</v>
      </c>
      <c r="N8" s="74" t="s">
        <v>33</v>
      </c>
      <c r="O8" s="74" t="s">
        <v>34</v>
      </c>
      <c r="P8" s="74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103</v>
      </c>
      <c r="C10" s="42" t="s">
        <v>78</v>
      </c>
      <c r="D10" s="19">
        <v>1</v>
      </c>
      <c r="E10" s="25"/>
      <c r="F10" s="25"/>
      <c r="G10" s="25"/>
      <c r="H10" s="25"/>
      <c r="I10" s="78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103</v>
      </c>
      <c r="C11" s="101" t="s">
        <v>78</v>
      </c>
      <c r="D11" s="19">
        <v>2</v>
      </c>
      <c r="I11" s="78" t="s">
        <v>57</v>
      </c>
      <c r="T11" s="101" t="s">
        <v>77</v>
      </c>
      <c r="U11" s="12">
        <v>42306</v>
      </c>
    </row>
    <row r="12" spans="2:48" ht="25.5">
      <c r="B12" s="43">
        <v>103</v>
      </c>
      <c r="C12" s="101" t="s">
        <v>78</v>
      </c>
      <c r="D12" s="19">
        <v>3</v>
      </c>
      <c r="I12" s="78" t="s">
        <v>57</v>
      </c>
      <c r="T12" s="101" t="s">
        <v>77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B1:AV10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0</v>
      </c>
      <c r="N4" s="140" t="str">
        <f>$C$10</f>
        <v>GHNASSIA Anne-Martine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C10" s="42" t="s">
        <v>64</v>
      </c>
      <c r="D10" s="19"/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I22" sqref="I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10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$U$14</f>
        <v>42306</v>
      </c>
      <c r="G4" s="50"/>
      <c r="H4" s="50"/>
      <c r="I4" s="34"/>
      <c r="J4" s="50"/>
      <c r="K4" s="50"/>
      <c r="L4" s="110" t="s">
        <v>17</v>
      </c>
      <c r="M4" s="63">
        <f>$B$14</f>
        <v>367</v>
      </c>
      <c r="N4" s="140" t="str">
        <f>$C$14</f>
        <v>GOELDEL-BRICHET Anne-Laure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12" t="s">
        <v>32</v>
      </c>
      <c r="M8" s="112" t="s">
        <v>31</v>
      </c>
      <c r="N8" s="111" t="s">
        <v>33</v>
      </c>
      <c r="O8" s="111" t="s">
        <v>34</v>
      </c>
      <c r="P8" s="11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367</v>
      </c>
      <c r="C10" s="42" t="s">
        <v>92</v>
      </c>
      <c r="D10" s="19">
        <v>1</v>
      </c>
      <c r="E10" s="25">
        <v>41848</v>
      </c>
      <c r="F10" s="25">
        <v>41855</v>
      </c>
      <c r="G10" s="25">
        <v>41855</v>
      </c>
      <c r="H10" s="25">
        <v>41855</v>
      </c>
      <c r="I10" s="78" t="s">
        <v>95</v>
      </c>
      <c r="J10" s="25">
        <v>41860</v>
      </c>
      <c r="K10" s="25">
        <v>41862</v>
      </c>
      <c r="L10" s="25">
        <v>41919</v>
      </c>
      <c r="M10" s="25">
        <v>41911</v>
      </c>
      <c r="N10" s="25">
        <v>41968</v>
      </c>
      <c r="O10" s="25">
        <v>41910</v>
      </c>
      <c r="P10" s="25">
        <v>41912</v>
      </c>
      <c r="Q10" s="25">
        <v>42213</v>
      </c>
      <c r="R10" s="25">
        <v>42058</v>
      </c>
      <c r="S10" s="25">
        <v>42060</v>
      </c>
      <c r="T10" s="42" t="s">
        <v>91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113">
        <v>367</v>
      </c>
      <c r="C11" s="114" t="s">
        <v>92</v>
      </c>
      <c r="D11" s="19">
        <v>2</v>
      </c>
      <c r="E11" s="25">
        <v>41848</v>
      </c>
      <c r="F11" s="25">
        <v>41855</v>
      </c>
      <c r="G11" s="25">
        <v>41855</v>
      </c>
      <c r="H11" s="25">
        <v>41855</v>
      </c>
      <c r="I11" s="115" t="s">
        <v>98</v>
      </c>
      <c r="J11" s="25">
        <v>41860</v>
      </c>
      <c r="K11" s="25">
        <v>41871</v>
      </c>
      <c r="L11" s="25">
        <v>41919</v>
      </c>
      <c r="M11" s="25">
        <v>41922</v>
      </c>
      <c r="N11" s="25">
        <v>41968</v>
      </c>
      <c r="O11" s="25">
        <v>41886</v>
      </c>
      <c r="P11" s="25">
        <v>41891</v>
      </c>
      <c r="Q11" s="25">
        <v>42213</v>
      </c>
      <c r="R11" s="25">
        <v>42117</v>
      </c>
      <c r="S11" s="25">
        <v>42118</v>
      </c>
      <c r="T11" s="114" t="s">
        <v>91</v>
      </c>
      <c r="U11" s="12">
        <v>42306</v>
      </c>
    </row>
    <row r="12" spans="2:48" ht="38.25">
      <c r="B12" s="113">
        <v>367</v>
      </c>
      <c r="C12" s="114" t="s">
        <v>92</v>
      </c>
      <c r="D12" s="19">
        <v>3</v>
      </c>
      <c r="E12" s="25">
        <v>41877</v>
      </c>
      <c r="F12" s="25">
        <v>41883</v>
      </c>
      <c r="G12" s="25">
        <v>41883</v>
      </c>
      <c r="H12" s="25">
        <v>41883</v>
      </c>
      <c r="I12" s="115" t="s">
        <v>95</v>
      </c>
      <c r="J12" s="25">
        <v>41889</v>
      </c>
      <c r="K12" s="25">
        <v>41901</v>
      </c>
      <c r="L12" s="25">
        <v>41948</v>
      </c>
      <c r="M12" s="25">
        <v>41960</v>
      </c>
      <c r="N12" s="25">
        <v>41997</v>
      </c>
      <c r="O12" s="25">
        <v>41936</v>
      </c>
      <c r="P12" s="25">
        <v>41941</v>
      </c>
      <c r="Q12" s="25">
        <v>42242</v>
      </c>
      <c r="R12" s="25">
        <v>42052</v>
      </c>
      <c r="S12" s="25">
        <v>42054</v>
      </c>
      <c r="T12" s="114" t="s">
        <v>91</v>
      </c>
      <c r="U12" s="12">
        <v>42306</v>
      </c>
    </row>
    <row r="13" spans="2:48" ht="38.25">
      <c r="B13" s="43">
        <v>367</v>
      </c>
      <c r="C13" s="101" t="s">
        <v>92</v>
      </c>
      <c r="D13" s="19">
        <v>4</v>
      </c>
      <c r="E13" s="25">
        <v>41900</v>
      </c>
      <c r="F13" s="25">
        <v>41901</v>
      </c>
      <c r="G13" s="25">
        <v>41901</v>
      </c>
      <c r="H13" s="25">
        <v>41901</v>
      </c>
      <c r="I13" s="115" t="s">
        <v>95</v>
      </c>
      <c r="J13" s="25">
        <v>41912</v>
      </c>
      <c r="K13" s="25">
        <v>41933</v>
      </c>
      <c r="L13" s="25">
        <v>41971</v>
      </c>
      <c r="M13" s="25">
        <v>41992</v>
      </c>
      <c r="N13" s="25">
        <v>42020</v>
      </c>
      <c r="Q13" s="25">
        <v>42265</v>
      </c>
      <c r="R13" s="25">
        <v>42052</v>
      </c>
      <c r="S13" s="25">
        <v>42054</v>
      </c>
      <c r="T13" s="101" t="s">
        <v>91</v>
      </c>
      <c r="U13" s="12">
        <v>42306</v>
      </c>
    </row>
    <row r="14" spans="2:48" ht="38.25">
      <c r="B14" s="43">
        <v>367</v>
      </c>
      <c r="C14" s="101" t="s">
        <v>92</v>
      </c>
      <c r="D14" s="19">
        <v>5</v>
      </c>
      <c r="E14" s="25">
        <v>41914</v>
      </c>
      <c r="F14" s="25">
        <v>41921</v>
      </c>
      <c r="G14" s="25">
        <v>41921</v>
      </c>
      <c r="H14" s="25">
        <v>41921</v>
      </c>
      <c r="I14" s="115" t="s">
        <v>98</v>
      </c>
      <c r="J14" s="25">
        <v>41926</v>
      </c>
      <c r="K14" s="25">
        <v>41948</v>
      </c>
      <c r="L14" s="25">
        <v>41985</v>
      </c>
      <c r="M14" s="25">
        <v>42010</v>
      </c>
      <c r="N14" s="25">
        <v>42034</v>
      </c>
      <c r="O14" s="25">
        <v>42058</v>
      </c>
      <c r="P14" s="25">
        <v>42060</v>
      </c>
      <c r="Q14" s="25">
        <v>42279</v>
      </c>
      <c r="T14" s="101" t="s">
        <v>91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J21" sqref="J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328</v>
      </c>
      <c r="N4" s="140" t="str">
        <f>$C$14</f>
        <v>GOUTORBE Céline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328</v>
      </c>
      <c r="C10" s="42" t="s">
        <v>76</v>
      </c>
      <c r="D10" s="19">
        <v>1</v>
      </c>
      <c r="E10" s="25">
        <v>41807</v>
      </c>
      <c r="F10" s="25">
        <v>41829</v>
      </c>
      <c r="G10" s="25">
        <v>41829</v>
      </c>
      <c r="H10" s="25">
        <v>41829</v>
      </c>
      <c r="I10" s="78" t="s">
        <v>95</v>
      </c>
      <c r="J10" s="25">
        <v>41819</v>
      </c>
      <c r="K10" s="25">
        <v>41829</v>
      </c>
      <c r="L10" s="25">
        <v>41878</v>
      </c>
      <c r="M10" s="25">
        <v>41908</v>
      </c>
      <c r="N10" s="25">
        <v>41927</v>
      </c>
      <c r="O10" s="25"/>
      <c r="P10" s="25"/>
      <c r="Q10" s="25">
        <v>42172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328</v>
      </c>
      <c r="C11" s="101" t="s">
        <v>76</v>
      </c>
      <c r="D11" s="19">
        <v>2</v>
      </c>
      <c r="E11" s="25">
        <v>41751</v>
      </c>
      <c r="F11" s="25">
        <v>41842</v>
      </c>
      <c r="G11" s="25">
        <v>41911</v>
      </c>
      <c r="H11" s="25">
        <v>41911</v>
      </c>
      <c r="I11" s="78" t="s">
        <v>96</v>
      </c>
      <c r="J11" s="25">
        <v>41763</v>
      </c>
      <c r="K11" s="25">
        <v>41842</v>
      </c>
      <c r="L11" s="25">
        <v>41822</v>
      </c>
      <c r="M11" s="25">
        <v>41911</v>
      </c>
      <c r="N11" s="25">
        <v>41871</v>
      </c>
      <c r="Q11" s="25">
        <v>42116</v>
      </c>
      <c r="S11" s="25">
        <v>41911</v>
      </c>
      <c r="T11" s="101" t="s">
        <v>75</v>
      </c>
      <c r="U11" s="12">
        <v>42306</v>
      </c>
    </row>
    <row r="12" spans="2:48" ht="25.5">
      <c r="B12" s="43">
        <v>328</v>
      </c>
      <c r="C12" s="101" t="s">
        <v>76</v>
      </c>
      <c r="D12" s="19">
        <v>3</v>
      </c>
      <c r="E12" s="25">
        <v>41836</v>
      </c>
      <c r="F12" s="25">
        <v>41842</v>
      </c>
      <c r="G12" s="25">
        <v>41842</v>
      </c>
      <c r="H12" s="25">
        <v>41837</v>
      </c>
      <c r="I12" s="115" t="s">
        <v>96</v>
      </c>
      <c r="J12" s="25">
        <v>41848</v>
      </c>
      <c r="K12" s="25">
        <v>41955</v>
      </c>
      <c r="L12" s="25">
        <v>41907</v>
      </c>
      <c r="M12" s="25">
        <v>41955</v>
      </c>
      <c r="N12" s="25">
        <v>41956</v>
      </c>
      <c r="Q12" s="25">
        <v>42201</v>
      </c>
      <c r="T12" s="101" t="s">
        <v>75</v>
      </c>
      <c r="U12" s="12">
        <v>42306</v>
      </c>
    </row>
    <row r="13" spans="2:48" ht="25.5">
      <c r="B13" s="116">
        <v>328</v>
      </c>
      <c r="C13" s="117" t="s">
        <v>76</v>
      </c>
      <c r="D13" s="19">
        <v>4</v>
      </c>
      <c r="I13" s="115" t="s">
        <v>57</v>
      </c>
      <c r="T13" s="117" t="s">
        <v>75</v>
      </c>
      <c r="U13" s="12">
        <v>42306</v>
      </c>
    </row>
    <row r="14" spans="2:48" ht="25.5">
      <c r="B14" s="116">
        <v>328</v>
      </c>
      <c r="C14" s="117" t="s">
        <v>76</v>
      </c>
      <c r="D14" s="19">
        <v>5</v>
      </c>
      <c r="I14" s="115" t="s">
        <v>57</v>
      </c>
      <c r="T14" s="117" t="s">
        <v>75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100</v>
      </c>
      <c r="N4" s="140" t="str">
        <f>$C$14</f>
        <v>GROSIEUX-DAUGER Cécile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100</v>
      </c>
      <c r="C10" s="42" t="s">
        <v>66</v>
      </c>
      <c r="D10" s="19">
        <v>1</v>
      </c>
      <c r="E10" s="25">
        <v>41748</v>
      </c>
      <c r="F10" s="25">
        <v>41823</v>
      </c>
      <c r="G10" s="25">
        <v>41823</v>
      </c>
      <c r="H10" s="25">
        <v>41766</v>
      </c>
      <c r="I10" s="44" t="s">
        <v>95</v>
      </c>
      <c r="J10" s="25">
        <v>41760</v>
      </c>
      <c r="K10" s="25">
        <v>41759</v>
      </c>
      <c r="L10" s="25">
        <v>41819</v>
      </c>
      <c r="M10" s="25">
        <v>41809</v>
      </c>
      <c r="N10" s="25">
        <v>41868</v>
      </c>
      <c r="O10" s="25">
        <v>41807</v>
      </c>
      <c r="P10" s="25">
        <v>41823</v>
      </c>
      <c r="Q10" s="25">
        <v>42113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100</v>
      </c>
      <c r="C11" s="77" t="s">
        <v>66</v>
      </c>
      <c r="D11" s="19">
        <v>2</v>
      </c>
      <c r="E11" s="25">
        <v>41786</v>
      </c>
      <c r="F11" s="25">
        <v>41897</v>
      </c>
      <c r="H11" s="25">
        <v>41792</v>
      </c>
      <c r="I11" s="78" t="s">
        <v>95</v>
      </c>
      <c r="J11" s="25">
        <v>41798</v>
      </c>
      <c r="K11" s="25">
        <v>41806</v>
      </c>
      <c r="L11" s="25">
        <v>41857</v>
      </c>
      <c r="M11" s="25">
        <v>41864</v>
      </c>
      <c r="N11" s="25">
        <v>41906</v>
      </c>
      <c r="Q11" s="25">
        <v>42151</v>
      </c>
      <c r="T11" s="77" t="s">
        <v>65</v>
      </c>
      <c r="U11" s="12">
        <v>42306</v>
      </c>
    </row>
    <row r="12" spans="2:48" ht="25.5">
      <c r="B12" s="76">
        <v>100</v>
      </c>
      <c r="C12" s="77" t="s">
        <v>66</v>
      </c>
      <c r="D12" s="19">
        <v>3</v>
      </c>
      <c r="E12" s="25">
        <v>41814</v>
      </c>
      <c r="F12" s="25">
        <v>41823</v>
      </c>
      <c r="I12" s="115" t="s">
        <v>57</v>
      </c>
      <c r="J12" s="25">
        <v>41826</v>
      </c>
      <c r="L12" s="25">
        <v>41885</v>
      </c>
      <c r="N12" s="25">
        <v>41934</v>
      </c>
      <c r="O12" s="25">
        <v>41898</v>
      </c>
      <c r="P12" s="25">
        <v>41900</v>
      </c>
      <c r="Q12" s="25">
        <v>42179</v>
      </c>
      <c r="T12" s="77" t="s">
        <v>65</v>
      </c>
      <c r="U12" s="12">
        <v>42306</v>
      </c>
    </row>
    <row r="13" spans="2:48" ht="25.5">
      <c r="B13" s="116">
        <v>100</v>
      </c>
      <c r="C13" s="117" t="s">
        <v>66</v>
      </c>
      <c r="D13" s="19">
        <v>4</v>
      </c>
      <c r="E13" s="25">
        <v>41947</v>
      </c>
      <c r="F13" s="25">
        <v>41955</v>
      </c>
      <c r="H13" s="25">
        <v>41985</v>
      </c>
      <c r="I13" s="115" t="s">
        <v>95</v>
      </c>
      <c r="J13" s="25">
        <v>41959</v>
      </c>
      <c r="L13" s="25">
        <v>42018</v>
      </c>
      <c r="M13" s="25">
        <v>42017</v>
      </c>
      <c r="N13" s="25">
        <v>42067</v>
      </c>
      <c r="Q13" s="25">
        <v>42312</v>
      </c>
      <c r="T13" s="117" t="s">
        <v>65</v>
      </c>
      <c r="U13" s="12">
        <v>42306</v>
      </c>
    </row>
    <row r="14" spans="2:48" ht="25.5">
      <c r="B14" s="116">
        <v>100</v>
      </c>
      <c r="C14" s="117" t="s">
        <v>66</v>
      </c>
      <c r="D14" s="19">
        <v>5</v>
      </c>
      <c r="I14" s="115" t="s">
        <v>57</v>
      </c>
      <c r="T14" s="117" t="s">
        <v>65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K19" sqref="K19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9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$U$12</f>
        <v>42306</v>
      </c>
      <c r="G4" s="50"/>
      <c r="H4" s="50"/>
      <c r="I4" s="34"/>
      <c r="J4" s="50"/>
      <c r="K4" s="50"/>
      <c r="L4" s="96" t="s">
        <v>17</v>
      </c>
      <c r="M4" s="63">
        <f>$B$12</f>
        <v>329</v>
      </c>
      <c r="N4" s="140" t="str">
        <f>$C$12</f>
        <v>JANISSON Delphine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4" t="s">
        <v>32</v>
      </c>
      <c r="M8" s="94" t="s">
        <v>31</v>
      </c>
      <c r="N8" s="93" t="s">
        <v>33</v>
      </c>
      <c r="O8" s="93" t="s">
        <v>34</v>
      </c>
      <c r="P8" s="9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329</v>
      </c>
      <c r="C10" s="42" t="s">
        <v>85</v>
      </c>
      <c r="D10" s="19">
        <v>1</v>
      </c>
      <c r="E10" s="25">
        <v>41898</v>
      </c>
      <c r="F10" s="25">
        <v>41906</v>
      </c>
      <c r="G10" s="25">
        <v>41906</v>
      </c>
      <c r="H10" s="25">
        <v>41906</v>
      </c>
      <c r="I10" s="78" t="s">
        <v>95</v>
      </c>
      <c r="J10" s="25">
        <v>41910</v>
      </c>
      <c r="K10" s="25"/>
      <c r="L10" s="25">
        <v>41969</v>
      </c>
      <c r="M10" s="25"/>
      <c r="N10" s="25">
        <v>42018</v>
      </c>
      <c r="O10" s="25"/>
      <c r="P10" s="25"/>
      <c r="Q10" s="25">
        <v>42263</v>
      </c>
      <c r="R10" s="25"/>
      <c r="S10" s="25"/>
      <c r="T10" s="42" t="s">
        <v>86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329</v>
      </c>
      <c r="C11" s="101" t="s">
        <v>85</v>
      </c>
      <c r="D11" s="19">
        <v>2</v>
      </c>
      <c r="E11" s="25">
        <v>41869</v>
      </c>
      <c r="F11" s="25">
        <v>41914</v>
      </c>
      <c r="G11" s="25">
        <v>41914</v>
      </c>
      <c r="H11" s="25">
        <v>41914</v>
      </c>
      <c r="I11" s="78" t="s">
        <v>95</v>
      </c>
      <c r="J11" s="25">
        <v>41881</v>
      </c>
      <c r="L11" s="25">
        <v>41940</v>
      </c>
      <c r="N11" s="25">
        <v>41989</v>
      </c>
      <c r="O11" s="25">
        <v>41960</v>
      </c>
      <c r="P11" s="25">
        <v>41963</v>
      </c>
      <c r="Q11" s="25">
        <v>42234</v>
      </c>
      <c r="T11" s="101" t="s">
        <v>86</v>
      </c>
      <c r="U11" s="12">
        <v>42306</v>
      </c>
    </row>
    <row r="12" spans="2:48" ht="25.5">
      <c r="B12" s="43">
        <v>329</v>
      </c>
      <c r="C12" s="101" t="s">
        <v>85</v>
      </c>
      <c r="D12" s="19">
        <v>3</v>
      </c>
      <c r="I12" s="78" t="s">
        <v>57</v>
      </c>
      <c r="T12" s="101" t="s">
        <v>86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96</v>
      </c>
      <c r="N4" s="140" t="str">
        <f>$C$14</f>
        <v>LAMI Marie-Christine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96</v>
      </c>
      <c r="C10" s="42" t="s">
        <v>68</v>
      </c>
      <c r="D10" s="19">
        <v>1</v>
      </c>
      <c r="E10" s="25">
        <v>41764</v>
      </c>
      <c r="F10" s="25">
        <v>41771</v>
      </c>
      <c r="G10" s="25">
        <v>41771</v>
      </c>
      <c r="H10" s="25"/>
      <c r="I10" s="44" t="s">
        <v>57</v>
      </c>
      <c r="J10" s="25">
        <v>41776</v>
      </c>
      <c r="K10" s="25">
        <v>41793</v>
      </c>
      <c r="L10" s="25">
        <v>41835</v>
      </c>
      <c r="M10" s="25">
        <v>41859</v>
      </c>
      <c r="N10" s="25">
        <v>41884</v>
      </c>
      <c r="O10" s="25">
        <v>41800</v>
      </c>
      <c r="P10" s="25">
        <v>41820</v>
      </c>
      <c r="Q10" s="25">
        <v>42129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96</v>
      </c>
      <c r="C11" s="77" t="s">
        <v>68</v>
      </c>
      <c r="D11" s="19">
        <v>2</v>
      </c>
      <c r="E11" s="25">
        <v>41772</v>
      </c>
      <c r="F11" s="25">
        <v>41773</v>
      </c>
      <c r="I11" s="78" t="s">
        <v>57</v>
      </c>
      <c r="J11" s="25">
        <v>41784</v>
      </c>
      <c r="L11" s="25">
        <v>41843</v>
      </c>
      <c r="N11" s="25">
        <v>41892</v>
      </c>
      <c r="Q11" s="25">
        <v>42137</v>
      </c>
      <c r="T11" s="77" t="s">
        <v>67</v>
      </c>
      <c r="U11" s="12">
        <v>42306</v>
      </c>
    </row>
    <row r="12" spans="2:48" ht="25.5">
      <c r="B12" s="76">
        <v>96</v>
      </c>
      <c r="C12" s="77" t="s">
        <v>68</v>
      </c>
      <c r="D12" s="19">
        <v>3</v>
      </c>
      <c r="E12" s="25">
        <v>41774</v>
      </c>
      <c r="F12" s="25">
        <v>41778</v>
      </c>
      <c r="I12" s="115" t="s">
        <v>57</v>
      </c>
      <c r="J12" s="25">
        <v>41786</v>
      </c>
      <c r="L12" s="25">
        <v>41845</v>
      </c>
      <c r="N12" s="25">
        <v>41894</v>
      </c>
      <c r="Q12" s="25">
        <v>42139</v>
      </c>
      <c r="T12" s="77" t="s">
        <v>67</v>
      </c>
      <c r="U12" s="12">
        <v>42306</v>
      </c>
    </row>
    <row r="13" spans="2:48" ht="25.5">
      <c r="B13" s="116">
        <v>96</v>
      </c>
      <c r="C13" s="117" t="s">
        <v>68</v>
      </c>
      <c r="D13" s="19">
        <v>4</v>
      </c>
      <c r="I13" s="115" t="s">
        <v>57</v>
      </c>
      <c r="T13" s="117" t="s">
        <v>67</v>
      </c>
      <c r="U13" s="12">
        <v>42306</v>
      </c>
    </row>
    <row r="14" spans="2:48" ht="25.5">
      <c r="B14" s="116">
        <v>96</v>
      </c>
      <c r="C14" s="117" t="s">
        <v>68</v>
      </c>
      <c r="D14" s="19">
        <v>5</v>
      </c>
      <c r="I14" s="115" t="s">
        <v>57</v>
      </c>
      <c r="T14" s="117" t="s">
        <v>67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K21" sqref="K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8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$U$12</f>
        <v>42306</v>
      </c>
      <c r="G4" s="50"/>
      <c r="H4" s="50"/>
      <c r="I4" s="34"/>
      <c r="J4" s="50"/>
      <c r="K4" s="50"/>
      <c r="L4" s="90" t="s">
        <v>17</v>
      </c>
      <c r="M4" s="63">
        <f>$B$12</f>
        <v>315</v>
      </c>
      <c r="N4" s="140" t="str">
        <f>$C$12</f>
        <v>LANDRIEUX Christine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2" t="s">
        <v>32</v>
      </c>
      <c r="M8" s="92" t="s">
        <v>31</v>
      </c>
      <c r="N8" s="91" t="s">
        <v>33</v>
      </c>
      <c r="O8" s="91" t="s">
        <v>34</v>
      </c>
      <c r="P8" s="9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315</v>
      </c>
      <c r="C10" s="42" t="s">
        <v>84</v>
      </c>
      <c r="D10" s="19">
        <v>1</v>
      </c>
      <c r="E10" s="25">
        <v>41841</v>
      </c>
      <c r="F10" s="25">
        <v>41901</v>
      </c>
      <c r="G10" s="25"/>
      <c r="H10" s="25">
        <v>41843</v>
      </c>
      <c r="I10" s="78" t="s">
        <v>98</v>
      </c>
      <c r="J10" s="25">
        <v>41853</v>
      </c>
      <c r="K10" s="25">
        <v>41848</v>
      </c>
      <c r="L10" s="25">
        <v>41912</v>
      </c>
      <c r="M10" s="25">
        <v>41918</v>
      </c>
      <c r="N10" s="25">
        <v>41961</v>
      </c>
      <c r="O10" s="25"/>
      <c r="P10" s="25"/>
      <c r="Q10" s="25">
        <v>42206</v>
      </c>
      <c r="R10" s="25"/>
      <c r="S10" s="25"/>
      <c r="T10" s="42" t="s">
        <v>83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315</v>
      </c>
      <c r="C11" s="101" t="s">
        <v>84</v>
      </c>
      <c r="D11" s="19">
        <v>2</v>
      </c>
      <c r="E11" s="25">
        <v>41897</v>
      </c>
      <c r="F11" s="25">
        <v>41901</v>
      </c>
      <c r="H11" s="25">
        <v>41899</v>
      </c>
      <c r="I11" s="78" t="s">
        <v>95</v>
      </c>
      <c r="J11" s="25">
        <v>41909</v>
      </c>
      <c r="K11" s="25">
        <v>41912</v>
      </c>
      <c r="L11" s="25">
        <v>41968</v>
      </c>
      <c r="M11" s="25">
        <v>41955</v>
      </c>
      <c r="N11" s="25">
        <v>42017</v>
      </c>
      <c r="O11" s="25">
        <v>41967</v>
      </c>
      <c r="P11" s="25">
        <v>41969</v>
      </c>
      <c r="Q11" s="25">
        <v>42262</v>
      </c>
      <c r="T11" s="101" t="s">
        <v>83</v>
      </c>
      <c r="U11" s="12">
        <v>42306</v>
      </c>
    </row>
    <row r="12" spans="2:48" ht="25.5">
      <c r="B12" s="43">
        <v>315</v>
      </c>
      <c r="C12" s="101" t="s">
        <v>84</v>
      </c>
      <c r="D12" s="19">
        <v>3</v>
      </c>
      <c r="E12" s="25">
        <v>41908</v>
      </c>
      <c r="F12" s="25">
        <v>41911</v>
      </c>
      <c r="H12" s="25">
        <v>41911</v>
      </c>
      <c r="I12" s="78" t="s">
        <v>95</v>
      </c>
      <c r="J12" s="25">
        <v>41920</v>
      </c>
      <c r="K12" s="25">
        <v>41918</v>
      </c>
      <c r="L12" s="25">
        <v>41979</v>
      </c>
      <c r="N12" s="25">
        <v>42028</v>
      </c>
      <c r="Q12" s="25">
        <v>42273</v>
      </c>
      <c r="T12" s="101" t="s">
        <v>83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98</v>
      </c>
      <c r="N4" s="140" t="str">
        <f>$C$14</f>
        <v>MOHN Catherine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98</v>
      </c>
      <c r="C10" s="42" t="s">
        <v>70</v>
      </c>
      <c r="D10" s="19">
        <v>1</v>
      </c>
      <c r="E10" s="25">
        <v>41813</v>
      </c>
      <c r="F10" s="25">
        <v>41815</v>
      </c>
      <c r="G10" s="25">
        <v>41830</v>
      </c>
      <c r="H10" s="25"/>
      <c r="I10" s="44" t="s">
        <v>57</v>
      </c>
      <c r="J10" s="25">
        <v>41825</v>
      </c>
      <c r="K10" s="25">
        <v>41830</v>
      </c>
      <c r="L10" s="25">
        <v>41884</v>
      </c>
      <c r="M10" s="25"/>
      <c r="N10" s="25">
        <v>41933</v>
      </c>
      <c r="O10" s="25">
        <v>41911</v>
      </c>
      <c r="P10" s="25">
        <v>41913</v>
      </c>
      <c r="Q10" s="25">
        <v>42178</v>
      </c>
      <c r="R10" s="25">
        <v>41978</v>
      </c>
      <c r="S10" s="25">
        <v>41981</v>
      </c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98</v>
      </c>
      <c r="C11" s="77" t="s">
        <v>70</v>
      </c>
      <c r="D11" s="19">
        <v>2</v>
      </c>
      <c r="E11" s="25">
        <v>41820</v>
      </c>
      <c r="F11" s="25">
        <v>41823</v>
      </c>
      <c r="G11" s="25">
        <v>41830</v>
      </c>
      <c r="H11" s="25">
        <v>41843</v>
      </c>
      <c r="I11" s="78" t="s">
        <v>96</v>
      </c>
      <c r="J11" s="25">
        <v>41832</v>
      </c>
      <c r="K11" s="25">
        <v>41843</v>
      </c>
      <c r="L11" s="25">
        <v>41891</v>
      </c>
      <c r="M11" s="25">
        <v>41899</v>
      </c>
      <c r="N11" s="25">
        <v>41940</v>
      </c>
      <c r="O11" s="25">
        <v>41850</v>
      </c>
      <c r="P11" s="25">
        <v>41851</v>
      </c>
      <c r="Q11" s="25">
        <v>42185</v>
      </c>
      <c r="R11" s="25">
        <v>41978</v>
      </c>
      <c r="S11" s="25">
        <v>41981</v>
      </c>
      <c r="T11" s="77" t="s">
        <v>69</v>
      </c>
      <c r="U11" s="12">
        <v>42306</v>
      </c>
    </row>
    <row r="12" spans="2:48" ht="25.5">
      <c r="B12" s="76">
        <v>98</v>
      </c>
      <c r="C12" s="77" t="s">
        <v>70</v>
      </c>
      <c r="D12" s="19">
        <v>3</v>
      </c>
      <c r="E12" s="25">
        <v>41821</v>
      </c>
      <c r="F12" s="25">
        <v>41823</v>
      </c>
      <c r="G12" s="25">
        <v>41830</v>
      </c>
      <c r="I12" s="78" t="s">
        <v>57</v>
      </c>
      <c r="J12" s="25">
        <v>41833</v>
      </c>
      <c r="K12" s="25">
        <v>41838</v>
      </c>
      <c r="L12" s="25">
        <v>41892</v>
      </c>
      <c r="M12" s="25">
        <v>41891</v>
      </c>
      <c r="N12" s="25">
        <v>41941</v>
      </c>
      <c r="O12" s="25">
        <v>41849</v>
      </c>
      <c r="P12" s="25">
        <v>41851</v>
      </c>
      <c r="Q12" s="25">
        <v>42186</v>
      </c>
      <c r="T12" s="77" t="s">
        <v>69</v>
      </c>
      <c r="U12" s="12">
        <v>42306</v>
      </c>
    </row>
    <row r="13" spans="2:48" ht="25.5">
      <c r="B13" s="43">
        <v>98</v>
      </c>
      <c r="C13" s="101" t="s">
        <v>70</v>
      </c>
      <c r="D13" s="19">
        <v>4</v>
      </c>
      <c r="I13" s="78" t="s">
        <v>57</v>
      </c>
      <c r="T13" s="101" t="s">
        <v>69</v>
      </c>
      <c r="U13" s="12">
        <v>42306</v>
      </c>
    </row>
    <row r="14" spans="2:48" ht="25.5">
      <c r="B14" s="43">
        <v>98</v>
      </c>
      <c r="C14" s="101" t="s">
        <v>70</v>
      </c>
      <c r="D14" s="19">
        <v>5</v>
      </c>
      <c r="I14" s="78" t="s">
        <v>57</v>
      </c>
      <c r="T14" s="101" t="s">
        <v>69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101</v>
      </c>
      <c r="N4" s="140" t="str">
        <f>$C$12</f>
        <v>MOREAU Eric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101</v>
      </c>
      <c r="C10" s="42" t="s">
        <v>72</v>
      </c>
      <c r="D10" s="19">
        <v>1</v>
      </c>
      <c r="E10" s="25">
        <v>41752</v>
      </c>
      <c r="F10" s="25">
        <v>41792</v>
      </c>
      <c r="G10" s="25">
        <v>41792</v>
      </c>
      <c r="H10" s="25">
        <v>41771</v>
      </c>
      <c r="I10" s="44" t="s">
        <v>94</v>
      </c>
      <c r="J10" s="25">
        <v>41764</v>
      </c>
      <c r="K10" s="25">
        <v>41827</v>
      </c>
      <c r="L10" s="25">
        <v>41823</v>
      </c>
      <c r="M10" s="25">
        <v>41904</v>
      </c>
      <c r="N10" s="25">
        <v>41872</v>
      </c>
      <c r="O10" s="25">
        <v>41829</v>
      </c>
      <c r="P10" s="25">
        <v>41831</v>
      </c>
      <c r="Q10" s="25">
        <v>42117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101</v>
      </c>
      <c r="C11" s="77" t="s">
        <v>72</v>
      </c>
      <c r="D11" s="19">
        <v>2</v>
      </c>
      <c r="I11" s="78" t="s">
        <v>57</v>
      </c>
      <c r="T11" s="77" t="s">
        <v>71</v>
      </c>
      <c r="U11" s="12">
        <v>42306</v>
      </c>
    </row>
    <row r="12" spans="2:48" ht="25.5">
      <c r="B12" s="76">
        <v>101</v>
      </c>
      <c r="C12" s="77" t="s">
        <v>72</v>
      </c>
      <c r="D12" s="19">
        <v>3</v>
      </c>
      <c r="E12" s="25">
        <v>41765</v>
      </c>
      <c r="F12" s="25">
        <v>41792</v>
      </c>
      <c r="G12" s="25">
        <v>41792</v>
      </c>
      <c r="H12" s="25">
        <v>41757</v>
      </c>
      <c r="I12" s="78" t="s">
        <v>94</v>
      </c>
      <c r="J12" s="25">
        <v>41777</v>
      </c>
      <c r="K12" s="25">
        <v>41785</v>
      </c>
      <c r="L12" s="25">
        <v>41836</v>
      </c>
      <c r="M12" s="25">
        <v>41827</v>
      </c>
      <c r="N12" s="25">
        <v>41885</v>
      </c>
      <c r="O12" s="25">
        <v>41823</v>
      </c>
      <c r="P12" s="25">
        <v>41829</v>
      </c>
      <c r="Q12" s="25">
        <v>42130</v>
      </c>
      <c r="T12" s="77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36" t="s">
        <v>16</v>
      </c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8"/>
      <c r="M3" s="138"/>
      <c r="N3" s="13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9" t="s">
        <v>58</v>
      </c>
      <c r="E4" s="139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97</v>
      </c>
      <c r="N4" s="140" t="str">
        <f>$C$12</f>
        <v>SAVIN Laurence</v>
      </c>
      <c r="O4" s="140"/>
      <c r="P4" s="140"/>
      <c r="Q4" s="140"/>
      <c r="R4" s="14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41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7" t="s">
        <v>19</v>
      </c>
      <c r="F7" s="128"/>
      <c r="G7" s="128"/>
      <c r="H7" s="128"/>
      <c r="I7" s="128"/>
      <c r="J7" s="129" t="s">
        <v>20</v>
      </c>
      <c r="K7" s="130"/>
      <c r="L7" s="131" t="s">
        <v>21</v>
      </c>
      <c r="M7" s="131"/>
      <c r="N7" s="132" t="s">
        <v>22</v>
      </c>
      <c r="O7" s="133"/>
      <c r="P7" s="134"/>
      <c r="Q7" s="135" t="s">
        <v>23</v>
      </c>
      <c r="R7" s="133"/>
      <c r="S7" s="13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97</v>
      </c>
      <c r="C10" s="42" t="s">
        <v>74</v>
      </c>
      <c r="D10" s="19">
        <v>1</v>
      </c>
      <c r="E10" s="25">
        <v>41801</v>
      </c>
      <c r="F10" s="25">
        <v>41813</v>
      </c>
      <c r="G10" s="25"/>
      <c r="H10" s="25"/>
      <c r="I10" s="44" t="s">
        <v>57</v>
      </c>
      <c r="J10" s="25">
        <v>41813</v>
      </c>
      <c r="K10" s="25">
        <v>41813</v>
      </c>
      <c r="L10" s="25">
        <v>41872</v>
      </c>
      <c r="M10" s="25"/>
      <c r="N10" s="25">
        <v>41921</v>
      </c>
      <c r="O10" s="25">
        <v>41808</v>
      </c>
      <c r="P10" s="25">
        <v>41813</v>
      </c>
      <c r="Q10" s="25">
        <v>42166</v>
      </c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6">
        <v>97</v>
      </c>
      <c r="C11" s="77" t="s">
        <v>74</v>
      </c>
      <c r="D11" s="19">
        <v>2</v>
      </c>
      <c r="I11" s="78" t="s">
        <v>57</v>
      </c>
      <c r="T11" s="77" t="s">
        <v>73</v>
      </c>
      <c r="U11" s="12">
        <v>42306</v>
      </c>
    </row>
    <row r="12" spans="2:48" ht="25.5">
      <c r="B12" s="76">
        <v>97</v>
      </c>
      <c r="C12" s="77" t="s">
        <v>74</v>
      </c>
      <c r="D12" s="19">
        <v>3</v>
      </c>
      <c r="I12" s="78" t="s">
        <v>57</v>
      </c>
      <c r="T12" s="77" t="s">
        <v>73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Secteur DE0201</vt:lpstr>
      <vt:lpstr>01637126</vt:lpstr>
      <vt:lpstr>02142586</vt:lpstr>
      <vt:lpstr>02743020</vt:lpstr>
      <vt:lpstr>03148652</vt:lpstr>
      <vt:lpstr>03294372</vt:lpstr>
      <vt:lpstr>03970575</vt:lpstr>
      <vt:lpstr>03185224</vt:lpstr>
      <vt:lpstr>09681711</vt:lpstr>
      <vt:lpstr>03607514</vt:lpstr>
      <vt:lpstr>04199643</vt:lpstr>
      <vt:lpstr>05757566</vt:lpstr>
      <vt:lpstr>05617096</vt:lpstr>
      <vt:lpstr>06542950</vt:lpstr>
      <vt:lpstr>06624975</vt:lpstr>
      <vt:lpstr>04685808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2015-10-29T22:01:43Z</dcterms:modified>
</cp:coreProperties>
</file>